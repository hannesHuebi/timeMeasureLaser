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/>
  <bookViews>
    <workbookView xWindow="-15" yWindow="-15" windowWidth="15300" windowHeight="11100" activeTab="6"/>
  </bookViews>
  <sheets>
    <sheet name="Start_Daten" sheetId="28" r:id="rId1"/>
    <sheet name="all_data" sheetId="1" r:id="rId2"/>
    <sheet name="d-weight" sheetId="6" r:id="rId3"/>
    <sheet name="verhaeltniss" sheetId="7" r:id="rId4"/>
    <sheet name="prognose" sheetId="9" r:id="rId5"/>
    <sheet name="Diagramm1" sheetId="41" r:id="rId6"/>
    <sheet name="contest_life" sheetId="4" r:id="rId7"/>
    <sheet name="Ausw_Tragf" sheetId="12" r:id="rId8"/>
    <sheet name="dw_mls" sheetId="13" r:id="rId9"/>
    <sheet name="Druck" sheetId="14" r:id="rId10"/>
    <sheet name="Urk Tragf. Pl1" sheetId="16" r:id="rId11"/>
    <sheet name="Urk Tragf. Pl2" sheetId="17" r:id="rId12"/>
    <sheet name="Urk Tragf. Pl3" sheetId="18" r:id="rId13"/>
    <sheet name="Urk Tragf. Pl4" sheetId="19" r:id="rId14"/>
    <sheet name="Urk Tragf. Pl5" sheetId="20" r:id="rId15"/>
    <sheet name="Urk Tragf. Pl6" sheetId="21" r:id="rId16"/>
    <sheet name="Urk dwmls P1" sheetId="22" r:id="rId17"/>
    <sheet name="Urk dwmls P2" sheetId="23" r:id="rId18"/>
    <sheet name="Urk dwmls P3" sheetId="24" r:id="rId19"/>
    <sheet name="Urk dwmls P4" sheetId="25" r:id="rId20"/>
    <sheet name="Urk dwmls P5" sheetId="26" r:id="rId21"/>
    <sheet name="Urk dwmls P6" sheetId="27" r:id="rId22"/>
    <sheet name="Urk Prog P1" sheetId="34" r:id="rId23"/>
    <sheet name="Urk Prog P2" sheetId="33" r:id="rId24"/>
    <sheet name="Urk Prog P3" sheetId="32" r:id="rId25"/>
    <sheet name="Urk Prog P4" sheetId="31" r:id="rId26"/>
    <sheet name="Urk Prog P5" sheetId="30" r:id="rId27"/>
    <sheet name="Urk Prog P6" sheetId="29" r:id="rId28"/>
    <sheet name="Urk Doku P1" sheetId="35" r:id="rId29"/>
    <sheet name="Urk Doku P2" sheetId="36" r:id="rId30"/>
    <sheet name="Urk Doku P3" sheetId="37" r:id="rId31"/>
    <sheet name="Urk Konstr P1" sheetId="38" r:id="rId32"/>
    <sheet name="Urk Konstr P2" sheetId="39" r:id="rId33"/>
    <sheet name="Urk Konstr P2 (2)" sheetId="40" r:id="rId34"/>
  </sheets>
  <definedNames>
    <definedName name="_xlnm.Print_Area" localSheetId="7">Ausw_Tragf!$A$1:$H$48</definedName>
    <definedName name="_xlnm.Print_Area" localSheetId="8">dw_mls!$A$1:$H$58</definedName>
    <definedName name="_xlnm.Print_Area" localSheetId="28">'Urk Doku P1'!$A$1:$H$53</definedName>
    <definedName name="_xlnm.Print_Area" localSheetId="29">'Urk Doku P2'!$A$1:$H$53</definedName>
    <definedName name="_xlnm.Print_Area" localSheetId="30">'Urk Doku P3'!$A$1:$H$53</definedName>
    <definedName name="Z_78B3A349_4A6A_4124_974B_C4B81C7019CD_.wvu.PrintArea" localSheetId="7" hidden="1">Ausw_Tragf!$A$1:$H$48</definedName>
    <definedName name="Z_78B3A349_4A6A_4124_974B_C4B81C7019CD_.wvu.PrintArea" localSheetId="8" hidden="1">dw_mls!$A$1:$H$58</definedName>
    <definedName name="Z_78B3A349_4A6A_4124_974B_C4B81C7019CD_.wvu.PrintArea" localSheetId="28" hidden="1">'Urk Doku P1'!$A$1:$H$53</definedName>
    <definedName name="Z_78B3A349_4A6A_4124_974B_C4B81C7019CD_.wvu.PrintArea" localSheetId="29" hidden="1">'Urk Doku P2'!$A$1:$H$53</definedName>
    <definedName name="Z_78B3A349_4A6A_4124_974B_C4B81C7019CD_.wvu.PrintArea" localSheetId="30" hidden="1">'Urk Doku P3'!$A$1:$H$53</definedName>
    <definedName name="Z_F48999E8_45B5_4A7E_B3AF_FA7A59AA8144_.wvu.PrintArea" localSheetId="7" hidden="1">Ausw_Tragf!$A$1:$H$48</definedName>
    <definedName name="Z_F48999E8_45B5_4A7E_B3AF_FA7A59AA8144_.wvu.PrintArea" localSheetId="8" hidden="1">dw_mls!$A$1:$H$58</definedName>
    <definedName name="Z_F48999E8_45B5_4A7E_B3AF_FA7A59AA8144_.wvu.PrintArea" localSheetId="28" hidden="1">'Urk Doku P1'!$A$1:$H$53</definedName>
    <definedName name="Z_F48999E8_45B5_4A7E_B3AF_FA7A59AA8144_.wvu.PrintArea" localSheetId="29" hidden="1">'Urk Doku P2'!$A$1:$H$53</definedName>
    <definedName name="Z_F48999E8_45B5_4A7E_B3AF_FA7A59AA8144_.wvu.PrintArea" localSheetId="30" hidden="1">'Urk Doku P3'!$A$1:$H$53</definedName>
  </definedNames>
  <calcPr calcId="145621"/>
  <customWorkbookViews>
    <customWorkbookView name="zurück" guid="{78B3A349-4A6A-4124-974B-C4B81C7019CD}" maximized="1" windowWidth="1009" windowHeight="654" activeSheetId="4" showFormulaBar="0" showStatusbar="0"/>
    <customWorkbookView name="meine" guid="{F48999E8-45B5-4A7E-B3AF-FA7A59AA8144}" maximized="1" showHorizontalScroll="0" showVerticalScroll="0" showSheetTabs="0" windowWidth="1020" windowHeight="739" activeSheetId="4" showFormulaBar="0" showStatusbar="0"/>
  </customWorkbookViews>
  <fileRecoveryPr repairLoad="1"/>
</workbook>
</file>

<file path=xl/calcChain.xml><?xml version="1.0" encoding="utf-8"?>
<calcChain xmlns="http://schemas.openxmlformats.org/spreadsheetml/2006/main">
  <c r="D136" i="13" l="1"/>
  <c r="D101" i="13"/>
  <c r="D131" i="13"/>
  <c r="D113" i="13"/>
  <c r="D112" i="13"/>
  <c r="D87" i="13"/>
  <c r="D104" i="13"/>
  <c r="D106" i="13"/>
  <c r="D110" i="13"/>
  <c r="D68" i="13"/>
  <c r="D126" i="13"/>
  <c r="D119" i="13"/>
  <c r="D93" i="13"/>
  <c r="D129" i="13"/>
  <c r="D114" i="13"/>
  <c r="D94" i="13"/>
  <c r="D109" i="13"/>
  <c r="D97" i="13"/>
  <c r="D134" i="13"/>
  <c r="D80" i="13"/>
  <c r="D85" i="13"/>
  <c r="D65" i="13"/>
  <c r="D86" i="13"/>
  <c r="D71" i="13"/>
  <c r="D102" i="13"/>
  <c r="D5" i="13"/>
  <c r="D108" i="13"/>
  <c r="D133" i="13"/>
  <c r="D139" i="13"/>
  <c r="D10" i="13"/>
  <c r="D124" i="13"/>
  <c r="D95" i="13"/>
  <c r="D111" i="13"/>
  <c r="D135" i="13"/>
  <c r="D66" i="13"/>
  <c r="D123" i="13"/>
  <c r="D9" i="13"/>
  <c r="D11" i="13"/>
  <c r="D122" i="13"/>
  <c r="D125" i="13"/>
  <c r="D76" i="13"/>
  <c r="D79" i="13"/>
  <c r="D7" i="13"/>
  <c r="D137" i="13"/>
  <c r="D50" i="13"/>
  <c r="D128" i="13"/>
  <c r="D6" i="13"/>
  <c r="D130" i="13"/>
  <c r="D29" i="13"/>
  <c r="D98" i="13"/>
  <c r="D138" i="13"/>
  <c r="D82" i="13"/>
  <c r="D8" i="13"/>
  <c r="D89" i="13"/>
  <c r="D118" i="13"/>
  <c r="D4" i="13"/>
  <c r="D96" i="13"/>
  <c r="D115" i="13"/>
  <c r="D74" i="13"/>
  <c r="D35" i="13"/>
  <c r="D132" i="13"/>
  <c r="D107" i="13"/>
  <c r="D117" i="13"/>
  <c r="D72" i="13"/>
  <c r="D116" i="13"/>
  <c r="D78" i="13"/>
  <c r="D99" i="13"/>
  <c r="D81" i="13"/>
  <c r="D83" i="13"/>
  <c r="D52" i="13"/>
  <c r="D33" i="13"/>
  <c r="D84" i="13"/>
  <c r="D91" i="13"/>
  <c r="D17" i="13"/>
  <c r="D19" i="13"/>
  <c r="D61" i="13"/>
  <c r="D44" i="13"/>
  <c r="D39" i="13"/>
  <c r="D60" i="13"/>
  <c r="D31" i="13"/>
  <c r="D49" i="13"/>
  <c r="D77" i="13"/>
  <c r="D88" i="13"/>
  <c r="D69" i="13"/>
  <c r="D70" i="13"/>
  <c r="D63" i="13"/>
  <c r="D55" i="13"/>
  <c r="D64" i="13"/>
  <c r="D127" i="13"/>
  <c r="D58" i="13"/>
  <c r="D45" i="13"/>
  <c r="D40" i="13"/>
  <c r="D53" i="13"/>
  <c r="D103" i="13"/>
  <c r="D47" i="13"/>
  <c r="D62" i="13"/>
  <c r="D51" i="13"/>
  <c r="D37" i="13"/>
  <c r="D75" i="13"/>
  <c r="D18" i="13"/>
  <c r="D73" i="13"/>
  <c r="D24" i="13"/>
  <c r="D22" i="13"/>
  <c r="D25" i="13"/>
  <c r="D36" i="13"/>
  <c r="D20" i="13"/>
  <c r="D46" i="13"/>
  <c r="D38" i="13"/>
  <c r="D48" i="13"/>
  <c r="D27" i="13"/>
  <c r="D23" i="13"/>
  <c r="D57" i="13"/>
  <c r="D32" i="13"/>
  <c r="D56" i="13"/>
  <c r="D12" i="13"/>
  <c r="D14" i="13"/>
  <c r="D59" i="13"/>
  <c r="D54" i="13"/>
  <c r="D13" i="13"/>
  <c r="D67" i="13"/>
  <c r="D41" i="13"/>
  <c r="D26" i="13"/>
  <c r="D15" i="13"/>
  <c r="D21" i="13"/>
  <c r="D100" i="13"/>
  <c r="D43" i="13"/>
  <c r="D42" i="13"/>
  <c r="D30" i="13"/>
  <c r="D28" i="13"/>
  <c r="D92" i="13"/>
  <c r="D105" i="13"/>
  <c r="D34" i="13"/>
  <c r="D121" i="13"/>
  <c r="D120" i="13"/>
  <c r="D16" i="13"/>
  <c r="D90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D158" i="13"/>
  <c r="D159" i="13"/>
  <c r="D160" i="13"/>
  <c r="D161" i="13"/>
  <c r="D162" i="13"/>
  <c r="D163" i="13"/>
  <c r="D164" i="13"/>
  <c r="D165" i="13"/>
  <c r="D166" i="13"/>
  <c r="D167" i="13"/>
  <c r="D168" i="13"/>
  <c r="D169" i="13"/>
  <c r="D170" i="13"/>
  <c r="D171" i="13"/>
  <c r="D172" i="13"/>
  <c r="D173" i="13"/>
  <c r="D174" i="13"/>
  <c r="D175" i="13"/>
  <c r="D176" i="13"/>
  <c r="D177" i="13"/>
  <c r="D178" i="13"/>
  <c r="D179" i="13"/>
  <c r="D180" i="13"/>
  <c r="D181" i="13"/>
  <c r="D182" i="13"/>
  <c r="D183" i="13"/>
  <c r="D184" i="13"/>
  <c r="D185" i="13"/>
  <c r="D186" i="13"/>
  <c r="D187" i="13"/>
  <c r="D188" i="13"/>
  <c r="D189" i="13"/>
  <c r="D190" i="13"/>
  <c r="D191" i="13"/>
  <c r="D192" i="13"/>
  <c r="D193" i="13"/>
  <c r="D194" i="13"/>
  <c r="D195" i="13"/>
  <c r="D196" i="13"/>
  <c r="D197" i="13"/>
  <c r="D198" i="13"/>
  <c r="D199" i="13"/>
  <c r="D200" i="13"/>
  <c r="D201" i="13"/>
  <c r="D202" i="13"/>
  <c r="D203" i="13"/>
  <c r="D204" i="13"/>
  <c r="D205" i="13"/>
  <c r="D206" i="13"/>
  <c r="D207" i="13"/>
  <c r="D208" i="13"/>
  <c r="D209" i="13"/>
  <c r="D210" i="13"/>
  <c r="D211" i="13"/>
  <c r="D212" i="13"/>
  <c r="D213" i="13"/>
  <c r="D214" i="13"/>
  <c r="D215" i="13"/>
  <c r="D216" i="13"/>
  <c r="D217" i="13"/>
  <c r="D218" i="13"/>
  <c r="D219" i="13"/>
  <c r="D220" i="13"/>
  <c r="D221" i="13"/>
  <c r="D222" i="13"/>
  <c r="D223" i="13"/>
  <c r="D224" i="13"/>
  <c r="D225" i="13"/>
  <c r="D226" i="13"/>
  <c r="D227" i="13"/>
  <c r="D228" i="13"/>
  <c r="D229" i="13"/>
  <c r="D230" i="13"/>
  <c r="D231" i="13"/>
  <c r="D232" i="13"/>
  <c r="D233" i="13"/>
  <c r="D234" i="13"/>
  <c r="D235" i="13"/>
  <c r="D236" i="13"/>
  <c r="D237" i="13"/>
  <c r="D238" i="13"/>
  <c r="D239" i="13"/>
  <c r="D240" i="13"/>
  <c r="D241" i="13"/>
  <c r="D242" i="13"/>
  <c r="D243" i="13"/>
  <c r="D244" i="13"/>
  <c r="D245" i="13"/>
  <c r="D246" i="13"/>
  <c r="D247" i="13"/>
  <c r="D248" i="13"/>
  <c r="D249" i="13"/>
  <c r="D250" i="13"/>
  <c r="D251" i="13"/>
  <c r="D252" i="13"/>
  <c r="D253" i="13"/>
  <c r="D254" i="13"/>
  <c r="D255" i="13"/>
  <c r="D256" i="13"/>
  <c r="D257" i="13"/>
  <c r="D258" i="13"/>
  <c r="D259" i="13"/>
  <c r="D260" i="13"/>
  <c r="D261" i="13"/>
  <c r="D262" i="13"/>
  <c r="D263" i="13"/>
  <c r="D264" i="13"/>
  <c r="D265" i="13"/>
  <c r="D266" i="13"/>
  <c r="D267" i="13"/>
  <c r="D268" i="13"/>
  <c r="D269" i="13"/>
  <c r="D270" i="13"/>
  <c r="D271" i="13"/>
  <c r="D272" i="13"/>
  <c r="D273" i="13"/>
  <c r="D274" i="13"/>
  <c r="D275" i="13"/>
  <c r="D276" i="13"/>
  <c r="D277" i="13"/>
  <c r="D278" i="13"/>
  <c r="D279" i="13"/>
  <c r="D280" i="13"/>
  <c r="D281" i="13"/>
  <c r="D282" i="13"/>
  <c r="D283" i="13"/>
  <c r="D284" i="13"/>
  <c r="D285" i="13"/>
  <c r="D286" i="13"/>
  <c r="D287" i="13"/>
  <c r="D288" i="13"/>
  <c r="D289" i="13"/>
  <c r="D290" i="13"/>
  <c r="D291" i="13"/>
  <c r="D292" i="13"/>
  <c r="D293" i="13"/>
  <c r="D294" i="13"/>
  <c r="D295" i="13"/>
  <c r="D296" i="13"/>
  <c r="D297" i="13"/>
  <c r="D298" i="13"/>
  <c r="D299" i="13"/>
  <c r="D300" i="13"/>
  <c r="D301" i="13"/>
  <c r="D302" i="13"/>
  <c r="D303" i="13"/>
  <c r="U45" i="4"/>
  <c r="A1" i="9"/>
  <c r="B1" i="9"/>
  <c r="C1" i="9"/>
  <c r="D1" i="9"/>
  <c r="E1" i="9"/>
  <c r="F1" i="9"/>
  <c r="A2" i="9"/>
  <c r="B2" i="9"/>
  <c r="C2" i="9"/>
  <c r="D2" i="9"/>
  <c r="E2" i="9"/>
  <c r="F2" i="9"/>
  <c r="A258" i="9"/>
  <c r="D258" i="9"/>
  <c r="A279" i="9"/>
  <c r="D279" i="9"/>
  <c r="J279" i="9" s="1"/>
  <c r="A261" i="9"/>
  <c r="D261" i="9"/>
  <c r="A272" i="9"/>
  <c r="D272" i="9"/>
  <c r="J272" i="9" s="1"/>
  <c r="A274" i="9"/>
  <c r="D274" i="9"/>
  <c r="A287" i="9"/>
  <c r="D287" i="9"/>
  <c r="J287" i="9" s="1"/>
  <c r="A281" i="9"/>
  <c r="D281" i="9"/>
  <c r="J281" i="9" s="1"/>
  <c r="A285" i="9"/>
  <c r="D285" i="9"/>
  <c r="J285" i="9" s="1"/>
  <c r="A278" i="9"/>
  <c r="D278" i="9"/>
  <c r="J278" i="9" s="1"/>
  <c r="A294" i="9"/>
  <c r="D294" i="9"/>
  <c r="J294" i="9" s="1"/>
  <c r="A267" i="9"/>
  <c r="D267" i="9"/>
  <c r="J267" i="9" s="1"/>
  <c r="A269" i="9"/>
  <c r="D269" i="9"/>
  <c r="J269" i="9" s="1"/>
  <c r="A286" i="9"/>
  <c r="D286" i="9"/>
  <c r="J286" i="9" s="1"/>
  <c r="A264" i="9"/>
  <c r="D264" i="9"/>
  <c r="J264" i="9" s="1"/>
  <c r="A266" i="9"/>
  <c r="D266" i="9"/>
  <c r="J266" i="9" s="1"/>
  <c r="A284" i="9"/>
  <c r="D284" i="9"/>
  <c r="J284" i="9" s="1"/>
  <c r="A260" i="9"/>
  <c r="D260" i="9"/>
  <c r="J260" i="9" s="1"/>
  <c r="A276" i="9"/>
  <c r="D276" i="9"/>
  <c r="J276" i="9" s="1"/>
  <c r="A262" i="9"/>
  <c r="D262" i="9"/>
  <c r="J262" i="9" s="1"/>
  <c r="A280" i="9"/>
  <c r="D280" i="9"/>
  <c r="J280" i="9" s="1"/>
  <c r="A283" i="9"/>
  <c r="D283" i="9"/>
  <c r="J283" i="9" s="1"/>
  <c r="A277" i="9"/>
  <c r="D277" i="9"/>
  <c r="J277" i="9" s="1"/>
  <c r="A288" i="9"/>
  <c r="D288" i="9"/>
  <c r="J288" i="9" s="1"/>
  <c r="A290" i="9"/>
  <c r="D290" i="9"/>
  <c r="J290" i="9" s="1"/>
  <c r="A273" i="9"/>
  <c r="D273" i="9"/>
  <c r="J273" i="9" s="1"/>
  <c r="A6" i="9"/>
  <c r="D6" i="9"/>
  <c r="J6" i="9" s="1"/>
  <c r="A291" i="9"/>
  <c r="D291" i="9"/>
  <c r="J291" i="9" s="1"/>
  <c r="A263" i="9"/>
  <c r="D263" i="9"/>
  <c r="J263" i="9" s="1"/>
  <c r="A256" i="9"/>
  <c r="D256" i="9"/>
  <c r="J256" i="9" s="1"/>
  <c r="A3" i="9"/>
  <c r="D3" i="9"/>
  <c r="J3" i="9" s="1"/>
  <c r="A268" i="9"/>
  <c r="D268" i="9"/>
  <c r="J268" i="9" s="1"/>
  <c r="A282" i="9"/>
  <c r="D282" i="9"/>
  <c r="J282" i="9" s="1"/>
  <c r="A275" i="9"/>
  <c r="D275" i="9"/>
  <c r="J275" i="9" s="1"/>
  <c r="A257" i="9"/>
  <c r="D257" i="9"/>
  <c r="J257" i="9" s="1"/>
  <c r="A292" i="9"/>
  <c r="D292" i="9"/>
  <c r="J292" i="9" s="1"/>
  <c r="A270" i="9"/>
  <c r="D270" i="9"/>
  <c r="J270" i="9" s="1"/>
  <c r="A4" i="9"/>
  <c r="D4" i="9"/>
  <c r="J4" i="9" s="1"/>
  <c r="A174" i="9"/>
  <c r="D174" i="9"/>
  <c r="J174" i="9" s="1"/>
  <c r="A289" i="9"/>
  <c r="D289" i="9"/>
  <c r="J289" i="9" s="1"/>
  <c r="A265" i="9"/>
  <c r="D265" i="9"/>
  <c r="J265" i="9" s="1"/>
  <c r="A271" i="9"/>
  <c r="D271" i="9"/>
  <c r="J271" i="9" s="1"/>
  <c r="A293" i="9"/>
  <c r="D293" i="9"/>
  <c r="J293" i="9" s="1"/>
  <c r="A5" i="9"/>
  <c r="D5" i="9"/>
  <c r="J5" i="9" s="1"/>
  <c r="A259" i="9"/>
  <c r="D259" i="9"/>
  <c r="J259" i="9" s="1"/>
  <c r="A255" i="9"/>
  <c r="D255" i="9"/>
  <c r="J255" i="9" s="1"/>
  <c r="A247" i="9"/>
  <c r="D247" i="9"/>
  <c r="J247" i="9" s="1"/>
  <c r="A7" i="9"/>
  <c r="D7" i="9"/>
  <c r="J7" i="9" s="1"/>
  <c r="A240" i="9"/>
  <c r="D240" i="9"/>
  <c r="J240" i="9" s="1"/>
  <c r="A254" i="9"/>
  <c r="D254" i="9"/>
  <c r="J254" i="9" s="1"/>
  <c r="A253" i="9"/>
  <c r="D253" i="9"/>
  <c r="J253" i="9" s="1"/>
  <c r="A176" i="9"/>
  <c r="D176" i="9"/>
  <c r="A252" i="9"/>
  <c r="D252" i="9"/>
  <c r="J252" i="9" s="1"/>
  <c r="A9" i="9"/>
  <c r="D9" i="9"/>
  <c r="J9" i="9" s="1"/>
  <c r="A246" i="9"/>
  <c r="D246" i="9"/>
  <c r="J246" i="9" s="1"/>
  <c r="A218" i="9"/>
  <c r="D218" i="9"/>
  <c r="J218" i="9" s="1"/>
  <c r="A8" i="9"/>
  <c r="D8" i="9"/>
  <c r="J8" i="9" s="1"/>
  <c r="A178" i="9"/>
  <c r="D178" i="9"/>
  <c r="J178" i="9" s="1"/>
  <c r="A197" i="9"/>
  <c r="D197" i="9"/>
  <c r="J197" i="9" s="1"/>
  <c r="A213" i="9"/>
  <c r="D213" i="9"/>
  <c r="J213" i="9" s="1"/>
  <c r="A239" i="9"/>
  <c r="D239" i="9"/>
  <c r="J239" i="9" s="1"/>
  <c r="A298" i="9"/>
  <c r="D298" i="9"/>
  <c r="J298" i="9" s="1"/>
  <c r="A202" i="9"/>
  <c r="D202" i="9"/>
  <c r="J202" i="9" s="1"/>
  <c r="A184" i="9"/>
  <c r="D184" i="9"/>
  <c r="J184" i="9" s="1"/>
  <c r="A193" i="9"/>
  <c r="D193" i="9"/>
  <c r="J193" i="9" s="1"/>
  <c r="A245" i="9"/>
  <c r="D245" i="9"/>
  <c r="J245" i="9" s="1"/>
  <c r="A231" i="9"/>
  <c r="D231" i="9"/>
  <c r="J231" i="9" s="1"/>
  <c r="A183" i="9"/>
  <c r="D183" i="9"/>
  <c r="J183" i="9" s="1"/>
  <c r="A214" i="9"/>
  <c r="D214" i="9"/>
  <c r="J214" i="9" s="1"/>
  <c r="A209" i="9"/>
  <c r="D209" i="9"/>
  <c r="J209" i="9" s="1"/>
  <c r="A203" i="9"/>
  <c r="D203" i="9"/>
  <c r="J203" i="9" s="1"/>
  <c r="A206" i="9"/>
  <c r="D206" i="9"/>
  <c r="J206" i="9" s="1"/>
  <c r="A187" i="9"/>
  <c r="D187" i="9"/>
  <c r="J187" i="9" s="1"/>
  <c r="A179" i="9"/>
  <c r="D179" i="9"/>
  <c r="J179" i="9" s="1"/>
  <c r="A249" i="9"/>
  <c r="D249" i="9"/>
  <c r="J249" i="9" s="1"/>
  <c r="A248" i="9"/>
  <c r="D248" i="9"/>
  <c r="J248" i="9" s="1"/>
  <c r="A230" i="9"/>
  <c r="D230" i="9"/>
  <c r="J230" i="9" s="1"/>
  <c r="A241" i="9"/>
  <c r="D241" i="9"/>
  <c r="J241" i="9" s="1"/>
  <c r="A243" i="9"/>
  <c r="D243" i="9"/>
  <c r="J243" i="9" s="1"/>
  <c r="A204" i="9"/>
  <c r="D204" i="9"/>
  <c r="J204" i="9" s="1"/>
  <c r="A180" i="9"/>
  <c r="D180" i="9"/>
  <c r="J180" i="9" s="1"/>
  <c r="A242" i="9"/>
  <c r="D242" i="9"/>
  <c r="J242" i="9" s="1"/>
  <c r="A219" i="9"/>
  <c r="D219" i="9"/>
  <c r="J219" i="9" s="1"/>
  <c r="A182" i="9"/>
  <c r="D182" i="9"/>
  <c r="J182" i="9" s="1"/>
  <c r="A215" i="9"/>
  <c r="D215" i="9"/>
  <c r="J215" i="9" s="1"/>
  <c r="A191" i="9"/>
  <c r="D191" i="9"/>
  <c r="J191" i="9" s="1"/>
  <c r="A216" i="9"/>
  <c r="D216" i="9"/>
  <c r="J216" i="9" s="1"/>
  <c r="A238" i="9"/>
  <c r="D238" i="9"/>
  <c r="J238" i="9" s="1"/>
  <c r="A220" i="9"/>
  <c r="D220" i="9"/>
  <c r="J220" i="9" s="1"/>
  <c r="A295" i="9"/>
  <c r="D295" i="9"/>
  <c r="J295" i="9" s="1"/>
  <c r="A244" i="9"/>
  <c r="D244" i="9"/>
  <c r="J244" i="9" s="1"/>
  <c r="A236" i="9"/>
  <c r="D236" i="9"/>
  <c r="J236" i="9" s="1"/>
  <c r="A234" i="9"/>
  <c r="D234" i="9"/>
  <c r="J234" i="9" s="1"/>
  <c r="A225" i="9"/>
  <c r="D225" i="9"/>
  <c r="J225" i="9" s="1"/>
  <c r="A251" i="9"/>
  <c r="D251" i="9"/>
  <c r="J251" i="9" s="1"/>
  <c r="A211" i="9"/>
  <c r="D211" i="9"/>
  <c r="J211" i="9" s="1"/>
  <c r="A185" i="9"/>
  <c r="D185" i="9"/>
  <c r="J185" i="9" s="1"/>
  <c r="A192" i="9"/>
  <c r="D192" i="9"/>
  <c r="J192" i="9" s="1"/>
  <c r="A223" i="9"/>
  <c r="D223" i="9"/>
  <c r="J223" i="9" s="1"/>
  <c r="A194" i="9"/>
  <c r="D194" i="9"/>
  <c r="J194" i="9" s="1"/>
  <c r="A235" i="9"/>
  <c r="D235" i="9"/>
  <c r="J235" i="9" s="1"/>
  <c r="A210" i="9"/>
  <c r="D210" i="9"/>
  <c r="J210" i="9" s="1"/>
  <c r="A228" i="9"/>
  <c r="D228" i="9"/>
  <c r="J228" i="9" s="1"/>
  <c r="A226" i="9"/>
  <c r="D226" i="9"/>
  <c r="J226" i="9" s="1"/>
  <c r="A222" i="9"/>
  <c r="D222" i="9"/>
  <c r="J222" i="9" s="1"/>
  <c r="A207" i="9"/>
  <c r="D207" i="9"/>
  <c r="J207" i="9" s="1"/>
  <c r="A227" i="9"/>
  <c r="D227" i="9"/>
  <c r="J227" i="9" s="1"/>
  <c r="A177" i="9"/>
  <c r="D177" i="9"/>
  <c r="A189" i="9"/>
  <c r="D189" i="9"/>
  <c r="J189" i="9" s="1"/>
  <c r="A175" i="9"/>
  <c r="D175" i="9"/>
  <c r="J175" i="9" s="1"/>
  <c r="A195" i="9"/>
  <c r="D195" i="9"/>
  <c r="J195" i="9" s="1"/>
  <c r="A208" i="9"/>
  <c r="D208" i="9"/>
  <c r="J208" i="9" s="1"/>
  <c r="A188" i="9"/>
  <c r="D188" i="9"/>
  <c r="J188" i="9" s="1"/>
  <c r="A181" i="9"/>
  <c r="D181" i="9"/>
  <c r="J181" i="9" s="1"/>
  <c r="A196" i="9"/>
  <c r="D196" i="9"/>
  <c r="J196" i="9" s="1"/>
  <c r="A224" i="9"/>
  <c r="D224" i="9"/>
  <c r="J224" i="9" s="1"/>
  <c r="A232" i="9"/>
  <c r="D232" i="9"/>
  <c r="J232" i="9" s="1"/>
  <c r="A233" i="9"/>
  <c r="D233" i="9"/>
  <c r="J233" i="9" s="1"/>
  <c r="A186" i="9"/>
  <c r="D186" i="9"/>
  <c r="J186" i="9" s="1"/>
  <c r="A229" i="9"/>
  <c r="D229" i="9"/>
  <c r="J229" i="9" s="1"/>
  <c r="A250" i="9"/>
  <c r="D250" i="9"/>
  <c r="J250" i="9" s="1"/>
  <c r="A205" i="9"/>
  <c r="D205" i="9"/>
  <c r="J205" i="9" s="1"/>
  <c r="A198" i="9"/>
  <c r="D198" i="9"/>
  <c r="J198" i="9" s="1"/>
  <c r="A217" i="9"/>
  <c r="D217" i="9"/>
  <c r="J217" i="9" s="1"/>
  <c r="A212" i="9"/>
  <c r="D212" i="9"/>
  <c r="J212" i="9" s="1"/>
  <c r="A296" i="9"/>
  <c r="D296" i="9"/>
  <c r="J296" i="9" s="1"/>
  <c r="A201" i="9"/>
  <c r="D201" i="9"/>
  <c r="J201" i="9" s="1"/>
  <c r="A200" i="9"/>
  <c r="D200" i="9"/>
  <c r="J200" i="9" s="1"/>
  <c r="A190" i="9"/>
  <c r="D190" i="9"/>
  <c r="J190" i="9" s="1"/>
  <c r="A199" i="9"/>
  <c r="D199" i="9"/>
  <c r="J199" i="9" s="1"/>
  <c r="A297" i="9"/>
  <c r="D297" i="9"/>
  <c r="J297" i="9" s="1"/>
  <c r="A299" i="9"/>
  <c r="D299" i="9"/>
  <c r="J299" i="9" s="1"/>
  <c r="A237" i="9"/>
  <c r="D237" i="9"/>
  <c r="J237" i="9" s="1"/>
  <c r="A301" i="9"/>
  <c r="D301" i="9"/>
  <c r="J301" i="9" s="1"/>
  <c r="A302" i="9"/>
  <c r="D302" i="9"/>
  <c r="J302" i="9" s="1"/>
  <c r="A221" i="9"/>
  <c r="D221" i="9"/>
  <c r="J221" i="9" s="1"/>
  <c r="A300" i="9"/>
  <c r="D300" i="9"/>
  <c r="J300" i="9" s="1"/>
  <c r="A10" i="9"/>
  <c r="D10" i="9"/>
  <c r="J10" i="9" s="1"/>
  <c r="A11" i="9"/>
  <c r="D11" i="9"/>
  <c r="J11" i="9" s="1"/>
  <c r="A12" i="9"/>
  <c r="D12" i="9"/>
  <c r="J12" i="9" s="1"/>
  <c r="A13" i="9"/>
  <c r="D13" i="9"/>
  <c r="J13" i="9" s="1"/>
  <c r="A14" i="9"/>
  <c r="D14" i="9"/>
  <c r="J14" i="9" s="1"/>
  <c r="A15" i="9"/>
  <c r="D15" i="9"/>
  <c r="J15" i="9" s="1"/>
  <c r="A16" i="9"/>
  <c r="D16" i="9"/>
  <c r="J16" i="9" s="1"/>
  <c r="A17" i="9"/>
  <c r="D17" i="9"/>
  <c r="J17" i="9" s="1"/>
  <c r="A18" i="9"/>
  <c r="D18" i="9"/>
  <c r="J18" i="9" s="1"/>
  <c r="A19" i="9"/>
  <c r="D19" i="9"/>
  <c r="J19" i="9" s="1"/>
  <c r="A20" i="9"/>
  <c r="D20" i="9"/>
  <c r="J20" i="9" s="1"/>
  <c r="A21" i="9"/>
  <c r="D21" i="9"/>
  <c r="J21" i="9" s="1"/>
  <c r="A22" i="9"/>
  <c r="D22" i="9"/>
  <c r="J22" i="9" s="1"/>
  <c r="A23" i="9"/>
  <c r="D23" i="9"/>
  <c r="J23" i="9" s="1"/>
  <c r="A24" i="9"/>
  <c r="D24" i="9"/>
  <c r="J24" i="9" s="1"/>
  <c r="A25" i="9"/>
  <c r="D25" i="9"/>
  <c r="J25" i="9" s="1"/>
  <c r="A26" i="9"/>
  <c r="D26" i="9"/>
  <c r="J26" i="9" s="1"/>
  <c r="A27" i="9"/>
  <c r="D27" i="9"/>
  <c r="J27" i="9" s="1"/>
  <c r="A28" i="9"/>
  <c r="D28" i="9"/>
  <c r="J28" i="9" s="1"/>
  <c r="A29" i="9"/>
  <c r="D29" i="9"/>
  <c r="J29" i="9" s="1"/>
  <c r="A30" i="9"/>
  <c r="D30" i="9"/>
  <c r="J30" i="9" s="1"/>
  <c r="A31" i="9"/>
  <c r="D31" i="9"/>
  <c r="J31" i="9" s="1"/>
  <c r="A32" i="9"/>
  <c r="D32" i="9"/>
  <c r="J32" i="9" s="1"/>
  <c r="A33" i="9"/>
  <c r="D33" i="9"/>
  <c r="J33" i="9" s="1"/>
  <c r="A34" i="9"/>
  <c r="D34" i="9"/>
  <c r="J34" i="9" s="1"/>
  <c r="A35" i="9"/>
  <c r="D35" i="9"/>
  <c r="J35" i="9" s="1"/>
  <c r="A36" i="9"/>
  <c r="D36" i="9"/>
  <c r="J36" i="9" s="1"/>
  <c r="A37" i="9"/>
  <c r="D37" i="9"/>
  <c r="J37" i="9" s="1"/>
  <c r="A38" i="9"/>
  <c r="D38" i="9"/>
  <c r="J38" i="9" s="1"/>
  <c r="A39" i="9"/>
  <c r="D39" i="9"/>
  <c r="J39" i="9" s="1"/>
  <c r="A40" i="9"/>
  <c r="D40" i="9"/>
  <c r="J40" i="9" s="1"/>
  <c r="A41" i="9"/>
  <c r="D41" i="9"/>
  <c r="J41" i="9" s="1"/>
  <c r="A42" i="9"/>
  <c r="D42" i="9"/>
  <c r="J42" i="9" s="1"/>
  <c r="A43" i="9"/>
  <c r="D43" i="9"/>
  <c r="J43" i="9" s="1"/>
  <c r="A44" i="9"/>
  <c r="D44" i="9"/>
  <c r="J44" i="9" s="1"/>
  <c r="A45" i="9"/>
  <c r="D45" i="9"/>
  <c r="J45" i="9" s="1"/>
  <c r="A46" i="9"/>
  <c r="D46" i="9"/>
  <c r="J46" i="9" s="1"/>
  <c r="A47" i="9"/>
  <c r="D47" i="9"/>
  <c r="J47" i="9" s="1"/>
  <c r="A48" i="9"/>
  <c r="D48" i="9"/>
  <c r="J48" i="9" s="1"/>
  <c r="A49" i="9"/>
  <c r="D49" i="9"/>
  <c r="J49" i="9" s="1"/>
  <c r="A50" i="9"/>
  <c r="D50" i="9"/>
  <c r="J50" i="9" s="1"/>
  <c r="A51" i="9"/>
  <c r="D51" i="9"/>
  <c r="J51" i="9" s="1"/>
  <c r="A52" i="9"/>
  <c r="D52" i="9"/>
  <c r="J52" i="9" s="1"/>
  <c r="A53" i="9"/>
  <c r="D53" i="9"/>
  <c r="J53" i="9" s="1"/>
  <c r="A54" i="9"/>
  <c r="D54" i="9"/>
  <c r="J54" i="9" s="1"/>
  <c r="A55" i="9"/>
  <c r="D55" i="9"/>
  <c r="J55" i="9" s="1"/>
  <c r="A56" i="9"/>
  <c r="D56" i="9"/>
  <c r="J56" i="9" s="1"/>
  <c r="A57" i="9"/>
  <c r="D57" i="9"/>
  <c r="J57" i="9" s="1"/>
  <c r="A58" i="9"/>
  <c r="D58" i="9"/>
  <c r="J58" i="9" s="1"/>
  <c r="A59" i="9"/>
  <c r="D59" i="9"/>
  <c r="J59" i="9" s="1"/>
  <c r="A60" i="9"/>
  <c r="D60" i="9"/>
  <c r="J60" i="9" s="1"/>
  <c r="A61" i="9"/>
  <c r="D61" i="9"/>
  <c r="J61" i="9" s="1"/>
  <c r="A62" i="9"/>
  <c r="D62" i="9"/>
  <c r="J62" i="9" s="1"/>
  <c r="A63" i="9"/>
  <c r="D63" i="9"/>
  <c r="J63" i="9" s="1"/>
  <c r="A64" i="9"/>
  <c r="D64" i="9"/>
  <c r="J64" i="9" s="1"/>
  <c r="A65" i="9"/>
  <c r="D65" i="9"/>
  <c r="J65" i="9" s="1"/>
  <c r="A66" i="9"/>
  <c r="D66" i="9"/>
  <c r="J66" i="9" s="1"/>
  <c r="A67" i="9"/>
  <c r="D67" i="9"/>
  <c r="J67" i="9" s="1"/>
  <c r="A68" i="9"/>
  <c r="D68" i="9"/>
  <c r="J68" i="9" s="1"/>
  <c r="A69" i="9"/>
  <c r="D69" i="9"/>
  <c r="J69" i="9" s="1"/>
  <c r="A70" i="9"/>
  <c r="D70" i="9"/>
  <c r="J70" i="9" s="1"/>
  <c r="A71" i="9"/>
  <c r="D71" i="9"/>
  <c r="J71" i="9" s="1"/>
  <c r="A72" i="9"/>
  <c r="D72" i="9"/>
  <c r="J72" i="9" s="1"/>
  <c r="A73" i="9"/>
  <c r="D73" i="9"/>
  <c r="J73" i="9" s="1"/>
  <c r="A74" i="9"/>
  <c r="D74" i="9"/>
  <c r="J74" i="9" s="1"/>
  <c r="A75" i="9"/>
  <c r="D75" i="9"/>
  <c r="J75" i="9" s="1"/>
  <c r="A76" i="9"/>
  <c r="D76" i="9"/>
  <c r="J76" i="9" s="1"/>
  <c r="A77" i="9"/>
  <c r="D77" i="9"/>
  <c r="J77" i="9" s="1"/>
  <c r="A78" i="9"/>
  <c r="D78" i="9"/>
  <c r="J78" i="9" s="1"/>
  <c r="A79" i="9"/>
  <c r="D79" i="9"/>
  <c r="J79" i="9" s="1"/>
  <c r="A80" i="9"/>
  <c r="D80" i="9"/>
  <c r="J80" i="9" s="1"/>
  <c r="A81" i="9"/>
  <c r="D81" i="9"/>
  <c r="J81" i="9" s="1"/>
  <c r="A82" i="9"/>
  <c r="D82" i="9"/>
  <c r="J82" i="9" s="1"/>
  <c r="A83" i="9"/>
  <c r="D83" i="9"/>
  <c r="J83" i="9" s="1"/>
  <c r="A84" i="9"/>
  <c r="D84" i="9"/>
  <c r="J84" i="9" s="1"/>
  <c r="A85" i="9"/>
  <c r="D85" i="9"/>
  <c r="J85" i="9" s="1"/>
  <c r="A86" i="9"/>
  <c r="D86" i="9"/>
  <c r="J86" i="9" s="1"/>
  <c r="A87" i="9"/>
  <c r="D87" i="9"/>
  <c r="J87" i="9" s="1"/>
  <c r="A88" i="9"/>
  <c r="D88" i="9"/>
  <c r="J88" i="9" s="1"/>
  <c r="A89" i="9"/>
  <c r="D89" i="9"/>
  <c r="J89" i="9" s="1"/>
  <c r="A90" i="9"/>
  <c r="D90" i="9"/>
  <c r="J90" i="9" s="1"/>
  <c r="A91" i="9"/>
  <c r="D91" i="9"/>
  <c r="J91" i="9" s="1"/>
  <c r="A92" i="9"/>
  <c r="D92" i="9"/>
  <c r="J92" i="9" s="1"/>
  <c r="A93" i="9"/>
  <c r="D93" i="9"/>
  <c r="J93" i="9" s="1"/>
  <c r="A94" i="9"/>
  <c r="D94" i="9"/>
  <c r="J94" i="9" s="1"/>
  <c r="A95" i="9"/>
  <c r="D95" i="9"/>
  <c r="J95" i="9" s="1"/>
  <c r="A96" i="9"/>
  <c r="D96" i="9"/>
  <c r="J96" i="9" s="1"/>
  <c r="A97" i="9"/>
  <c r="D97" i="9"/>
  <c r="J97" i="9" s="1"/>
  <c r="A98" i="9"/>
  <c r="D98" i="9"/>
  <c r="J98" i="9" s="1"/>
  <c r="A99" i="9"/>
  <c r="D99" i="9"/>
  <c r="J99" i="9" s="1"/>
  <c r="A100" i="9"/>
  <c r="D100" i="9"/>
  <c r="J100" i="9" s="1"/>
  <c r="A101" i="9"/>
  <c r="D101" i="9"/>
  <c r="J101" i="9" s="1"/>
  <c r="A102" i="9"/>
  <c r="D102" i="9"/>
  <c r="J102" i="9" s="1"/>
  <c r="A103" i="9"/>
  <c r="D103" i="9"/>
  <c r="J103" i="9" s="1"/>
  <c r="A104" i="9"/>
  <c r="D104" i="9"/>
  <c r="J104" i="9" s="1"/>
  <c r="A105" i="9"/>
  <c r="D105" i="9"/>
  <c r="J105" i="9" s="1"/>
  <c r="A106" i="9"/>
  <c r="D106" i="9"/>
  <c r="J106" i="9" s="1"/>
  <c r="A107" i="9"/>
  <c r="D107" i="9"/>
  <c r="J107" i="9" s="1"/>
  <c r="A108" i="9"/>
  <c r="D108" i="9"/>
  <c r="J108" i="9" s="1"/>
  <c r="A109" i="9"/>
  <c r="D109" i="9"/>
  <c r="J109" i="9" s="1"/>
  <c r="A110" i="9"/>
  <c r="D110" i="9"/>
  <c r="J110" i="9" s="1"/>
  <c r="A111" i="9"/>
  <c r="D111" i="9"/>
  <c r="J111" i="9" s="1"/>
  <c r="A112" i="9"/>
  <c r="D112" i="9"/>
  <c r="J112" i="9" s="1"/>
  <c r="A113" i="9"/>
  <c r="D113" i="9"/>
  <c r="J113" i="9" s="1"/>
  <c r="A114" i="9"/>
  <c r="D114" i="9"/>
  <c r="J114" i="9" s="1"/>
  <c r="A115" i="9"/>
  <c r="D115" i="9"/>
  <c r="J115" i="9" s="1"/>
  <c r="A116" i="9"/>
  <c r="D116" i="9"/>
  <c r="J116" i="9" s="1"/>
  <c r="A117" i="9"/>
  <c r="D117" i="9"/>
  <c r="J117" i="9" s="1"/>
  <c r="A118" i="9"/>
  <c r="D118" i="9"/>
  <c r="J118" i="9" s="1"/>
  <c r="A119" i="9"/>
  <c r="D119" i="9"/>
  <c r="J119" i="9" s="1"/>
  <c r="A120" i="9"/>
  <c r="D120" i="9"/>
  <c r="J120" i="9" s="1"/>
  <c r="A121" i="9"/>
  <c r="D121" i="9"/>
  <c r="J121" i="9" s="1"/>
  <c r="A122" i="9"/>
  <c r="D122" i="9"/>
  <c r="J122" i="9" s="1"/>
  <c r="A123" i="9"/>
  <c r="D123" i="9"/>
  <c r="J123" i="9" s="1"/>
  <c r="A124" i="9"/>
  <c r="D124" i="9"/>
  <c r="J124" i="9" s="1"/>
  <c r="A125" i="9"/>
  <c r="D125" i="9"/>
  <c r="J125" i="9" s="1"/>
  <c r="A126" i="9"/>
  <c r="D126" i="9"/>
  <c r="J126" i="9" s="1"/>
  <c r="A127" i="9"/>
  <c r="D127" i="9"/>
  <c r="J127" i="9" s="1"/>
  <c r="A128" i="9"/>
  <c r="D128" i="9"/>
  <c r="J128" i="9" s="1"/>
  <c r="A129" i="9"/>
  <c r="D129" i="9"/>
  <c r="J129" i="9" s="1"/>
  <c r="A130" i="9"/>
  <c r="D130" i="9"/>
  <c r="J130" i="9" s="1"/>
  <c r="A131" i="9"/>
  <c r="D131" i="9"/>
  <c r="J131" i="9" s="1"/>
  <c r="A132" i="9"/>
  <c r="D132" i="9"/>
  <c r="J132" i="9" s="1"/>
  <c r="A133" i="9"/>
  <c r="D133" i="9"/>
  <c r="J133" i="9" s="1"/>
  <c r="A134" i="9"/>
  <c r="D134" i="9"/>
  <c r="J134" i="9" s="1"/>
  <c r="A135" i="9"/>
  <c r="D135" i="9"/>
  <c r="J135" i="9" s="1"/>
  <c r="A136" i="9"/>
  <c r="D136" i="9"/>
  <c r="J136" i="9" s="1"/>
  <c r="A137" i="9"/>
  <c r="D137" i="9"/>
  <c r="J137" i="9" s="1"/>
  <c r="A138" i="9"/>
  <c r="D138" i="9"/>
  <c r="J138" i="9" s="1"/>
  <c r="A139" i="9"/>
  <c r="D139" i="9"/>
  <c r="J139" i="9" s="1"/>
  <c r="A140" i="9"/>
  <c r="D140" i="9"/>
  <c r="J140" i="9" s="1"/>
  <c r="A141" i="9"/>
  <c r="D141" i="9"/>
  <c r="J141" i="9" s="1"/>
  <c r="A142" i="9"/>
  <c r="D142" i="9"/>
  <c r="J142" i="9" s="1"/>
  <c r="A143" i="9"/>
  <c r="D143" i="9"/>
  <c r="J143" i="9" s="1"/>
  <c r="A144" i="9"/>
  <c r="D144" i="9"/>
  <c r="J144" i="9" s="1"/>
  <c r="A145" i="9"/>
  <c r="D145" i="9"/>
  <c r="J145" i="9" s="1"/>
  <c r="A146" i="9"/>
  <c r="D146" i="9"/>
  <c r="J146" i="9" s="1"/>
  <c r="A147" i="9"/>
  <c r="D147" i="9"/>
  <c r="J147" i="9" s="1"/>
  <c r="A148" i="9"/>
  <c r="D148" i="9"/>
  <c r="J148" i="9" s="1"/>
  <c r="A149" i="9"/>
  <c r="D149" i="9"/>
  <c r="J149" i="9" s="1"/>
  <c r="A150" i="9"/>
  <c r="D150" i="9"/>
  <c r="J150" i="9" s="1"/>
  <c r="A151" i="9"/>
  <c r="D151" i="9"/>
  <c r="J151" i="9" s="1"/>
  <c r="A152" i="9"/>
  <c r="D152" i="9"/>
  <c r="J152" i="9" s="1"/>
  <c r="A153" i="9"/>
  <c r="D153" i="9"/>
  <c r="J153" i="9" s="1"/>
  <c r="A154" i="9"/>
  <c r="D154" i="9"/>
  <c r="J154" i="9" s="1"/>
  <c r="A155" i="9"/>
  <c r="D155" i="9"/>
  <c r="J155" i="9" s="1"/>
  <c r="A156" i="9"/>
  <c r="D156" i="9"/>
  <c r="J156" i="9" s="1"/>
  <c r="A157" i="9"/>
  <c r="D157" i="9"/>
  <c r="J157" i="9" s="1"/>
  <c r="A158" i="9"/>
  <c r="D158" i="9"/>
  <c r="J158" i="9" s="1"/>
  <c r="A159" i="9"/>
  <c r="D159" i="9"/>
  <c r="J159" i="9" s="1"/>
  <c r="A160" i="9"/>
  <c r="D160" i="9"/>
  <c r="J160" i="9" s="1"/>
  <c r="A161" i="9"/>
  <c r="D161" i="9"/>
  <c r="J161" i="9" s="1"/>
  <c r="A162" i="9"/>
  <c r="D162" i="9"/>
  <c r="J162" i="9" s="1"/>
  <c r="A163" i="9"/>
  <c r="D163" i="9"/>
  <c r="J163" i="9" s="1"/>
  <c r="A164" i="9"/>
  <c r="D164" i="9"/>
  <c r="J164" i="9" s="1"/>
  <c r="A165" i="9"/>
  <c r="D165" i="9"/>
  <c r="J165" i="9" s="1"/>
  <c r="A166" i="9"/>
  <c r="D166" i="9"/>
  <c r="J166" i="9" s="1"/>
  <c r="A167" i="9"/>
  <c r="D167" i="9"/>
  <c r="J167" i="9" s="1"/>
  <c r="A168" i="9"/>
  <c r="D168" i="9"/>
  <c r="J168" i="9" s="1"/>
  <c r="A169" i="9"/>
  <c r="D169" i="9"/>
  <c r="J169" i="9" s="1"/>
  <c r="A170" i="9"/>
  <c r="D170" i="9"/>
  <c r="J170" i="9" s="1"/>
  <c r="A171" i="9"/>
  <c r="D171" i="9"/>
  <c r="J171" i="9" s="1"/>
  <c r="A172" i="9"/>
  <c r="D172" i="9"/>
  <c r="J172" i="9" s="1"/>
  <c r="A173" i="9"/>
  <c r="D173" i="9"/>
  <c r="J173" i="9" s="1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A1" i="7"/>
  <c r="B1" i="7"/>
  <c r="C1" i="7"/>
  <c r="D1" i="7"/>
  <c r="E1" i="7"/>
  <c r="F1" i="7"/>
  <c r="A2" i="7"/>
  <c r="B2" i="7"/>
  <c r="C2" i="7"/>
  <c r="D2" i="7"/>
  <c r="E2" i="7"/>
  <c r="F2" i="7"/>
  <c r="A135" i="7"/>
  <c r="D135" i="7"/>
  <c r="B135" i="7" s="1"/>
  <c r="A100" i="7"/>
  <c r="D100" i="7"/>
  <c r="A130" i="7"/>
  <c r="D130" i="7"/>
  <c r="A112" i="7"/>
  <c r="D112" i="7"/>
  <c r="A111" i="7"/>
  <c r="D111" i="7"/>
  <c r="A86" i="7"/>
  <c r="D86" i="7"/>
  <c r="A103" i="7"/>
  <c r="D103" i="7"/>
  <c r="A105" i="7"/>
  <c r="D105" i="7"/>
  <c r="A109" i="7"/>
  <c r="D109" i="7"/>
  <c r="A67" i="7"/>
  <c r="D67" i="7"/>
  <c r="A125" i="7"/>
  <c r="D125" i="7"/>
  <c r="A118" i="7"/>
  <c r="D118" i="7"/>
  <c r="A92" i="7"/>
  <c r="D92" i="7"/>
  <c r="A128" i="7"/>
  <c r="D128" i="7"/>
  <c r="B128" i="7" s="1"/>
  <c r="A113" i="7"/>
  <c r="D113" i="7"/>
  <c r="B113" i="7" s="1"/>
  <c r="A93" i="7"/>
  <c r="D93" i="7"/>
  <c r="A108" i="7"/>
  <c r="D108" i="7"/>
  <c r="A96" i="7"/>
  <c r="D96" i="7"/>
  <c r="A133" i="7"/>
  <c r="D133" i="7"/>
  <c r="A79" i="7"/>
  <c r="D79" i="7"/>
  <c r="A84" i="7"/>
  <c r="D84" i="7"/>
  <c r="A64" i="7"/>
  <c r="D64" i="7"/>
  <c r="A85" i="7"/>
  <c r="D85" i="7"/>
  <c r="A70" i="7"/>
  <c r="D70" i="7"/>
  <c r="A101" i="7"/>
  <c r="D101" i="7"/>
  <c r="A4" i="7"/>
  <c r="D4" i="7"/>
  <c r="A107" i="7"/>
  <c r="D107" i="7"/>
  <c r="A132" i="7"/>
  <c r="D132" i="7"/>
  <c r="A138" i="7"/>
  <c r="D138" i="7"/>
  <c r="A9" i="7"/>
  <c r="D9" i="7"/>
  <c r="A123" i="7"/>
  <c r="D123" i="7"/>
  <c r="A94" i="7"/>
  <c r="D94" i="7"/>
  <c r="A110" i="7"/>
  <c r="D110" i="7"/>
  <c r="A134" i="7"/>
  <c r="D134" i="7"/>
  <c r="A65" i="7"/>
  <c r="D65" i="7"/>
  <c r="A122" i="7"/>
  <c r="D122" i="7"/>
  <c r="A8" i="7"/>
  <c r="D8" i="7"/>
  <c r="A10" i="7"/>
  <c r="D10" i="7"/>
  <c r="A121" i="7"/>
  <c r="D121" i="7"/>
  <c r="A124" i="7"/>
  <c r="D124" i="7"/>
  <c r="A75" i="7"/>
  <c r="D75" i="7"/>
  <c r="A78" i="7"/>
  <c r="D78" i="7"/>
  <c r="A6" i="7"/>
  <c r="D6" i="7"/>
  <c r="A136" i="7"/>
  <c r="D136" i="7"/>
  <c r="A49" i="7"/>
  <c r="D49" i="7"/>
  <c r="A127" i="7"/>
  <c r="D127" i="7"/>
  <c r="A5" i="7"/>
  <c r="D5" i="7"/>
  <c r="A129" i="7"/>
  <c r="D129" i="7"/>
  <c r="A28" i="7"/>
  <c r="D28" i="7"/>
  <c r="A97" i="7"/>
  <c r="D97" i="7"/>
  <c r="A137" i="7"/>
  <c r="D137" i="7"/>
  <c r="B137" i="7" s="1"/>
  <c r="A81" i="7"/>
  <c r="D81" i="7"/>
  <c r="A7" i="7"/>
  <c r="D7" i="7"/>
  <c r="A88" i="7"/>
  <c r="D88" i="7"/>
  <c r="A117" i="7"/>
  <c r="D117" i="7"/>
  <c r="A3" i="7"/>
  <c r="D3" i="7"/>
  <c r="A95" i="7"/>
  <c r="D95" i="7"/>
  <c r="A114" i="7"/>
  <c r="D114" i="7"/>
  <c r="A73" i="7"/>
  <c r="D73" i="7"/>
  <c r="A34" i="7"/>
  <c r="D34" i="7"/>
  <c r="A131" i="7"/>
  <c r="D131" i="7"/>
  <c r="A106" i="7"/>
  <c r="D106" i="7"/>
  <c r="A116" i="7"/>
  <c r="D116" i="7"/>
  <c r="A71" i="7"/>
  <c r="D71" i="7"/>
  <c r="A115" i="7"/>
  <c r="D115" i="7"/>
  <c r="A77" i="7"/>
  <c r="D77" i="7"/>
  <c r="A98" i="7"/>
  <c r="D98" i="7"/>
  <c r="B98" i="7" s="1"/>
  <c r="A80" i="7"/>
  <c r="D80" i="7"/>
  <c r="A82" i="7"/>
  <c r="D82" i="7"/>
  <c r="A51" i="7"/>
  <c r="D51" i="7"/>
  <c r="A32" i="7"/>
  <c r="D32" i="7"/>
  <c r="B32" i="7" s="1"/>
  <c r="A83" i="7"/>
  <c r="D83" i="7"/>
  <c r="A90" i="7"/>
  <c r="D90" i="7"/>
  <c r="B90" i="7" s="1"/>
  <c r="A16" i="7"/>
  <c r="D16" i="7"/>
  <c r="A18" i="7"/>
  <c r="D18" i="7"/>
  <c r="A60" i="7"/>
  <c r="D60" i="7"/>
  <c r="A43" i="7"/>
  <c r="D43" i="7"/>
  <c r="A38" i="7"/>
  <c r="D38" i="7"/>
  <c r="A59" i="7"/>
  <c r="D59" i="7"/>
  <c r="A30" i="7"/>
  <c r="D30" i="7"/>
  <c r="A48" i="7"/>
  <c r="D48" i="7"/>
  <c r="A76" i="7"/>
  <c r="D76" i="7"/>
  <c r="A87" i="7"/>
  <c r="D87" i="7"/>
  <c r="A68" i="7"/>
  <c r="D68" i="7"/>
  <c r="A69" i="7"/>
  <c r="D69" i="7"/>
  <c r="A62" i="7"/>
  <c r="D62" i="7"/>
  <c r="A54" i="7"/>
  <c r="D54" i="7"/>
  <c r="A63" i="7"/>
  <c r="D63" i="7"/>
  <c r="A126" i="7"/>
  <c r="D126" i="7"/>
  <c r="B126" i="7" s="1"/>
  <c r="A57" i="7"/>
  <c r="D57" i="7"/>
  <c r="A44" i="7"/>
  <c r="D44" i="7"/>
  <c r="E44" i="7" s="1"/>
  <c r="A39" i="7"/>
  <c r="D39" i="7"/>
  <c r="A52" i="7"/>
  <c r="D52" i="7"/>
  <c r="A102" i="7"/>
  <c r="D102" i="7"/>
  <c r="A46" i="7"/>
  <c r="D46" i="7"/>
  <c r="B46" i="7" s="1"/>
  <c r="A61" i="7"/>
  <c r="D61" i="7"/>
  <c r="A50" i="7"/>
  <c r="D50" i="7"/>
  <c r="A36" i="7"/>
  <c r="D36" i="7"/>
  <c r="A74" i="7"/>
  <c r="D74" i="7"/>
  <c r="A17" i="7"/>
  <c r="D17" i="7"/>
  <c r="A72" i="7"/>
  <c r="D72" i="7"/>
  <c r="B72" i="7" s="1"/>
  <c r="A23" i="7"/>
  <c r="D23" i="7"/>
  <c r="A21" i="7"/>
  <c r="D21" i="7"/>
  <c r="B21" i="7" s="1"/>
  <c r="A24" i="7"/>
  <c r="D24" i="7"/>
  <c r="A35" i="7"/>
  <c r="D35" i="7"/>
  <c r="A19" i="7"/>
  <c r="D19" i="7"/>
  <c r="A45" i="7"/>
  <c r="D45" i="7"/>
  <c r="A37" i="7"/>
  <c r="D37" i="7"/>
  <c r="A47" i="7"/>
  <c r="D47" i="7"/>
  <c r="A26" i="7"/>
  <c r="D26" i="7"/>
  <c r="A22" i="7"/>
  <c r="D22" i="7"/>
  <c r="B22" i="7" s="1"/>
  <c r="A56" i="7"/>
  <c r="D56" i="7"/>
  <c r="A31" i="7"/>
  <c r="D31" i="7"/>
  <c r="B31" i="7" s="1"/>
  <c r="A55" i="7"/>
  <c r="D55" i="7"/>
  <c r="A11" i="7"/>
  <c r="D11" i="7"/>
  <c r="B11" i="7" s="1"/>
  <c r="A13" i="7"/>
  <c r="D13" i="7"/>
  <c r="A58" i="7"/>
  <c r="D58" i="7"/>
  <c r="B58" i="7" s="1"/>
  <c r="A53" i="7"/>
  <c r="D53" i="7"/>
  <c r="A12" i="7"/>
  <c r="D12" i="7"/>
  <c r="A66" i="7"/>
  <c r="D66" i="7"/>
  <c r="A40" i="7"/>
  <c r="D40" i="7"/>
  <c r="A25" i="7"/>
  <c r="D25" i="7"/>
  <c r="A14" i="7"/>
  <c r="D14" i="7"/>
  <c r="B14" i="7" s="1"/>
  <c r="A20" i="7"/>
  <c r="D20" i="7"/>
  <c r="A99" i="7"/>
  <c r="D99" i="7"/>
  <c r="A42" i="7"/>
  <c r="D42" i="7"/>
  <c r="A41" i="7"/>
  <c r="D41" i="7"/>
  <c r="B41" i="7" s="1"/>
  <c r="A29" i="7"/>
  <c r="D29" i="7"/>
  <c r="A27" i="7"/>
  <c r="D27" i="7"/>
  <c r="B27" i="7" s="1"/>
  <c r="A91" i="7"/>
  <c r="D91" i="7"/>
  <c r="A104" i="7"/>
  <c r="D104" i="7"/>
  <c r="A33" i="7"/>
  <c r="D33" i="7"/>
  <c r="A120" i="7"/>
  <c r="D120" i="7"/>
  <c r="A119" i="7"/>
  <c r="D119" i="7"/>
  <c r="A15" i="7"/>
  <c r="D15" i="7"/>
  <c r="A89" i="7"/>
  <c r="D89" i="7"/>
  <c r="A139" i="7"/>
  <c r="D139" i="7"/>
  <c r="B139" i="7" s="1"/>
  <c r="A140" i="7"/>
  <c r="D140" i="7"/>
  <c r="E140" i="7" s="1"/>
  <c r="A141" i="7"/>
  <c r="D141" i="7"/>
  <c r="B141" i="7" s="1"/>
  <c r="A142" i="7"/>
  <c r="D142" i="7"/>
  <c r="E142" i="7" s="1"/>
  <c r="A143" i="7"/>
  <c r="D143" i="7"/>
  <c r="B143" i="7" s="1"/>
  <c r="A144" i="7"/>
  <c r="D144" i="7"/>
  <c r="E144" i="7" s="1"/>
  <c r="A145" i="7"/>
  <c r="D145" i="7"/>
  <c r="E145" i="7" s="1"/>
  <c r="A146" i="7"/>
  <c r="D146" i="7"/>
  <c r="E146" i="7" s="1"/>
  <c r="A147" i="7"/>
  <c r="D147" i="7"/>
  <c r="B147" i="7" s="1"/>
  <c r="A148" i="7"/>
  <c r="D148" i="7"/>
  <c r="E148" i="7" s="1"/>
  <c r="A149" i="7"/>
  <c r="D149" i="7"/>
  <c r="B149" i="7" s="1"/>
  <c r="A150" i="7"/>
  <c r="D150" i="7"/>
  <c r="E150" i="7" s="1"/>
  <c r="A151" i="7"/>
  <c r="D151" i="7"/>
  <c r="B151" i="7" s="1"/>
  <c r="A152" i="7"/>
  <c r="D152" i="7"/>
  <c r="E152" i="7" s="1"/>
  <c r="A153" i="7"/>
  <c r="D153" i="7"/>
  <c r="E153" i="7" s="1"/>
  <c r="A154" i="7"/>
  <c r="D154" i="7"/>
  <c r="E154" i="7" s="1"/>
  <c r="A155" i="7"/>
  <c r="D155" i="7"/>
  <c r="B155" i="7" s="1"/>
  <c r="A156" i="7"/>
  <c r="D156" i="7"/>
  <c r="E156" i="7" s="1"/>
  <c r="A157" i="7"/>
  <c r="D157" i="7"/>
  <c r="B157" i="7" s="1"/>
  <c r="A158" i="7"/>
  <c r="D158" i="7"/>
  <c r="E158" i="7" s="1"/>
  <c r="A159" i="7"/>
  <c r="D159" i="7"/>
  <c r="B159" i="7" s="1"/>
  <c r="A160" i="7"/>
  <c r="D160" i="7"/>
  <c r="E160" i="7" s="1"/>
  <c r="A161" i="7"/>
  <c r="D161" i="7"/>
  <c r="B161" i="7" s="1"/>
  <c r="A162" i="7"/>
  <c r="D162" i="7"/>
  <c r="E162" i="7" s="1"/>
  <c r="A163" i="7"/>
  <c r="D163" i="7"/>
  <c r="B163" i="7" s="1"/>
  <c r="A164" i="7"/>
  <c r="D164" i="7"/>
  <c r="E164" i="7" s="1"/>
  <c r="A165" i="7"/>
  <c r="D165" i="7"/>
  <c r="E165" i="7" s="1"/>
  <c r="A166" i="7"/>
  <c r="D166" i="7"/>
  <c r="E166" i="7" s="1"/>
  <c r="A167" i="7"/>
  <c r="D167" i="7"/>
  <c r="B167" i="7" s="1"/>
  <c r="A168" i="7"/>
  <c r="D168" i="7"/>
  <c r="E168" i="7" s="1"/>
  <c r="A169" i="7"/>
  <c r="D169" i="7"/>
  <c r="E169" i="7" s="1"/>
  <c r="A170" i="7"/>
  <c r="D170" i="7"/>
  <c r="E170" i="7" s="1"/>
  <c r="A171" i="7"/>
  <c r="D171" i="7"/>
  <c r="B171" i="7" s="1"/>
  <c r="A172" i="7"/>
  <c r="D172" i="7"/>
  <c r="E172" i="7" s="1"/>
  <c r="A173" i="7"/>
  <c r="D173" i="7"/>
  <c r="B173" i="7" s="1"/>
  <c r="A174" i="7"/>
  <c r="D174" i="7"/>
  <c r="E174" i="7" s="1"/>
  <c r="A175" i="7"/>
  <c r="D175" i="7"/>
  <c r="B175" i="7" s="1"/>
  <c r="A176" i="7"/>
  <c r="D176" i="7"/>
  <c r="E176" i="7" s="1"/>
  <c r="A177" i="7"/>
  <c r="D177" i="7"/>
  <c r="B177" i="7" s="1"/>
  <c r="A178" i="7"/>
  <c r="D178" i="7"/>
  <c r="E178" i="7" s="1"/>
  <c r="A179" i="7"/>
  <c r="D179" i="7"/>
  <c r="B179" i="7" s="1"/>
  <c r="A180" i="7"/>
  <c r="D180" i="7"/>
  <c r="E180" i="7" s="1"/>
  <c r="A181" i="7"/>
  <c r="D181" i="7"/>
  <c r="E181" i="7" s="1"/>
  <c r="A182" i="7"/>
  <c r="D182" i="7"/>
  <c r="E182" i="7" s="1"/>
  <c r="A183" i="7"/>
  <c r="D183" i="7"/>
  <c r="B183" i="7" s="1"/>
  <c r="A184" i="7"/>
  <c r="D184" i="7"/>
  <c r="E184" i="7" s="1"/>
  <c r="A185" i="7"/>
  <c r="D185" i="7"/>
  <c r="E185" i="7" s="1"/>
  <c r="A186" i="7"/>
  <c r="D186" i="7"/>
  <c r="E186" i="7" s="1"/>
  <c r="A187" i="7"/>
  <c r="D187" i="7"/>
  <c r="B187" i="7" s="1"/>
  <c r="A188" i="7"/>
  <c r="D188" i="7"/>
  <c r="E188" i="7" s="1"/>
  <c r="A189" i="7"/>
  <c r="D189" i="7"/>
  <c r="B189" i="7" s="1"/>
  <c r="A190" i="7"/>
  <c r="D190" i="7"/>
  <c r="E190" i="7" s="1"/>
  <c r="A191" i="7"/>
  <c r="D191" i="7"/>
  <c r="B191" i="7" s="1"/>
  <c r="A192" i="7"/>
  <c r="D192" i="7"/>
  <c r="E192" i="7" s="1"/>
  <c r="A193" i="7"/>
  <c r="D193" i="7"/>
  <c r="E193" i="7" s="1"/>
  <c r="A194" i="7"/>
  <c r="D194" i="7"/>
  <c r="E194" i="7" s="1"/>
  <c r="A195" i="7"/>
  <c r="D195" i="7"/>
  <c r="B195" i="7" s="1"/>
  <c r="A196" i="7"/>
  <c r="D196" i="7"/>
  <c r="E196" i="7" s="1"/>
  <c r="A197" i="7"/>
  <c r="D197" i="7"/>
  <c r="E197" i="7" s="1"/>
  <c r="A198" i="7"/>
  <c r="D198" i="7"/>
  <c r="E198" i="7" s="1"/>
  <c r="A199" i="7"/>
  <c r="D199" i="7"/>
  <c r="B199" i="7" s="1"/>
  <c r="A200" i="7"/>
  <c r="D200" i="7"/>
  <c r="E200" i="7" s="1"/>
  <c r="A201" i="7"/>
  <c r="D201" i="7"/>
  <c r="E201" i="7" s="1"/>
  <c r="A202" i="7"/>
  <c r="D202" i="7"/>
  <c r="E202" i="7" s="1"/>
  <c r="A203" i="7"/>
  <c r="D203" i="7"/>
  <c r="B203" i="7" s="1"/>
  <c r="A204" i="7"/>
  <c r="D204" i="7"/>
  <c r="E204" i="7" s="1"/>
  <c r="A205" i="7"/>
  <c r="D205" i="7"/>
  <c r="B205" i="7" s="1"/>
  <c r="A206" i="7"/>
  <c r="D206" i="7"/>
  <c r="E206" i="7" s="1"/>
  <c r="A207" i="7"/>
  <c r="D207" i="7"/>
  <c r="B207" i="7" s="1"/>
  <c r="A208" i="7"/>
  <c r="D208" i="7"/>
  <c r="E208" i="7" s="1"/>
  <c r="A209" i="7"/>
  <c r="D209" i="7"/>
  <c r="E209" i="7" s="1"/>
  <c r="A210" i="7"/>
  <c r="D210" i="7"/>
  <c r="E210" i="7" s="1"/>
  <c r="A211" i="7"/>
  <c r="D211" i="7"/>
  <c r="B211" i="7" s="1"/>
  <c r="A212" i="7"/>
  <c r="D212" i="7"/>
  <c r="E212" i="7" s="1"/>
  <c r="A213" i="7"/>
  <c r="D213" i="7"/>
  <c r="B213" i="7" s="1"/>
  <c r="A214" i="7"/>
  <c r="D214" i="7"/>
  <c r="E214" i="7" s="1"/>
  <c r="A215" i="7"/>
  <c r="D215" i="7"/>
  <c r="B215" i="7" s="1"/>
  <c r="A216" i="7"/>
  <c r="D216" i="7"/>
  <c r="E216" i="7" s="1"/>
  <c r="A217" i="7"/>
  <c r="D217" i="7"/>
  <c r="E217" i="7" s="1"/>
  <c r="A218" i="7"/>
  <c r="D218" i="7"/>
  <c r="E218" i="7" s="1"/>
  <c r="A219" i="7"/>
  <c r="D219" i="7"/>
  <c r="B219" i="7" s="1"/>
  <c r="A220" i="7"/>
  <c r="D220" i="7"/>
  <c r="E220" i="7" s="1"/>
  <c r="A221" i="7"/>
  <c r="D221" i="7"/>
  <c r="B221" i="7" s="1"/>
  <c r="A222" i="7"/>
  <c r="D222" i="7"/>
  <c r="E222" i="7" s="1"/>
  <c r="A223" i="7"/>
  <c r="D223" i="7"/>
  <c r="B223" i="7" s="1"/>
  <c r="A224" i="7"/>
  <c r="D224" i="7"/>
  <c r="E224" i="7" s="1"/>
  <c r="A225" i="7"/>
  <c r="D225" i="7"/>
  <c r="B225" i="7" s="1"/>
  <c r="A226" i="7"/>
  <c r="D226" i="7"/>
  <c r="E226" i="7" s="1"/>
  <c r="A227" i="7"/>
  <c r="D227" i="7"/>
  <c r="B227" i="7" s="1"/>
  <c r="A228" i="7"/>
  <c r="D228" i="7"/>
  <c r="E228" i="7" s="1"/>
  <c r="A229" i="7"/>
  <c r="D229" i="7"/>
  <c r="B229" i="7" s="1"/>
  <c r="A230" i="7"/>
  <c r="D230" i="7"/>
  <c r="E230" i="7" s="1"/>
  <c r="A231" i="7"/>
  <c r="D231" i="7"/>
  <c r="B231" i="7" s="1"/>
  <c r="A232" i="7"/>
  <c r="D232" i="7"/>
  <c r="E232" i="7" s="1"/>
  <c r="A233" i="7"/>
  <c r="D233" i="7"/>
  <c r="E233" i="7" s="1"/>
  <c r="A234" i="7"/>
  <c r="D234" i="7"/>
  <c r="E234" i="7" s="1"/>
  <c r="A235" i="7"/>
  <c r="D235" i="7"/>
  <c r="B235" i="7" s="1"/>
  <c r="A236" i="7"/>
  <c r="D236" i="7"/>
  <c r="E236" i="7" s="1"/>
  <c r="A237" i="7"/>
  <c r="D237" i="7"/>
  <c r="B237" i="7" s="1"/>
  <c r="A238" i="7"/>
  <c r="D238" i="7"/>
  <c r="E238" i="7" s="1"/>
  <c r="A239" i="7"/>
  <c r="D239" i="7"/>
  <c r="B239" i="7" s="1"/>
  <c r="A240" i="7"/>
  <c r="D240" i="7"/>
  <c r="E240" i="7" s="1"/>
  <c r="A241" i="7"/>
  <c r="D241" i="7"/>
  <c r="E241" i="7" s="1"/>
  <c r="A242" i="7"/>
  <c r="D242" i="7"/>
  <c r="E242" i="7" s="1"/>
  <c r="A243" i="7"/>
  <c r="D243" i="7"/>
  <c r="B243" i="7" s="1"/>
  <c r="A244" i="7"/>
  <c r="D244" i="7"/>
  <c r="E244" i="7" s="1"/>
  <c r="A245" i="7"/>
  <c r="D245" i="7"/>
  <c r="B245" i="7" s="1"/>
  <c r="A246" i="7"/>
  <c r="D246" i="7"/>
  <c r="E246" i="7" s="1"/>
  <c r="A247" i="7"/>
  <c r="D247" i="7"/>
  <c r="B247" i="7" s="1"/>
  <c r="A248" i="7"/>
  <c r="D248" i="7"/>
  <c r="E248" i="7" s="1"/>
  <c r="A249" i="7"/>
  <c r="D249" i="7"/>
  <c r="E249" i="7" s="1"/>
  <c r="A250" i="7"/>
  <c r="D250" i="7"/>
  <c r="E250" i="7" s="1"/>
  <c r="A251" i="7"/>
  <c r="D251" i="7"/>
  <c r="B251" i="7" s="1"/>
  <c r="A252" i="7"/>
  <c r="D252" i="7"/>
  <c r="E252" i="7" s="1"/>
  <c r="A253" i="7"/>
  <c r="D253" i="7"/>
  <c r="B253" i="7" s="1"/>
  <c r="A254" i="7"/>
  <c r="D254" i="7"/>
  <c r="E254" i="7" s="1"/>
  <c r="A255" i="7"/>
  <c r="D255" i="7"/>
  <c r="B255" i="7" s="1"/>
  <c r="A256" i="7"/>
  <c r="D256" i="7"/>
  <c r="E256" i="7" s="1"/>
  <c r="A257" i="7"/>
  <c r="D257" i="7"/>
  <c r="B257" i="7" s="1"/>
  <c r="A258" i="7"/>
  <c r="D258" i="7"/>
  <c r="E258" i="7" s="1"/>
  <c r="A259" i="7"/>
  <c r="D259" i="7"/>
  <c r="B259" i="7" s="1"/>
  <c r="A260" i="7"/>
  <c r="D260" i="7"/>
  <c r="E260" i="7" s="1"/>
  <c r="A261" i="7"/>
  <c r="D261" i="7"/>
  <c r="B261" i="7" s="1"/>
  <c r="A262" i="7"/>
  <c r="D262" i="7"/>
  <c r="E262" i="7" s="1"/>
  <c r="A263" i="7"/>
  <c r="D263" i="7"/>
  <c r="B263" i="7" s="1"/>
  <c r="A264" i="7"/>
  <c r="D264" i="7"/>
  <c r="E264" i="7" s="1"/>
  <c r="A265" i="7"/>
  <c r="D265" i="7"/>
  <c r="E265" i="7" s="1"/>
  <c r="A266" i="7"/>
  <c r="D266" i="7"/>
  <c r="E266" i="7" s="1"/>
  <c r="A267" i="7"/>
  <c r="D267" i="7"/>
  <c r="B267" i="7" s="1"/>
  <c r="A268" i="7"/>
  <c r="D268" i="7"/>
  <c r="E268" i="7" s="1"/>
  <c r="A269" i="7"/>
  <c r="D269" i="7"/>
  <c r="B269" i="7" s="1"/>
  <c r="A270" i="7"/>
  <c r="D270" i="7"/>
  <c r="E270" i="7" s="1"/>
  <c r="A271" i="7"/>
  <c r="D271" i="7"/>
  <c r="B271" i="7" s="1"/>
  <c r="A272" i="7"/>
  <c r="D272" i="7"/>
  <c r="E272" i="7" s="1"/>
  <c r="A273" i="7"/>
  <c r="D273" i="7"/>
  <c r="E273" i="7" s="1"/>
  <c r="A274" i="7"/>
  <c r="D274" i="7"/>
  <c r="E274" i="7" s="1"/>
  <c r="A275" i="7"/>
  <c r="D275" i="7"/>
  <c r="B275" i="7" s="1"/>
  <c r="A276" i="7"/>
  <c r="D276" i="7"/>
  <c r="E276" i="7" s="1"/>
  <c r="A277" i="7"/>
  <c r="D277" i="7"/>
  <c r="B277" i="7" s="1"/>
  <c r="A278" i="7"/>
  <c r="D278" i="7"/>
  <c r="E278" i="7" s="1"/>
  <c r="A279" i="7"/>
  <c r="D279" i="7"/>
  <c r="B279" i="7" s="1"/>
  <c r="A280" i="7"/>
  <c r="D280" i="7"/>
  <c r="E280" i="7" s="1"/>
  <c r="A281" i="7"/>
  <c r="D281" i="7"/>
  <c r="E281" i="7" s="1"/>
  <c r="A282" i="7"/>
  <c r="D282" i="7"/>
  <c r="E282" i="7" s="1"/>
  <c r="A283" i="7"/>
  <c r="D283" i="7"/>
  <c r="B283" i="7" s="1"/>
  <c r="A284" i="7"/>
  <c r="D284" i="7"/>
  <c r="E284" i="7" s="1"/>
  <c r="A285" i="7"/>
  <c r="D285" i="7"/>
  <c r="B285" i="7" s="1"/>
  <c r="A286" i="7"/>
  <c r="D286" i="7"/>
  <c r="E286" i="7" s="1"/>
  <c r="A287" i="7"/>
  <c r="D287" i="7"/>
  <c r="B287" i="7" s="1"/>
  <c r="A288" i="7"/>
  <c r="D288" i="7"/>
  <c r="E288" i="7" s="1"/>
  <c r="A289" i="7"/>
  <c r="D289" i="7"/>
  <c r="B289" i="7" s="1"/>
  <c r="A290" i="7"/>
  <c r="D290" i="7"/>
  <c r="E290" i="7" s="1"/>
  <c r="A291" i="7"/>
  <c r="D291" i="7"/>
  <c r="B291" i="7" s="1"/>
  <c r="A292" i="7"/>
  <c r="D292" i="7"/>
  <c r="E292" i="7" s="1"/>
  <c r="A293" i="7"/>
  <c r="D293" i="7"/>
  <c r="B293" i="7" s="1"/>
  <c r="A294" i="7"/>
  <c r="D294" i="7"/>
  <c r="E294" i="7" s="1"/>
  <c r="A295" i="7"/>
  <c r="D295" i="7"/>
  <c r="B295" i="7" s="1"/>
  <c r="A296" i="7"/>
  <c r="D296" i="7"/>
  <c r="E296" i="7" s="1"/>
  <c r="A297" i="7"/>
  <c r="D297" i="7"/>
  <c r="E297" i="7" s="1"/>
  <c r="A298" i="7"/>
  <c r="D298" i="7"/>
  <c r="E298" i="7" s="1"/>
  <c r="A299" i="7"/>
  <c r="D299" i="7"/>
  <c r="B299" i="7" s="1"/>
  <c r="A300" i="7"/>
  <c r="D300" i="7"/>
  <c r="E300" i="7" s="1"/>
  <c r="A301" i="7"/>
  <c r="D301" i="7"/>
  <c r="B301" i="7" s="1"/>
  <c r="A302" i="7"/>
  <c r="D302" i="7"/>
  <c r="E302" i="7" s="1"/>
  <c r="A1" i="6"/>
  <c r="B1" i="6"/>
  <c r="C1" i="6"/>
  <c r="D1" i="6"/>
  <c r="E1" i="6"/>
  <c r="F1" i="6"/>
  <c r="C2" i="6"/>
  <c r="D2" i="6"/>
  <c r="E2" i="6"/>
  <c r="F2" i="6"/>
  <c r="A113" i="6"/>
  <c r="D113" i="6"/>
  <c r="A81" i="6"/>
  <c r="D81" i="6"/>
  <c r="A108" i="6"/>
  <c r="D108" i="6"/>
  <c r="A92" i="6"/>
  <c r="D92" i="6"/>
  <c r="A87" i="6"/>
  <c r="D87" i="6"/>
  <c r="A66" i="6"/>
  <c r="D66" i="6"/>
  <c r="A78" i="6"/>
  <c r="D78" i="6"/>
  <c r="A118" i="6"/>
  <c r="D118" i="6"/>
  <c r="A82" i="6"/>
  <c r="D82" i="6"/>
  <c r="A47" i="6"/>
  <c r="D47" i="6"/>
  <c r="A98" i="6"/>
  <c r="D98" i="6"/>
  <c r="A96" i="6"/>
  <c r="D96" i="6"/>
  <c r="A119" i="6"/>
  <c r="D119" i="6"/>
  <c r="A105" i="6"/>
  <c r="D105" i="6"/>
  <c r="A102" i="6"/>
  <c r="D102" i="6"/>
  <c r="A70" i="6"/>
  <c r="D70" i="6"/>
  <c r="A110" i="6"/>
  <c r="D110" i="6"/>
  <c r="A85" i="6"/>
  <c r="D85" i="6"/>
  <c r="A107" i="6"/>
  <c r="D107" i="6"/>
  <c r="A80" i="6"/>
  <c r="D80" i="6"/>
  <c r="A72" i="6"/>
  <c r="D72" i="6"/>
  <c r="A84" i="6"/>
  <c r="D84" i="6"/>
  <c r="A65" i="6"/>
  <c r="D65" i="6"/>
  <c r="A56" i="6"/>
  <c r="D56" i="6"/>
  <c r="A91" i="6"/>
  <c r="D91" i="6"/>
  <c r="A4" i="6"/>
  <c r="D4" i="6"/>
  <c r="A120" i="6"/>
  <c r="D120" i="6"/>
  <c r="A106" i="6"/>
  <c r="D106" i="6"/>
  <c r="A117" i="6"/>
  <c r="D117" i="6"/>
  <c r="A121" i="6"/>
  <c r="D121" i="6"/>
  <c r="A97" i="6"/>
  <c r="D97" i="6"/>
  <c r="A75" i="6"/>
  <c r="D75" i="6"/>
  <c r="A86" i="6"/>
  <c r="D86" i="6"/>
  <c r="A116" i="6"/>
  <c r="D116" i="6"/>
  <c r="A50" i="6"/>
  <c r="D50" i="6"/>
  <c r="A94" i="6"/>
  <c r="D94" i="6"/>
  <c r="A122" i="6"/>
  <c r="D122" i="6"/>
  <c r="A7" i="6"/>
  <c r="D7" i="6"/>
  <c r="A123" i="6"/>
  <c r="D123" i="6"/>
  <c r="A103" i="6"/>
  <c r="D103" i="6"/>
  <c r="A93" i="6"/>
  <c r="D93" i="6"/>
  <c r="A124" i="6"/>
  <c r="D124" i="6"/>
  <c r="A125" i="6"/>
  <c r="D125" i="6"/>
  <c r="A111" i="6"/>
  <c r="D111" i="6"/>
  <c r="A114" i="6"/>
  <c r="D114" i="6"/>
  <c r="A100" i="6"/>
  <c r="D100" i="6"/>
  <c r="A5" i="6"/>
  <c r="D5" i="6"/>
  <c r="A112" i="6"/>
  <c r="D112" i="6"/>
  <c r="A26" i="6"/>
  <c r="D26" i="6"/>
  <c r="A73" i="6"/>
  <c r="D73" i="6"/>
  <c r="A126" i="6"/>
  <c r="D126" i="6"/>
  <c r="A127" i="6"/>
  <c r="D127" i="6"/>
  <c r="A6" i="6"/>
  <c r="D6" i="6"/>
  <c r="A62" i="6"/>
  <c r="D62" i="6"/>
  <c r="A90" i="6"/>
  <c r="D90" i="6"/>
  <c r="A3" i="6"/>
  <c r="D3" i="6"/>
  <c r="A95" i="6"/>
  <c r="D95" i="6"/>
  <c r="A88" i="6"/>
  <c r="D88" i="6"/>
  <c r="A79" i="6"/>
  <c r="D79" i="6"/>
  <c r="A57" i="6"/>
  <c r="D57" i="6"/>
  <c r="A115" i="6"/>
  <c r="D115" i="6"/>
  <c r="A128" i="6"/>
  <c r="D128" i="6"/>
  <c r="A89" i="6"/>
  <c r="D89" i="6"/>
  <c r="A77" i="6"/>
  <c r="D77" i="6"/>
  <c r="A99" i="6"/>
  <c r="D99" i="6"/>
  <c r="A53" i="6"/>
  <c r="D53" i="6"/>
  <c r="A76" i="6"/>
  <c r="D76" i="6"/>
  <c r="A55" i="6"/>
  <c r="D55" i="6"/>
  <c r="A60" i="6"/>
  <c r="D60" i="6"/>
  <c r="A63" i="6"/>
  <c r="D63" i="6"/>
  <c r="A58" i="6"/>
  <c r="D58" i="6"/>
  <c r="A69" i="6"/>
  <c r="D69" i="6"/>
  <c r="A68" i="6"/>
  <c r="D68" i="6"/>
  <c r="A11" i="6"/>
  <c r="D11" i="6"/>
  <c r="A14" i="6"/>
  <c r="D14" i="6"/>
  <c r="A43" i="6"/>
  <c r="D43" i="6"/>
  <c r="A37" i="6"/>
  <c r="D37" i="6"/>
  <c r="A30" i="6"/>
  <c r="D30" i="6"/>
  <c r="A54" i="6"/>
  <c r="D54" i="6"/>
  <c r="A74" i="6"/>
  <c r="D74" i="6"/>
  <c r="A34" i="6"/>
  <c r="D34" i="6"/>
  <c r="A129" i="6"/>
  <c r="D129" i="6"/>
  <c r="A67" i="6"/>
  <c r="D67" i="6"/>
  <c r="A49" i="6"/>
  <c r="D49" i="6"/>
  <c r="A61" i="6"/>
  <c r="D61" i="6"/>
  <c r="A48" i="6"/>
  <c r="D48" i="6"/>
  <c r="A38" i="6"/>
  <c r="D38" i="6"/>
  <c r="A46" i="6"/>
  <c r="D46" i="6"/>
  <c r="A109" i="6"/>
  <c r="D109" i="6"/>
  <c r="A130" i="6"/>
  <c r="D130" i="6"/>
  <c r="A29" i="6"/>
  <c r="D29" i="6"/>
  <c r="A131" i="6"/>
  <c r="D131" i="6"/>
  <c r="A71" i="6"/>
  <c r="D71" i="6"/>
  <c r="A83" i="6"/>
  <c r="D83" i="6"/>
  <c r="A39" i="6"/>
  <c r="D39" i="6"/>
  <c r="A44" i="6"/>
  <c r="D44" i="6"/>
  <c r="A42" i="6"/>
  <c r="D42" i="6"/>
  <c r="A27" i="6"/>
  <c r="D27" i="6"/>
  <c r="A52" i="6"/>
  <c r="D52" i="6"/>
  <c r="A17" i="6"/>
  <c r="D17" i="6"/>
  <c r="A51" i="6"/>
  <c r="D51" i="6"/>
  <c r="A18" i="6"/>
  <c r="D18" i="6"/>
  <c r="A15" i="6"/>
  <c r="D15" i="6"/>
  <c r="A19" i="6"/>
  <c r="D19" i="6"/>
  <c r="A25" i="6"/>
  <c r="D25" i="6"/>
  <c r="A132" i="6"/>
  <c r="D132" i="6"/>
  <c r="A35" i="6"/>
  <c r="D35" i="6"/>
  <c r="A28" i="6"/>
  <c r="D28" i="6"/>
  <c r="A36" i="6"/>
  <c r="D36" i="6"/>
  <c r="A21" i="6"/>
  <c r="D21" i="6"/>
  <c r="A16" i="6"/>
  <c r="D16" i="6"/>
  <c r="A133" i="6"/>
  <c r="D133" i="6"/>
  <c r="A32" i="6"/>
  <c r="D32" i="6"/>
  <c r="A40" i="6"/>
  <c r="D40" i="6"/>
  <c r="A10" i="6"/>
  <c r="D10" i="6"/>
  <c r="A8" i="6"/>
  <c r="D8" i="6"/>
  <c r="A45" i="6"/>
  <c r="D45" i="6"/>
  <c r="A134" i="6"/>
  <c r="D134" i="6"/>
  <c r="A9" i="6"/>
  <c r="D9" i="6"/>
  <c r="A59" i="6"/>
  <c r="D59" i="6"/>
  <c r="A41" i="6"/>
  <c r="D41" i="6"/>
  <c r="A20" i="6"/>
  <c r="D20" i="6"/>
  <c r="A12" i="6"/>
  <c r="D12" i="6"/>
  <c r="A13" i="6"/>
  <c r="D13" i="6"/>
  <c r="A135" i="6"/>
  <c r="D135" i="6"/>
  <c r="A33" i="6"/>
  <c r="D33" i="6"/>
  <c r="A31" i="6"/>
  <c r="D31" i="6"/>
  <c r="A23" i="6"/>
  <c r="D23" i="6"/>
  <c r="A22" i="6"/>
  <c r="D22" i="6"/>
  <c r="A64" i="6"/>
  <c r="D64" i="6"/>
  <c r="A136" i="6"/>
  <c r="D136" i="6"/>
  <c r="A24" i="6"/>
  <c r="D24" i="6"/>
  <c r="A104" i="6"/>
  <c r="D104" i="6"/>
  <c r="A101" i="6"/>
  <c r="D101" i="6"/>
  <c r="A137" i="6"/>
  <c r="D137" i="6"/>
  <c r="A138" i="6"/>
  <c r="D138" i="6"/>
  <c r="A139" i="6"/>
  <c r="D139" i="6"/>
  <c r="A140" i="6"/>
  <c r="D140" i="6"/>
  <c r="A141" i="6"/>
  <c r="D141" i="6"/>
  <c r="A142" i="6"/>
  <c r="D142" i="6"/>
  <c r="A143" i="6"/>
  <c r="D143" i="6"/>
  <c r="A144" i="6"/>
  <c r="D144" i="6"/>
  <c r="A145" i="6"/>
  <c r="D145" i="6"/>
  <c r="A146" i="6"/>
  <c r="D146" i="6"/>
  <c r="A147" i="6"/>
  <c r="D147" i="6"/>
  <c r="A148" i="6"/>
  <c r="D148" i="6"/>
  <c r="A149" i="6"/>
  <c r="D149" i="6"/>
  <c r="A150" i="6"/>
  <c r="D150" i="6"/>
  <c r="A151" i="6"/>
  <c r="D151" i="6"/>
  <c r="A152" i="6"/>
  <c r="D152" i="6"/>
  <c r="A153" i="6"/>
  <c r="D153" i="6"/>
  <c r="A154" i="6"/>
  <c r="D154" i="6"/>
  <c r="A155" i="6"/>
  <c r="D155" i="6"/>
  <c r="A156" i="6"/>
  <c r="D156" i="6"/>
  <c r="A157" i="6"/>
  <c r="D157" i="6"/>
  <c r="A158" i="6"/>
  <c r="D158" i="6"/>
  <c r="A159" i="6"/>
  <c r="D159" i="6"/>
  <c r="A160" i="6"/>
  <c r="D160" i="6"/>
  <c r="A161" i="6"/>
  <c r="D161" i="6"/>
  <c r="A162" i="6"/>
  <c r="D162" i="6"/>
  <c r="A163" i="6"/>
  <c r="D163" i="6"/>
  <c r="A164" i="6"/>
  <c r="D164" i="6"/>
  <c r="A165" i="6"/>
  <c r="D165" i="6"/>
  <c r="A166" i="6"/>
  <c r="D166" i="6"/>
  <c r="A167" i="6"/>
  <c r="D167" i="6"/>
  <c r="A168" i="6"/>
  <c r="D168" i="6"/>
  <c r="A169" i="6"/>
  <c r="D169" i="6"/>
  <c r="A170" i="6"/>
  <c r="D170" i="6"/>
  <c r="A171" i="6"/>
  <c r="D171" i="6"/>
  <c r="A172" i="6"/>
  <c r="D172" i="6"/>
  <c r="A173" i="6"/>
  <c r="D173" i="6"/>
  <c r="A174" i="6"/>
  <c r="D174" i="6"/>
  <c r="A175" i="6"/>
  <c r="D175" i="6"/>
  <c r="A176" i="6"/>
  <c r="D176" i="6"/>
  <c r="A177" i="6"/>
  <c r="D177" i="6"/>
  <c r="A178" i="6"/>
  <c r="D178" i="6"/>
  <c r="A179" i="6"/>
  <c r="D179" i="6"/>
  <c r="A180" i="6"/>
  <c r="D180" i="6"/>
  <c r="A181" i="6"/>
  <c r="D181" i="6"/>
  <c r="A182" i="6"/>
  <c r="D182" i="6"/>
  <c r="A183" i="6"/>
  <c r="D183" i="6"/>
  <c r="A184" i="6"/>
  <c r="D184" i="6"/>
  <c r="A185" i="6"/>
  <c r="D185" i="6"/>
  <c r="A186" i="6"/>
  <c r="D186" i="6"/>
  <c r="A187" i="6"/>
  <c r="D187" i="6"/>
  <c r="A188" i="6"/>
  <c r="D188" i="6"/>
  <c r="A189" i="6"/>
  <c r="D189" i="6"/>
  <c r="A190" i="6"/>
  <c r="D190" i="6"/>
  <c r="A191" i="6"/>
  <c r="D191" i="6"/>
  <c r="A192" i="6"/>
  <c r="D192" i="6"/>
  <c r="A193" i="6"/>
  <c r="D193" i="6"/>
  <c r="A194" i="6"/>
  <c r="D194" i="6"/>
  <c r="A195" i="6"/>
  <c r="D195" i="6"/>
  <c r="A196" i="6"/>
  <c r="D196" i="6"/>
  <c r="A197" i="6"/>
  <c r="D197" i="6"/>
  <c r="A198" i="6"/>
  <c r="D198" i="6"/>
  <c r="A199" i="6"/>
  <c r="D199" i="6"/>
  <c r="A200" i="6"/>
  <c r="D200" i="6"/>
  <c r="A201" i="6"/>
  <c r="D201" i="6"/>
  <c r="A202" i="6"/>
  <c r="D202" i="6"/>
  <c r="A203" i="6"/>
  <c r="D203" i="6"/>
  <c r="A204" i="6"/>
  <c r="D204" i="6"/>
  <c r="A205" i="6"/>
  <c r="D205" i="6"/>
  <c r="A206" i="6"/>
  <c r="D206" i="6"/>
  <c r="A207" i="6"/>
  <c r="D207" i="6"/>
  <c r="A208" i="6"/>
  <c r="D208" i="6"/>
  <c r="A209" i="6"/>
  <c r="D209" i="6"/>
  <c r="A210" i="6"/>
  <c r="D210" i="6"/>
  <c r="A211" i="6"/>
  <c r="D211" i="6"/>
  <c r="A212" i="6"/>
  <c r="D212" i="6"/>
  <c r="A213" i="6"/>
  <c r="D213" i="6"/>
  <c r="A214" i="6"/>
  <c r="D214" i="6"/>
  <c r="A215" i="6"/>
  <c r="D215" i="6"/>
  <c r="A216" i="6"/>
  <c r="D216" i="6"/>
  <c r="A217" i="6"/>
  <c r="D217" i="6"/>
  <c r="A218" i="6"/>
  <c r="D218" i="6"/>
  <c r="A219" i="6"/>
  <c r="D219" i="6"/>
  <c r="A220" i="6"/>
  <c r="D220" i="6"/>
  <c r="A221" i="6"/>
  <c r="D221" i="6"/>
  <c r="A222" i="6"/>
  <c r="D222" i="6"/>
  <c r="A223" i="6"/>
  <c r="D223" i="6"/>
  <c r="A224" i="6"/>
  <c r="D224" i="6"/>
  <c r="A225" i="6"/>
  <c r="D225" i="6"/>
  <c r="A226" i="6"/>
  <c r="D226" i="6"/>
  <c r="A227" i="6"/>
  <c r="D227" i="6"/>
  <c r="A228" i="6"/>
  <c r="D228" i="6"/>
  <c r="A229" i="6"/>
  <c r="D229" i="6"/>
  <c r="A230" i="6"/>
  <c r="D230" i="6"/>
  <c r="A231" i="6"/>
  <c r="D231" i="6"/>
  <c r="A232" i="6"/>
  <c r="D232" i="6"/>
  <c r="A233" i="6"/>
  <c r="D233" i="6"/>
  <c r="A234" i="6"/>
  <c r="D234" i="6"/>
  <c r="A235" i="6"/>
  <c r="D235" i="6"/>
  <c r="A236" i="6"/>
  <c r="D236" i="6"/>
  <c r="A237" i="6"/>
  <c r="D237" i="6"/>
  <c r="A238" i="6"/>
  <c r="D238" i="6"/>
  <c r="A239" i="6"/>
  <c r="D239" i="6"/>
  <c r="A240" i="6"/>
  <c r="D240" i="6"/>
  <c r="A241" i="6"/>
  <c r="D241" i="6"/>
  <c r="A242" i="6"/>
  <c r="D242" i="6"/>
  <c r="A243" i="6"/>
  <c r="D243" i="6"/>
  <c r="A244" i="6"/>
  <c r="D244" i="6"/>
  <c r="A245" i="6"/>
  <c r="D245" i="6"/>
  <c r="A246" i="6"/>
  <c r="D246" i="6"/>
  <c r="A247" i="6"/>
  <c r="D247" i="6"/>
  <c r="A248" i="6"/>
  <c r="D248" i="6"/>
  <c r="A249" i="6"/>
  <c r="D249" i="6"/>
  <c r="A250" i="6"/>
  <c r="D250" i="6"/>
  <c r="A251" i="6"/>
  <c r="D251" i="6"/>
  <c r="A252" i="6"/>
  <c r="D252" i="6"/>
  <c r="A253" i="6"/>
  <c r="D253" i="6"/>
  <c r="A254" i="6"/>
  <c r="D254" i="6"/>
  <c r="A255" i="6"/>
  <c r="D255" i="6"/>
  <c r="A256" i="6"/>
  <c r="D256" i="6"/>
  <c r="A257" i="6"/>
  <c r="D257" i="6"/>
  <c r="A258" i="6"/>
  <c r="D258" i="6"/>
  <c r="A259" i="6"/>
  <c r="D259" i="6"/>
  <c r="A260" i="6"/>
  <c r="D260" i="6"/>
  <c r="A261" i="6"/>
  <c r="D261" i="6"/>
  <c r="A262" i="6"/>
  <c r="D262" i="6"/>
  <c r="A263" i="6"/>
  <c r="D263" i="6"/>
  <c r="A264" i="6"/>
  <c r="D264" i="6"/>
  <c r="A265" i="6"/>
  <c r="D265" i="6"/>
  <c r="A266" i="6"/>
  <c r="D266" i="6"/>
  <c r="A267" i="6"/>
  <c r="D267" i="6"/>
  <c r="A268" i="6"/>
  <c r="D268" i="6"/>
  <c r="A269" i="6"/>
  <c r="D269" i="6"/>
  <c r="A270" i="6"/>
  <c r="D270" i="6"/>
  <c r="A271" i="6"/>
  <c r="D271" i="6"/>
  <c r="A272" i="6"/>
  <c r="D272" i="6"/>
  <c r="A273" i="6"/>
  <c r="D273" i="6"/>
  <c r="A274" i="6"/>
  <c r="D274" i="6"/>
  <c r="A275" i="6"/>
  <c r="D275" i="6"/>
  <c r="A276" i="6"/>
  <c r="D276" i="6"/>
  <c r="A277" i="6"/>
  <c r="D277" i="6"/>
  <c r="A278" i="6"/>
  <c r="D278" i="6"/>
  <c r="A279" i="6"/>
  <c r="D279" i="6"/>
  <c r="A280" i="6"/>
  <c r="D280" i="6"/>
  <c r="A281" i="6"/>
  <c r="D281" i="6"/>
  <c r="A282" i="6"/>
  <c r="D282" i="6"/>
  <c r="A283" i="6"/>
  <c r="D283" i="6"/>
  <c r="A284" i="6"/>
  <c r="D284" i="6"/>
  <c r="A285" i="6"/>
  <c r="D285" i="6"/>
  <c r="A286" i="6"/>
  <c r="D286" i="6"/>
  <c r="A287" i="6"/>
  <c r="D287" i="6"/>
  <c r="A288" i="6"/>
  <c r="D288" i="6"/>
  <c r="A289" i="6"/>
  <c r="D289" i="6"/>
  <c r="A290" i="6"/>
  <c r="D290" i="6"/>
  <c r="A291" i="6"/>
  <c r="D291" i="6"/>
  <c r="A292" i="6"/>
  <c r="D292" i="6"/>
  <c r="A293" i="6"/>
  <c r="D293" i="6"/>
  <c r="A294" i="6"/>
  <c r="D294" i="6"/>
  <c r="A295" i="6"/>
  <c r="D295" i="6"/>
  <c r="A296" i="6"/>
  <c r="D296" i="6"/>
  <c r="A297" i="6"/>
  <c r="D297" i="6"/>
  <c r="A298" i="6"/>
  <c r="D298" i="6"/>
  <c r="A299" i="6"/>
  <c r="D299" i="6"/>
  <c r="A300" i="6"/>
  <c r="D300" i="6"/>
  <c r="A301" i="6"/>
  <c r="D301" i="6"/>
  <c r="A302" i="6"/>
  <c r="D302" i="6"/>
  <c r="B3" i="1"/>
  <c r="B136" i="13"/>
  <c r="C3" i="1"/>
  <c r="C113" i="6" s="1"/>
  <c r="E3" i="1"/>
  <c r="F3" i="1"/>
  <c r="G3" i="1"/>
  <c r="H3" i="1"/>
  <c r="I3" i="1"/>
  <c r="J3" i="1"/>
  <c r="K3" i="1"/>
  <c r="L3" i="1"/>
  <c r="M3" i="1"/>
  <c r="N3" i="1"/>
  <c r="O3" i="1"/>
  <c r="B4" i="1"/>
  <c r="B100" i="7" s="1"/>
  <c r="C4" i="1"/>
  <c r="B82" i="12"/>
  <c r="F4" i="1"/>
  <c r="G4" i="1"/>
  <c r="H4" i="1"/>
  <c r="I4" i="1"/>
  <c r="J4" i="1"/>
  <c r="K4" i="1"/>
  <c r="L4" i="1"/>
  <c r="M4" i="1"/>
  <c r="N4" i="1"/>
  <c r="O4" i="1"/>
  <c r="B5" i="1"/>
  <c r="B131" i="13"/>
  <c r="C5" i="1"/>
  <c r="B109" i="12" s="1"/>
  <c r="F5" i="1"/>
  <c r="G5" i="1"/>
  <c r="H5" i="1"/>
  <c r="I5" i="1"/>
  <c r="J5" i="1"/>
  <c r="K5" i="1"/>
  <c r="L5" i="1"/>
  <c r="M5" i="1"/>
  <c r="N5" i="1"/>
  <c r="O5" i="1"/>
  <c r="B6" i="1"/>
  <c r="B113" i="13" s="1"/>
  <c r="C6" i="1"/>
  <c r="B93" i="12" s="1"/>
  <c r="F6" i="1"/>
  <c r="G6" i="1"/>
  <c r="H6" i="1"/>
  <c r="I6" i="1"/>
  <c r="J6" i="1"/>
  <c r="K6" i="1"/>
  <c r="L6" i="1"/>
  <c r="M6" i="1"/>
  <c r="N6" i="1"/>
  <c r="O6" i="1"/>
  <c r="B7" i="1"/>
  <c r="C7" i="1"/>
  <c r="B88" i="12"/>
  <c r="C87" i="6"/>
  <c r="E7" i="1"/>
  <c r="F7" i="1"/>
  <c r="G7" i="1"/>
  <c r="H7" i="1"/>
  <c r="I7" i="1"/>
  <c r="J7" i="1"/>
  <c r="K7" i="1"/>
  <c r="L7" i="1"/>
  <c r="M7" i="1"/>
  <c r="N7" i="1"/>
  <c r="O7" i="1"/>
  <c r="B8" i="1"/>
  <c r="B86" i="7" s="1"/>
  <c r="B87" i="13"/>
  <c r="C8" i="1"/>
  <c r="B67" i="12" s="1"/>
  <c r="F8" i="1"/>
  <c r="G8" i="1"/>
  <c r="H8" i="1"/>
  <c r="I8" i="1"/>
  <c r="J8" i="1"/>
  <c r="K8" i="1"/>
  <c r="L8" i="1"/>
  <c r="M8" i="1"/>
  <c r="N8" i="1"/>
  <c r="O8" i="1"/>
  <c r="B9" i="1"/>
  <c r="B104" i="13" s="1"/>
  <c r="C9" i="1"/>
  <c r="B79" i="12" s="1"/>
  <c r="F9" i="1"/>
  <c r="G9" i="1"/>
  <c r="H9" i="1"/>
  <c r="I9" i="1"/>
  <c r="J9" i="1"/>
  <c r="K9" i="1"/>
  <c r="L9" i="1"/>
  <c r="M9" i="1"/>
  <c r="N9" i="1"/>
  <c r="O9" i="1"/>
  <c r="B10" i="1"/>
  <c r="C10" i="1"/>
  <c r="B119" i="12"/>
  <c r="F10" i="1"/>
  <c r="G10" i="1"/>
  <c r="H10" i="1"/>
  <c r="I10" i="1"/>
  <c r="J10" i="1"/>
  <c r="K10" i="1"/>
  <c r="L10" i="1"/>
  <c r="M10" i="1"/>
  <c r="N10" i="1"/>
  <c r="O10" i="1"/>
  <c r="B11" i="1"/>
  <c r="B109" i="7"/>
  <c r="B110" i="13"/>
  <c r="C11" i="1"/>
  <c r="B83" i="12" s="1"/>
  <c r="C82" i="6"/>
  <c r="H82" i="6" s="1"/>
  <c r="F11" i="1"/>
  <c r="G11" i="1"/>
  <c r="H11" i="1"/>
  <c r="I11" i="1"/>
  <c r="J11" i="1"/>
  <c r="K11" i="1"/>
  <c r="L11" i="1"/>
  <c r="M11" i="1"/>
  <c r="N11" i="1"/>
  <c r="O11" i="1"/>
  <c r="B12" i="1"/>
  <c r="C12" i="1"/>
  <c r="F12" i="1"/>
  <c r="G12" i="1"/>
  <c r="H12" i="1"/>
  <c r="I12" i="1"/>
  <c r="J12" i="1"/>
  <c r="K12" i="1"/>
  <c r="L12" i="1"/>
  <c r="M12" i="1"/>
  <c r="N12" i="1"/>
  <c r="O12" i="1"/>
  <c r="B13" i="1"/>
  <c r="B125" i="7"/>
  <c r="B126" i="13"/>
  <c r="C13" i="1"/>
  <c r="B99" i="12" s="1"/>
  <c r="F13" i="1"/>
  <c r="G13" i="1"/>
  <c r="H13" i="1"/>
  <c r="I13" i="1"/>
  <c r="J13" i="1"/>
  <c r="K13" i="1"/>
  <c r="L13" i="1"/>
  <c r="M13" i="1"/>
  <c r="N13" i="1"/>
  <c r="O13" i="1"/>
  <c r="B14" i="1"/>
  <c r="B118" i="7" s="1"/>
  <c r="B119" i="13"/>
  <c r="C14" i="1"/>
  <c r="B97" i="12" s="1"/>
  <c r="F14" i="1"/>
  <c r="G14" i="1"/>
  <c r="H14" i="1"/>
  <c r="I14" i="1"/>
  <c r="J14" i="1"/>
  <c r="K14" i="1"/>
  <c r="L14" i="1"/>
  <c r="M14" i="1"/>
  <c r="N14" i="1"/>
  <c r="O14" i="1"/>
  <c r="B15" i="1"/>
  <c r="B93" i="13" s="1"/>
  <c r="C15" i="1"/>
  <c r="E15" i="1"/>
  <c r="F15" i="1"/>
  <c r="G15" i="1"/>
  <c r="H15" i="1"/>
  <c r="I15" i="1"/>
  <c r="J15" i="1"/>
  <c r="K15" i="1"/>
  <c r="L15" i="1"/>
  <c r="M15" i="1"/>
  <c r="N15" i="1"/>
  <c r="O15" i="1"/>
  <c r="B16" i="1"/>
  <c r="B129" i="13"/>
  <c r="C16" i="1"/>
  <c r="B106" i="12" s="1"/>
  <c r="F16" i="1"/>
  <c r="G16" i="1"/>
  <c r="H16" i="1"/>
  <c r="I16" i="1"/>
  <c r="J16" i="1"/>
  <c r="K16" i="1"/>
  <c r="L16" i="1"/>
  <c r="M16" i="1"/>
  <c r="N16" i="1"/>
  <c r="O16" i="1"/>
  <c r="B17" i="1"/>
  <c r="B114" i="13"/>
  <c r="C17" i="1"/>
  <c r="B103" i="12" s="1"/>
  <c r="F17" i="1"/>
  <c r="G17" i="1"/>
  <c r="H17" i="1"/>
  <c r="I17" i="1"/>
  <c r="J17" i="1"/>
  <c r="K17" i="1"/>
  <c r="L17" i="1"/>
  <c r="M17" i="1"/>
  <c r="N17" i="1"/>
  <c r="O17" i="1"/>
  <c r="B18" i="1"/>
  <c r="B94" i="13" s="1"/>
  <c r="C18" i="1"/>
  <c r="B71" i="12" s="1"/>
  <c r="F18" i="1"/>
  <c r="G18" i="1"/>
  <c r="H18" i="1"/>
  <c r="I18" i="1"/>
  <c r="J18" i="1"/>
  <c r="K18" i="1"/>
  <c r="L18" i="1"/>
  <c r="M18" i="1"/>
  <c r="N18" i="1"/>
  <c r="O18" i="1"/>
  <c r="B19" i="1"/>
  <c r="C19" i="1"/>
  <c r="C110" i="6"/>
  <c r="F19" i="1"/>
  <c r="G19" i="1"/>
  <c r="H19" i="1"/>
  <c r="I19" i="1"/>
  <c r="J19" i="1"/>
  <c r="K19" i="1"/>
  <c r="L19" i="1"/>
  <c r="M19" i="1"/>
  <c r="N19" i="1"/>
  <c r="O19" i="1"/>
  <c r="B20" i="1"/>
  <c r="B97" i="13" s="1"/>
  <c r="C20" i="1"/>
  <c r="B86" i="12" s="1"/>
  <c r="F20" i="1"/>
  <c r="G20" i="1"/>
  <c r="H20" i="1"/>
  <c r="I20" i="1"/>
  <c r="J20" i="1"/>
  <c r="K20" i="1"/>
  <c r="L20" i="1"/>
  <c r="M20" i="1"/>
  <c r="N20" i="1"/>
  <c r="O20" i="1"/>
  <c r="B21" i="1"/>
  <c r="C21" i="1"/>
  <c r="B108" i="12"/>
  <c r="F21" i="1"/>
  <c r="G21" i="1"/>
  <c r="H21" i="1"/>
  <c r="I21" i="1"/>
  <c r="J21" i="1"/>
  <c r="K21" i="1"/>
  <c r="L21" i="1"/>
  <c r="M21" i="1"/>
  <c r="N21" i="1"/>
  <c r="O21" i="1"/>
  <c r="B22" i="1"/>
  <c r="B79" i="7"/>
  <c r="B80" i="13"/>
  <c r="C22" i="1"/>
  <c r="B81" i="12" s="1"/>
  <c r="F22" i="1"/>
  <c r="G22" i="1"/>
  <c r="H22" i="1"/>
  <c r="I22" i="1"/>
  <c r="J22" i="1"/>
  <c r="K22" i="1"/>
  <c r="L22" i="1"/>
  <c r="M22" i="1"/>
  <c r="N22" i="1"/>
  <c r="O22" i="1"/>
  <c r="B23" i="1"/>
  <c r="B84" i="7" s="1"/>
  <c r="B85" i="13"/>
  <c r="C23" i="1"/>
  <c r="C72" i="6" s="1"/>
  <c r="H72" i="6" s="1"/>
  <c r="E23" i="1"/>
  <c r="F23" i="1"/>
  <c r="G23" i="1"/>
  <c r="H23" i="1"/>
  <c r="I23" i="1"/>
  <c r="J23" i="1"/>
  <c r="K23" i="1"/>
  <c r="L23" i="1"/>
  <c r="M23" i="1"/>
  <c r="N23" i="1"/>
  <c r="O23" i="1"/>
  <c r="B24" i="1"/>
  <c r="B65" i="13" s="1"/>
  <c r="C24" i="1"/>
  <c r="F24" i="1"/>
  <c r="G24" i="1"/>
  <c r="H24" i="1"/>
  <c r="I24" i="1"/>
  <c r="J24" i="1"/>
  <c r="K24" i="1"/>
  <c r="L24" i="1"/>
  <c r="M24" i="1"/>
  <c r="N24" i="1"/>
  <c r="O24" i="1"/>
  <c r="B25" i="1"/>
  <c r="B86" i="13"/>
  <c r="C25" i="1"/>
  <c r="C65" i="6" s="1"/>
  <c r="F25" i="1"/>
  <c r="G25" i="1"/>
  <c r="H25" i="1"/>
  <c r="I25" i="1"/>
  <c r="J25" i="1"/>
  <c r="K25" i="1"/>
  <c r="L25" i="1"/>
  <c r="M25" i="1"/>
  <c r="N25" i="1"/>
  <c r="O25" i="1"/>
  <c r="B26" i="1"/>
  <c r="B71" i="13"/>
  <c r="C26" i="1"/>
  <c r="B57" i="12" s="1"/>
  <c r="F26" i="1"/>
  <c r="G26" i="1"/>
  <c r="H26" i="1"/>
  <c r="I26" i="1"/>
  <c r="J26" i="1"/>
  <c r="K26" i="1"/>
  <c r="L26" i="1"/>
  <c r="M26" i="1"/>
  <c r="N26" i="1"/>
  <c r="O26" i="1"/>
  <c r="B27" i="1"/>
  <c r="B102" i="13" s="1"/>
  <c r="C27" i="1"/>
  <c r="F27" i="1"/>
  <c r="G27" i="1"/>
  <c r="H27" i="1"/>
  <c r="I27" i="1"/>
  <c r="J27" i="1"/>
  <c r="K27" i="1"/>
  <c r="L27" i="1"/>
  <c r="M27" i="1"/>
  <c r="N27" i="1"/>
  <c r="O27" i="1"/>
  <c r="B28" i="1"/>
  <c r="B5" i="13" s="1"/>
  <c r="C28" i="1"/>
  <c r="F28" i="1"/>
  <c r="G28" i="1"/>
  <c r="H28" i="1"/>
  <c r="I28" i="1"/>
  <c r="J28" i="1"/>
  <c r="K28" i="1"/>
  <c r="L28" i="1"/>
  <c r="M28" i="1"/>
  <c r="N28" i="1"/>
  <c r="O28" i="1"/>
  <c r="B29" i="1"/>
  <c r="B107" i="7" s="1"/>
  <c r="B108" i="13"/>
  <c r="C29" i="1"/>
  <c r="C107" i="7" s="1"/>
  <c r="H107" i="7" s="1"/>
  <c r="F29" i="1"/>
  <c r="G29" i="1"/>
  <c r="H29" i="1"/>
  <c r="I29" i="1"/>
  <c r="J29" i="1"/>
  <c r="K29" i="1"/>
  <c r="L29" i="1"/>
  <c r="M29" i="1"/>
  <c r="N29" i="1"/>
  <c r="O29" i="1"/>
  <c r="B30" i="1"/>
  <c r="B133" i="13" s="1"/>
  <c r="C30" i="1"/>
  <c r="B107" i="12" s="1"/>
  <c r="F30" i="1"/>
  <c r="G30" i="1"/>
  <c r="H30" i="1"/>
  <c r="I30" i="1"/>
  <c r="J30" i="1"/>
  <c r="K30" i="1"/>
  <c r="L30" i="1"/>
  <c r="M30" i="1"/>
  <c r="N30" i="1"/>
  <c r="O30" i="1"/>
  <c r="B31" i="1"/>
  <c r="B138" i="7" s="1"/>
  <c r="B139" i="13"/>
  <c r="C31" i="1"/>
  <c r="C138" i="7" s="1"/>
  <c r="H138" i="7" s="1"/>
  <c r="F31" i="1"/>
  <c r="G31" i="1"/>
  <c r="H31" i="1"/>
  <c r="I31" i="1"/>
  <c r="J31" i="1"/>
  <c r="K31" i="1"/>
  <c r="L31" i="1"/>
  <c r="M31" i="1"/>
  <c r="N31" i="1"/>
  <c r="O31" i="1"/>
  <c r="B32" i="1"/>
  <c r="B10" i="13" s="1"/>
  <c r="C32" i="1"/>
  <c r="B122" i="12" s="1"/>
  <c r="F32" i="1"/>
  <c r="G32" i="1"/>
  <c r="H32" i="1"/>
  <c r="I32" i="1"/>
  <c r="J32" i="1"/>
  <c r="K32" i="1"/>
  <c r="L32" i="1"/>
  <c r="M32" i="1"/>
  <c r="N32" i="1"/>
  <c r="O32" i="1"/>
  <c r="B33" i="1"/>
  <c r="B124" i="13"/>
  <c r="C33" i="1"/>
  <c r="C123" i="7" s="1"/>
  <c r="H123" i="7" s="1"/>
  <c r="F33" i="1"/>
  <c r="G33" i="1"/>
  <c r="H33" i="1"/>
  <c r="I33" i="1"/>
  <c r="J33" i="1"/>
  <c r="K33" i="1"/>
  <c r="L33" i="1"/>
  <c r="M33" i="1"/>
  <c r="N33" i="1"/>
  <c r="O33" i="1"/>
  <c r="B34" i="1"/>
  <c r="B95" i="13" s="1"/>
  <c r="C34" i="1"/>
  <c r="B76" i="12" s="1"/>
  <c r="F34" i="1"/>
  <c r="G34" i="1"/>
  <c r="H34" i="1"/>
  <c r="I34" i="1"/>
  <c r="J34" i="1"/>
  <c r="K34" i="1"/>
  <c r="L34" i="1"/>
  <c r="M34" i="1"/>
  <c r="N34" i="1"/>
  <c r="O34" i="1"/>
  <c r="B35" i="1"/>
  <c r="B110" i="7" s="1"/>
  <c r="B111" i="13"/>
  <c r="C35" i="1"/>
  <c r="C110" i="7" s="1"/>
  <c r="H110" i="7" s="1"/>
  <c r="F35" i="1"/>
  <c r="G35" i="1"/>
  <c r="H35" i="1"/>
  <c r="I35" i="1"/>
  <c r="J35" i="1"/>
  <c r="K35" i="1"/>
  <c r="L35" i="1"/>
  <c r="M35" i="1"/>
  <c r="N35" i="1"/>
  <c r="O35" i="1"/>
  <c r="B36" i="1"/>
  <c r="B135" i="13" s="1"/>
  <c r="C36" i="1"/>
  <c r="F36" i="1"/>
  <c r="G36" i="1"/>
  <c r="H36" i="1"/>
  <c r="I36" i="1"/>
  <c r="J36" i="1"/>
  <c r="K36" i="1"/>
  <c r="L36" i="1"/>
  <c r="M36" i="1"/>
  <c r="N36" i="1"/>
  <c r="O36" i="1"/>
  <c r="B37" i="1"/>
  <c r="B65" i="7" s="1"/>
  <c r="B66" i="13"/>
  <c r="C37" i="1"/>
  <c r="C65" i="7" s="1"/>
  <c r="E65" i="7"/>
  <c r="F37" i="1"/>
  <c r="G37" i="1"/>
  <c r="H37" i="1"/>
  <c r="I37" i="1"/>
  <c r="J37" i="1"/>
  <c r="K37" i="1"/>
  <c r="L37" i="1"/>
  <c r="M37" i="1"/>
  <c r="N37" i="1"/>
  <c r="O37" i="1"/>
  <c r="B38" i="1"/>
  <c r="B123" i="13" s="1"/>
  <c r="C38" i="1"/>
  <c r="F38" i="1"/>
  <c r="G38" i="1"/>
  <c r="H38" i="1"/>
  <c r="I38" i="1"/>
  <c r="J38" i="1"/>
  <c r="K38" i="1"/>
  <c r="L38" i="1"/>
  <c r="M38" i="1"/>
  <c r="N38" i="1"/>
  <c r="O38" i="1"/>
  <c r="B39" i="1"/>
  <c r="B9" i="13"/>
  <c r="C39" i="1"/>
  <c r="F39" i="1"/>
  <c r="G39" i="1"/>
  <c r="H39" i="1"/>
  <c r="I39" i="1"/>
  <c r="J39" i="1"/>
  <c r="K39" i="1"/>
  <c r="L39" i="1"/>
  <c r="M39" i="1"/>
  <c r="N39" i="1"/>
  <c r="O39" i="1"/>
  <c r="B40" i="1"/>
  <c r="B11" i="13" s="1"/>
  <c r="C40" i="1"/>
  <c r="F40" i="1"/>
  <c r="G40" i="1"/>
  <c r="H40" i="1"/>
  <c r="I40" i="1"/>
  <c r="J40" i="1"/>
  <c r="K40" i="1"/>
  <c r="L40" i="1"/>
  <c r="M40" i="1"/>
  <c r="N40" i="1"/>
  <c r="O40" i="1"/>
  <c r="B41" i="1"/>
  <c r="B121" i="7" s="1"/>
  <c r="B122" i="13"/>
  <c r="C41" i="1"/>
  <c r="F41" i="1"/>
  <c r="G41" i="1"/>
  <c r="H41" i="1"/>
  <c r="I41" i="1"/>
  <c r="J41" i="1"/>
  <c r="K41" i="1"/>
  <c r="L41" i="1"/>
  <c r="M41" i="1"/>
  <c r="N41" i="1"/>
  <c r="O41" i="1"/>
  <c r="B42" i="1"/>
  <c r="B125" i="13" s="1"/>
  <c r="C42" i="1"/>
  <c r="F42" i="1"/>
  <c r="G42" i="1"/>
  <c r="H42" i="1"/>
  <c r="I42" i="1"/>
  <c r="J42" i="1"/>
  <c r="K42" i="1"/>
  <c r="L42" i="1"/>
  <c r="M42" i="1"/>
  <c r="N42" i="1"/>
  <c r="O42" i="1"/>
  <c r="B43" i="1"/>
  <c r="B75" i="7" s="1"/>
  <c r="B76" i="13"/>
  <c r="C43" i="1"/>
  <c r="F43" i="1"/>
  <c r="G43" i="1"/>
  <c r="H43" i="1"/>
  <c r="I43" i="1"/>
  <c r="J43" i="1"/>
  <c r="K43" i="1"/>
  <c r="L43" i="1"/>
  <c r="M43" i="1"/>
  <c r="N43" i="1"/>
  <c r="O43" i="1"/>
  <c r="B44" i="1"/>
  <c r="B79" i="13" s="1"/>
  <c r="C44" i="1"/>
  <c r="B125" i="12" s="1"/>
  <c r="F44" i="1"/>
  <c r="G44" i="1"/>
  <c r="H44" i="1"/>
  <c r="I44" i="1"/>
  <c r="J44" i="1"/>
  <c r="K44" i="1"/>
  <c r="L44" i="1"/>
  <c r="M44" i="1"/>
  <c r="N44" i="1"/>
  <c r="O44" i="1"/>
  <c r="B45" i="1"/>
  <c r="B6" i="7" s="1"/>
  <c r="B7" i="13"/>
  <c r="C45" i="1"/>
  <c r="F45" i="1"/>
  <c r="G45" i="1"/>
  <c r="H45" i="1"/>
  <c r="I45" i="1"/>
  <c r="J45" i="1"/>
  <c r="K45" i="1"/>
  <c r="L45" i="1"/>
  <c r="M45" i="1"/>
  <c r="N45" i="1"/>
  <c r="O45" i="1"/>
  <c r="B46" i="1"/>
  <c r="B137" i="13" s="1"/>
  <c r="C46" i="1"/>
  <c r="F46" i="1"/>
  <c r="G46" i="1"/>
  <c r="H46" i="1"/>
  <c r="I46" i="1"/>
  <c r="J46" i="1"/>
  <c r="K46" i="1"/>
  <c r="L46" i="1"/>
  <c r="M46" i="1"/>
  <c r="N46" i="1"/>
  <c r="O46" i="1"/>
  <c r="B47" i="1"/>
  <c r="B50" i="13"/>
  <c r="C47" i="1"/>
  <c r="F47" i="1"/>
  <c r="G47" i="1"/>
  <c r="H47" i="1"/>
  <c r="I47" i="1"/>
  <c r="J47" i="1"/>
  <c r="K47" i="1"/>
  <c r="L47" i="1"/>
  <c r="M47" i="1"/>
  <c r="N47" i="1"/>
  <c r="O47" i="1"/>
  <c r="B48" i="1"/>
  <c r="B128" i="13" s="1"/>
  <c r="C48" i="1"/>
  <c r="F48" i="1"/>
  <c r="G48" i="1"/>
  <c r="H48" i="1"/>
  <c r="I48" i="1"/>
  <c r="J48" i="1"/>
  <c r="K48" i="1"/>
  <c r="L48" i="1"/>
  <c r="M48" i="1"/>
  <c r="N48" i="1"/>
  <c r="O48" i="1"/>
  <c r="B49" i="1"/>
  <c r="B5" i="7" s="1"/>
  <c r="B6" i="13"/>
  <c r="C49" i="1"/>
  <c r="F49" i="1"/>
  <c r="G49" i="1"/>
  <c r="H49" i="1"/>
  <c r="I49" i="1"/>
  <c r="J49" i="1"/>
  <c r="K49" i="1"/>
  <c r="L49" i="1"/>
  <c r="M49" i="1"/>
  <c r="N49" i="1"/>
  <c r="O49" i="1"/>
  <c r="B50" i="1"/>
  <c r="B130" i="13" s="1"/>
  <c r="C50" i="1"/>
  <c r="F50" i="1"/>
  <c r="G50" i="1"/>
  <c r="H50" i="1"/>
  <c r="I50" i="1"/>
  <c r="J50" i="1"/>
  <c r="K50" i="1"/>
  <c r="L50" i="1"/>
  <c r="M50" i="1"/>
  <c r="N50" i="1"/>
  <c r="O50" i="1"/>
  <c r="B51" i="1"/>
  <c r="B28" i="7" s="1"/>
  <c r="B29" i="13"/>
  <c r="C51" i="1"/>
  <c r="F51" i="1"/>
  <c r="G51" i="1"/>
  <c r="H51" i="1"/>
  <c r="I51" i="1"/>
  <c r="J51" i="1"/>
  <c r="K51" i="1"/>
  <c r="L51" i="1"/>
  <c r="M51" i="1"/>
  <c r="N51" i="1"/>
  <c r="O51" i="1"/>
  <c r="B52" i="1"/>
  <c r="B98" i="13" s="1"/>
  <c r="C52" i="1"/>
  <c r="F52" i="1"/>
  <c r="G52" i="1"/>
  <c r="H52" i="1"/>
  <c r="I52" i="1"/>
  <c r="J52" i="1"/>
  <c r="K52" i="1"/>
  <c r="L52" i="1"/>
  <c r="M52" i="1"/>
  <c r="N52" i="1"/>
  <c r="O52" i="1"/>
  <c r="B53" i="1"/>
  <c r="B138" i="13"/>
  <c r="C53" i="1"/>
  <c r="B127" i="12" s="1"/>
  <c r="C137" i="7"/>
  <c r="H137" i="7" s="1"/>
  <c r="F53" i="1"/>
  <c r="G53" i="1"/>
  <c r="H53" i="1"/>
  <c r="I53" i="1"/>
  <c r="J53" i="1"/>
  <c r="K53" i="1"/>
  <c r="L53" i="1"/>
  <c r="M53" i="1"/>
  <c r="N53" i="1"/>
  <c r="O53" i="1"/>
  <c r="B54" i="1"/>
  <c r="B82" i="13" s="1"/>
  <c r="C54" i="1"/>
  <c r="B128" i="12"/>
  <c r="F54" i="1"/>
  <c r="F128" i="12"/>
  <c r="G54" i="1"/>
  <c r="H54" i="1"/>
  <c r="I54" i="1"/>
  <c r="J54" i="1"/>
  <c r="K54" i="1"/>
  <c r="L54" i="1"/>
  <c r="M54" i="1"/>
  <c r="N54" i="1"/>
  <c r="O54" i="1"/>
  <c r="B55" i="1"/>
  <c r="B8" i="13" s="1"/>
  <c r="C55" i="1"/>
  <c r="E55" i="1"/>
  <c r="F55" i="1"/>
  <c r="F9" i="9" s="1"/>
  <c r="G55" i="1"/>
  <c r="H55" i="1"/>
  <c r="G8" i="13"/>
  <c r="I55" i="1"/>
  <c r="J55" i="1"/>
  <c r="K55" i="1"/>
  <c r="L55" i="1"/>
  <c r="M55" i="1"/>
  <c r="N55" i="1"/>
  <c r="O55" i="1"/>
  <c r="B56" i="1"/>
  <c r="B63" i="12" s="1"/>
  <c r="C56" i="1"/>
  <c r="F56" i="1"/>
  <c r="G56" i="1"/>
  <c r="H56" i="1"/>
  <c r="I56" i="1"/>
  <c r="J56" i="1"/>
  <c r="K56" i="1"/>
  <c r="L56" i="1"/>
  <c r="M56" i="1"/>
  <c r="N56" i="1"/>
  <c r="O56" i="1"/>
  <c r="B57" i="1"/>
  <c r="B117" i="7"/>
  <c r="B118" i="13"/>
  <c r="C57" i="1"/>
  <c r="B91" i="12" s="1"/>
  <c r="F57" i="1"/>
  <c r="G57" i="1"/>
  <c r="H57" i="1"/>
  <c r="I57" i="1"/>
  <c r="J57" i="1"/>
  <c r="K57" i="1"/>
  <c r="L57" i="1"/>
  <c r="M57" i="1"/>
  <c r="N57" i="1"/>
  <c r="O57" i="1"/>
  <c r="B58" i="1"/>
  <c r="B4" i="12" s="1"/>
  <c r="B4" i="13"/>
  <c r="C58" i="1"/>
  <c r="F58" i="1"/>
  <c r="G58" i="1"/>
  <c r="H58" i="1"/>
  <c r="I58" i="1"/>
  <c r="J58" i="1"/>
  <c r="K58" i="1"/>
  <c r="L58" i="1"/>
  <c r="M58" i="1"/>
  <c r="N58" i="1"/>
  <c r="O58" i="1"/>
  <c r="B59" i="1"/>
  <c r="B95" i="7"/>
  <c r="B96" i="13"/>
  <c r="C59" i="1"/>
  <c r="B96" i="12" s="1"/>
  <c r="F59" i="1"/>
  <c r="G59" i="1"/>
  <c r="H59" i="1"/>
  <c r="I59" i="1"/>
  <c r="J59" i="1"/>
  <c r="K59" i="1"/>
  <c r="L59" i="1"/>
  <c r="M59" i="1"/>
  <c r="N59" i="1"/>
  <c r="O59" i="1"/>
  <c r="B60" i="1"/>
  <c r="B115" i="13" s="1"/>
  <c r="C60" i="1"/>
  <c r="F60" i="1"/>
  <c r="G60" i="1"/>
  <c r="H60" i="1"/>
  <c r="I60" i="1"/>
  <c r="J60" i="1"/>
  <c r="K60" i="1"/>
  <c r="L60" i="1"/>
  <c r="M60" i="1"/>
  <c r="N60" i="1"/>
  <c r="O60" i="1"/>
  <c r="B61" i="1"/>
  <c r="B73" i="7" s="1"/>
  <c r="B74" i="13"/>
  <c r="C61" i="1"/>
  <c r="C73" i="7" s="1"/>
  <c r="F61" i="1"/>
  <c r="G61" i="1"/>
  <c r="H61" i="1"/>
  <c r="I61" i="1"/>
  <c r="J61" i="1"/>
  <c r="K61" i="1"/>
  <c r="L61" i="1"/>
  <c r="M61" i="1"/>
  <c r="N61" i="1"/>
  <c r="O61" i="1"/>
  <c r="B62" i="1"/>
  <c r="B35" i="13"/>
  <c r="C62" i="1"/>
  <c r="B58" i="12" s="1"/>
  <c r="F62" i="1"/>
  <c r="G62" i="1"/>
  <c r="H62" i="1"/>
  <c r="I62" i="1"/>
  <c r="J62" i="1"/>
  <c r="K62" i="1"/>
  <c r="L62" i="1"/>
  <c r="M62" i="1"/>
  <c r="N62" i="1"/>
  <c r="O62" i="1"/>
  <c r="B63" i="1"/>
  <c r="B132" i="13"/>
  <c r="C63" i="1"/>
  <c r="C131" i="7" s="1"/>
  <c r="H131" i="7" s="1"/>
  <c r="F63" i="1"/>
  <c r="G63" i="1"/>
  <c r="H63" i="1"/>
  <c r="I63" i="1"/>
  <c r="J63" i="1"/>
  <c r="K63" i="1"/>
  <c r="L63" i="1"/>
  <c r="M63" i="1"/>
  <c r="N63" i="1"/>
  <c r="O63" i="1"/>
  <c r="B64" i="1"/>
  <c r="B107" i="13"/>
  <c r="C64" i="1"/>
  <c r="B129" i="12" s="1"/>
  <c r="F64" i="1"/>
  <c r="G64" i="1"/>
  <c r="H64" i="1"/>
  <c r="I64" i="1"/>
  <c r="J64" i="1"/>
  <c r="K64" i="1"/>
  <c r="L64" i="1"/>
  <c r="M64" i="1"/>
  <c r="N64" i="1"/>
  <c r="O64" i="1"/>
  <c r="B65" i="1"/>
  <c r="B117" i="13" s="1"/>
  <c r="C65" i="1"/>
  <c r="C116" i="7"/>
  <c r="F65" i="1"/>
  <c r="G65" i="1"/>
  <c r="H65" i="1"/>
  <c r="I65" i="1"/>
  <c r="J65" i="1"/>
  <c r="K65" i="1"/>
  <c r="L65" i="1"/>
  <c r="M65" i="1"/>
  <c r="N65" i="1"/>
  <c r="O65" i="1"/>
  <c r="B66" i="1"/>
  <c r="B72" i="13"/>
  <c r="C66" i="1"/>
  <c r="B78" i="12"/>
  <c r="F66" i="1"/>
  <c r="G66" i="1"/>
  <c r="H66" i="1"/>
  <c r="I66" i="1"/>
  <c r="J66" i="1"/>
  <c r="K66" i="1"/>
  <c r="L66" i="1"/>
  <c r="M66" i="1"/>
  <c r="N66" i="1"/>
  <c r="O66" i="1"/>
  <c r="B67" i="1"/>
  <c r="B116" i="13" s="1"/>
  <c r="B115" i="7"/>
  <c r="C67" i="1"/>
  <c r="C115" i="7" s="1"/>
  <c r="F67" i="1"/>
  <c r="G67" i="1"/>
  <c r="H67" i="1"/>
  <c r="I67" i="1"/>
  <c r="J67" i="1"/>
  <c r="K67" i="1"/>
  <c r="L67" i="1"/>
  <c r="M67" i="1"/>
  <c r="N67" i="1"/>
  <c r="O67" i="1"/>
  <c r="B68" i="1"/>
  <c r="B78" i="13" s="1"/>
  <c r="C68" i="1"/>
  <c r="B54" i="12"/>
  <c r="F68" i="1"/>
  <c r="G68" i="1"/>
  <c r="H68" i="1"/>
  <c r="I68" i="1"/>
  <c r="J68" i="1"/>
  <c r="K68" i="1"/>
  <c r="L68" i="1"/>
  <c r="M68" i="1"/>
  <c r="N68" i="1"/>
  <c r="O68" i="1"/>
  <c r="B69" i="1"/>
  <c r="B99" i="13"/>
  <c r="C69" i="1"/>
  <c r="B77" i="12"/>
  <c r="C98" i="7"/>
  <c r="F69" i="1"/>
  <c r="G69" i="1"/>
  <c r="H69" i="1"/>
  <c r="I69" i="1"/>
  <c r="J69" i="1"/>
  <c r="K69" i="1"/>
  <c r="L69" i="1"/>
  <c r="M69" i="1"/>
  <c r="N69" i="1"/>
  <c r="O69" i="1"/>
  <c r="B70" i="1"/>
  <c r="B81" i="13" s="1"/>
  <c r="C70" i="1"/>
  <c r="B56" i="12" s="1"/>
  <c r="F70" i="1"/>
  <c r="G70" i="1"/>
  <c r="H70" i="1"/>
  <c r="I70" i="1"/>
  <c r="J70" i="1"/>
  <c r="K70" i="1"/>
  <c r="L70" i="1"/>
  <c r="M70" i="1"/>
  <c r="N70" i="1"/>
  <c r="O70" i="1"/>
  <c r="B71" i="1"/>
  <c r="B83" i="13" s="1"/>
  <c r="C71" i="1"/>
  <c r="B61" i="12"/>
  <c r="C82" i="7"/>
  <c r="H82" i="7" s="1"/>
  <c r="F71" i="1"/>
  <c r="G71" i="1"/>
  <c r="H71" i="1"/>
  <c r="I71" i="1"/>
  <c r="J71" i="1"/>
  <c r="K71" i="1"/>
  <c r="L71" i="1"/>
  <c r="M71" i="1"/>
  <c r="N71" i="1"/>
  <c r="O71" i="1"/>
  <c r="B72" i="1"/>
  <c r="B52" i="13" s="1"/>
  <c r="C72" i="1"/>
  <c r="B64" i="12"/>
  <c r="F72" i="1"/>
  <c r="G72" i="1"/>
  <c r="H72" i="1"/>
  <c r="I72" i="1"/>
  <c r="J72" i="1"/>
  <c r="K72" i="1"/>
  <c r="L72" i="1"/>
  <c r="M72" i="1"/>
  <c r="N72" i="1"/>
  <c r="O72" i="1"/>
  <c r="B73" i="1"/>
  <c r="B33" i="13"/>
  <c r="C73" i="1"/>
  <c r="B59" i="12" s="1"/>
  <c r="C32" i="7"/>
  <c r="F73" i="1"/>
  <c r="G73" i="1"/>
  <c r="H73" i="1"/>
  <c r="I73" i="1"/>
  <c r="J73" i="1"/>
  <c r="K73" i="1"/>
  <c r="L73" i="1"/>
  <c r="M73" i="1"/>
  <c r="N73" i="1"/>
  <c r="O73" i="1"/>
  <c r="B74" i="1"/>
  <c r="B70" i="12" s="1"/>
  <c r="C74" i="1"/>
  <c r="F74" i="1"/>
  <c r="G74" i="1"/>
  <c r="H74" i="1"/>
  <c r="I74" i="1"/>
  <c r="J74" i="1"/>
  <c r="K74" i="1"/>
  <c r="L74" i="1"/>
  <c r="M74" i="1"/>
  <c r="N74" i="1"/>
  <c r="O74" i="1"/>
  <c r="B75" i="1"/>
  <c r="B91" i="13"/>
  <c r="C75" i="1"/>
  <c r="B69" i="12" s="1"/>
  <c r="F75" i="1"/>
  <c r="G75" i="1"/>
  <c r="H75" i="1"/>
  <c r="I75" i="1"/>
  <c r="J75" i="1"/>
  <c r="K75" i="1"/>
  <c r="L75" i="1"/>
  <c r="M75" i="1"/>
  <c r="N75" i="1"/>
  <c r="O75" i="1"/>
  <c r="B76" i="1"/>
  <c r="B17" i="13"/>
  <c r="C76" i="1"/>
  <c r="B12" i="12" s="1"/>
  <c r="F76" i="1"/>
  <c r="G76" i="1"/>
  <c r="H76" i="1"/>
  <c r="I76" i="1"/>
  <c r="J76" i="1"/>
  <c r="K76" i="1"/>
  <c r="L76" i="1"/>
  <c r="M76" i="1"/>
  <c r="N76" i="1"/>
  <c r="O76" i="1"/>
  <c r="B77" i="1"/>
  <c r="B18" i="7" s="1"/>
  <c r="C77" i="1"/>
  <c r="C18" i="7" s="1"/>
  <c r="F77" i="1"/>
  <c r="G77" i="1"/>
  <c r="H77" i="1"/>
  <c r="I77" i="1"/>
  <c r="J77" i="1"/>
  <c r="K77" i="1"/>
  <c r="L77" i="1"/>
  <c r="M77" i="1"/>
  <c r="N77" i="1"/>
  <c r="O77" i="1"/>
  <c r="B78" i="1"/>
  <c r="B61" i="13" s="1"/>
  <c r="C78" i="1"/>
  <c r="F78" i="1"/>
  <c r="G78" i="1"/>
  <c r="H78" i="1"/>
  <c r="I78" i="1"/>
  <c r="J78" i="1"/>
  <c r="K78" i="1"/>
  <c r="L78" i="1"/>
  <c r="M78" i="1"/>
  <c r="N78" i="1"/>
  <c r="O78" i="1"/>
  <c r="B79" i="1"/>
  <c r="B43" i="7" s="1"/>
  <c r="C79" i="1"/>
  <c r="C43" i="7" s="1"/>
  <c r="B38" i="12"/>
  <c r="F79" i="1"/>
  <c r="G79" i="1"/>
  <c r="H79" i="1"/>
  <c r="I79" i="1"/>
  <c r="J79" i="1"/>
  <c r="K79" i="1"/>
  <c r="L79" i="1"/>
  <c r="M79" i="1"/>
  <c r="N79" i="1"/>
  <c r="O79" i="1"/>
  <c r="B80" i="1"/>
  <c r="B39" i="13"/>
  <c r="C80" i="1"/>
  <c r="B31" i="12" s="1"/>
  <c r="F80" i="1"/>
  <c r="G80" i="1"/>
  <c r="H80" i="1"/>
  <c r="I80" i="1"/>
  <c r="J80" i="1"/>
  <c r="K80" i="1"/>
  <c r="L80" i="1"/>
  <c r="M80" i="1"/>
  <c r="N80" i="1"/>
  <c r="O80" i="1"/>
  <c r="B81" i="1"/>
  <c r="B60" i="13" s="1"/>
  <c r="C81" i="1"/>
  <c r="B55" i="12" s="1"/>
  <c r="F81" i="1"/>
  <c r="G81" i="1"/>
  <c r="H81" i="1"/>
  <c r="I81" i="1"/>
  <c r="J81" i="1"/>
  <c r="K81" i="1"/>
  <c r="L81" i="1"/>
  <c r="M81" i="1"/>
  <c r="N81" i="1"/>
  <c r="O81" i="1"/>
  <c r="B82" i="1"/>
  <c r="B31" i="13"/>
  <c r="C82" i="1"/>
  <c r="B75" i="12" s="1"/>
  <c r="F82" i="1"/>
  <c r="G82" i="1"/>
  <c r="H82" i="1"/>
  <c r="I82" i="1"/>
  <c r="J82" i="1"/>
  <c r="K82" i="1"/>
  <c r="L82" i="1"/>
  <c r="M82" i="1"/>
  <c r="N82" i="1"/>
  <c r="O82" i="1"/>
  <c r="B83" i="1"/>
  <c r="B49" i="13" s="1"/>
  <c r="C83" i="1"/>
  <c r="B35" i="12" s="1"/>
  <c r="C48" i="7"/>
  <c r="F83" i="1"/>
  <c r="G83" i="1"/>
  <c r="H83" i="1"/>
  <c r="I83" i="1"/>
  <c r="J83" i="1"/>
  <c r="K83" i="1"/>
  <c r="L83" i="1"/>
  <c r="M83" i="1"/>
  <c r="N83" i="1"/>
  <c r="O83" i="1"/>
  <c r="B84" i="1"/>
  <c r="B77" i="13" s="1"/>
  <c r="C84" i="1"/>
  <c r="B130" i="12" s="1"/>
  <c r="F84" i="1"/>
  <c r="G84" i="1"/>
  <c r="H84" i="1"/>
  <c r="I84" i="1"/>
  <c r="J84" i="1"/>
  <c r="K84" i="1"/>
  <c r="L84" i="1"/>
  <c r="M84" i="1"/>
  <c r="N84" i="1"/>
  <c r="O84" i="1"/>
  <c r="B85" i="1"/>
  <c r="B87" i="7" s="1"/>
  <c r="C85" i="1"/>
  <c r="B68" i="12"/>
  <c r="C87" i="7"/>
  <c r="F85" i="1"/>
  <c r="G85" i="1"/>
  <c r="H85" i="1"/>
  <c r="I85" i="1"/>
  <c r="J85" i="1"/>
  <c r="K85" i="1"/>
  <c r="L85" i="1"/>
  <c r="M85" i="1"/>
  <c r="N85" i="1"/>
  <c r="O85" i="1"/>
  <c r="B86" i="1"/>
  <c r="B69" i="13" s="1"/>
  <c r="C86" i="1"/>
  <c r="B50" i="12" s="1"/>
  <c r="F86" i="1"/>
  <c r="G86" i="1"/>
  <c r="H86" i="1"/>
  <c r="I86" i="1"/>
  <c r="J86" i="1"/>
  <c r="K86" i="1"/>
  <c r="L86" i="1"/>
  <c r="M86" i="1"/>
  <c r="N86" i="1"/>
  <c r="O86" i="1"/>
  <c r="B87" i="1"/>
  <c r="B70" i="13"/>
  <c r="C87" i="1"/>
  <c r="B62" i="12"/>
  <c r="C69" i="7"/>
  <c r="F87" i="1"/>
  <c r="G87" i="1"/>
  <c r="H87" i="1"/>
  <c r="I87" i="1"/>
  <c r="J87" i="1"/>
  <c r="K87" i="1"/>
  <c r="L87" i="1"/>
  <c r="M87" i="1"/>
  <c r="N87" i="1"/>
  <c r="O87" i="1"/>
  <c r="B88" i="1"/>
  <c r="B63" i="13"/>
  <c r="C88" i="1"/>
  <c r="B49" i="12"/>
  <c r="F88" i="1"/>
  <c r="G88" i="1"/>
  <c r="H88" i="1"/>
  <c r="I88" i="1"/>
  <c r="J88" i="1"/>
  <c r="K88" i="1"/>
  <c r="L88" i="1"/>
  <c r="M88" i="1"/>
  <c r="N88" i="1"/>
  <c r="O88" i="1"/>
  <c r="B89" i="1"/>
  <c r="B54" i="7"/>
  <c r="B55" i="13"/>
  <c r="C89" i="1"/>
  <c r="B39" i="12" s="1"/>
  <c r="F89" i="1"/>
  <c r="G89" i="1"/>
  <c r="H89" i="1"/>
  <c r="I89" i="1"/>
  <c r="J89" i="1"/>
  <c r="K89" i="1"/>
  <c r="L89" i="1"/>
  <c r="M89" i="1"/>
  <c r="N89" i="1"/>
  <c r="O89" i="1"/>
  <c r="B90" i="1"/>
  <c r="B64" i="13" s="1"/>
  <c r="C90" i="1"/>
  <c r="B47" i="12"/>
  <c r="F90" i="1"/>
  <c r="G90" i="1"/>
  <c r="H90" i="1"/>
  <c r="I90" i="1"/>
  <c r="J90" i="1"/>
  <c r="K90" i="1"/>
  <c r="L90" i="1"/>
  <c r="M90" i="1"/>
  <c r="N90" i="1"/>
  <c r="O90" i="1"/>
  <c r="B91" i="1"/>
  <c r="B127" i="13"/>
  <c r="C91" i="1"/>
  <c r="B110" i="12" s="1"/>
  <c r="C126" i="7"/>
  <c r="F91" i="1"/>
  <c r="G91" i="1"/>
  <c r="H91" i="1"/>
  <c r="I91" i="1"/>
  <c r="J91" i="1"/>
  <c r="K91" i="1"/>
  <c r="L91" i="1"/>
  <c r="M91" i="1"/>
  <c r="N91" i="1"/>
  <c r="O91" i="1"/>
  <c r="B92" i="1"/>
  <c r="B58" i="13" s="1"/>
  <c r="C92" i="1"/>
  <c r="B131" i="12" s="1"/>
  <c r="F92" i="1"/>
  <c r="G92" i="1"/>
  <c r="H92" i="1"/>
  <c r="I92" i="1"/>
  <c r="J92" i="1"/>
  <c r="K92" i="1"/>
  <c r="L92" i="1"/>
  <c r="M92" i="1"/>
  <c r="N92" i="1"/>
  <c r="O92" i="1"/>
  <c r="B93" i="1"/>
  <c r="B44" i="7" s="1"/>
  <c r="C93" i="1"/>
  <c r="C44" i="7" s="1"/>
  <c r="B30" i="12"/>
  <c r="F93" i="1"/>
  <c r="G93" i="1"/>
  <c r="H93" i="1"/>
  <c r="I93" i="1"/>
  <c r="J93" i="1"/>
  <c r="K93" i="1"/>
  <c r="L93" i="1"/>
  <c r="M93" i="1"/>
  <c r="N93" i="1"/>
  <c r="O93" i="1"/>
  <c r="B94" i="1"/>
  <c r="B40" i="13" s="1"/>
  <c r="C94" i="1"/>
  <c r="B132" i="12" s="1"/>
  <c r="F94" i="1"/>
  <c r="G94" i="1"/>
  <c r="H94" i="1"/>
  <c r="I94" i="1"/>
  <c r="J94" i="1"/>
  <c r="K94" i="1"/>
  <c r="L94" i="1"/>
  <c r="M94" i="1"/>
  <c r="N94" i="1"/>
  <c r="O94" i="1"/>
  <c r="B95" i="1"/>
  <c r="C95" i="1"/>
  <c r="C52" i="7" s="1"/>
  <c r="F95" i="1"/>
  <c r="G95" i="1"/>
  <c r="H95" i="1"/>
  <c r="I95" i="1"/>
  <c r="J95" i="1"/>
  <c r="K95" i="1"/>
  <c r="L95" i="1"/>
  <c r="M95" i="1"/>
  <c r="N95" i="1"/>
  <c r="O95" i="1"/>
  <c r="B96" i="1"/>
  <c r="B103" i="13"/>
  <c r="C96" i="1"/>
  <c r="B84" i="12"/>
  <c r="F96" i="1"/>
  <c r="G96" i="1"/>
  <c r="H96" i="1"/>
  <c r="I96" i="1"/>
  <c r="J96" i="1"/>
  <c r="K96" i="1"/>
  <c r="L96" i="1"/>
  <c r="M96" i="1"/>
  <c r="N96" i="1"/>
  <c r="O96" i="1"/>
  <c r="B97" i="1"/>
  <c r="B47" i="13" s="1"/>
  <c r="C97" i="1"/>
  <c r="C46" i="7" s="1"/>
  <c r="F97" i="1"/>
  <c r="G97" i="1"/>
  <c r="H97" i="1"/>
  <c r="I97" i="1"/>
  <c r="J97" i="1"/>
  <c r="K97" i="1"/>
  <c r="L97" i="1"/>
  <c r="M97" i="1"/>
  <c r="N97" i="1"/>
  <c r="O97" i="1"/>
  <c r="B98" i="1"/>
  <c r="B62" i="13"/>
  <c r="C98" i="1"/>
  <c r="B45" i="12" s="1"/>
  <c r="F98" i="1"/>
  <c r="G98" i="1"/>
  <c r="H98" i="1"/>
  <c r="I98" i="1"/>
  <c r="J98" i="1"/>
  <c r="K98" i="1"/>
  <c r="L98" i="1"/>
  <c r="M98" i="1"/>
  <c r="N98" i="1"/>
  <c r="O98" i="1"/>
  <c r="B99" i="1"/>
  <c r="B51" i="13" s="1"/>
  <c r="C99" i="1"/>
  <c r="B43" i="12"/>
  <c r="C50" i="7"/>
  <c r="F99" i="1"/>
  <c r="G99" i="1"/>
  <c r="H99" i="1"/>
  <c r="I99" i="1"/>
  <c r="J99" i="1"/>
  <c r="K99" i="1"/>
  <c r="L99" i="1"/>
  <c r="M99" i="1"/>
  <c r="N99" i="1"/>
  <c r="O99" i="1"/>
  <c r="B100" i="1"/>
  <c r="B37" i="13" s="1"/>
  <c r="C100" i="1"/>
  <c r="B28" i="12" s="1"/>
  <c r="F100" i="1"/>
  <c r="G100" i="1"/>
  <c r="H100" i="1"/>
  <c r="I100" i="1"/>
  <c r="J100" i="1"/>
  <c r="K100" i="1"/>
  <c r="L100" i="1"/>
  <c r="M100" i="1"/>
  <c r="N100" i="1"/>
  <c r="O100" i="1"/>
  <c r="B101" i="1"/>
  <c r="B75" i="13" s="1"/>
  <c r="C101" i="1"/>
  <c r="B53" i="12"/>
  <c r="C74" i="7"/>
  <c r="F101" i="1"/>
  <c r="G101" i="1"/>
  <c r="H101" i="1"/>
  <c r="I101" i="1"/>
  <c r="J101" i="1"/>
  <c r="K101" i="1"/>
  <c r="L101" i="1"/>
  <c r="M101" i="1"/>
  <c r="N101" i="1"/>
  <c r="O101" i="1"/>
  <c r="B102" i="1"/>
  <c r="B18" i="13" s="1"/>
  <c r="C102" i="1"/>
  <c r="B18" i="12"/>
  <c r="F102" i="1"/>
  <c r="G102" i="1"/>
  <c r="H102" i="1"/>
  <c r="I102" i="1"/>
  <c r="J102" i="1"/>
  <c r="K102" i="1"/>
  <c r="L102" i="1"/>
  <c r="M102" i="1"/>
  <c r="N102" i="1"/>
  <c r="O102" i="1"/>
  <c r="B103" i="1"/>
  <c r="B73" i="13"/>
  <c r="C103" i="1"/>
  <c r="B52" i="12"/>
  <c r="C72" i="7"/>
  <c r="F103" i="1"/>
  <c r="G103" i="1"/>
  <c r="H103" i="1"/>
  <c r="I103" i="1"/>
  <c r="J103" i="1"/>
  <c r="K103" i="1"/>
  <c r="L103" i="1"/>
  <c r="M103" i="1"/>
  <c r="N103" i="1"/>
  <c r="O103" i="1"/>
  <c r="B104" i="1"/>
  <c r="B19" i="12" s="1"/>
  <c r="C104" i="1"/>
  <c r="F104" i="1"/>
  <c r="G104" i="1"/>
  <c r="H104" i="1"/>
  <c r="I104" i="1"/>
  <c r="J104" i="1"/>
  <c r="K104" i="1"/>
  <c r="L104" i="1"/>
  <c r="M104" i="1"/>
  <c r="N104" i="1"/>
  <c r="O104" i="1"/>
  <c r="B105" i="1"/>
  <c r="C105" i="1"/>
  <c r="C21" i="7" s="1"/>
  <c r="F105" i="1"/>
  <c r="G105" i="1"/>
  <c r="H105" i="1"/>
  <c r="I105" i="1"/>
  <c r="J105" i="1"/>
  <c r="K105" i="1"/>
  <c r="L105" i="1"/>
  <c r="M105" i="1"/>
  <c r="N105" i="1"/>
  <c r="O105" i="1"/>
  <c r="B106" i="1"/>
  <c r="B25" i="13" s="1"/>
  <c r="C106" i="1"/>
  <c r="B20" i="12" s="1"/>
  <c r="F106" i="1"/>
  <c r="G106" i="1"/>
  <c r="H106" i="1"/>
  <c r="I106" i="1"/>
  <c r="J106" i="1"/>
  <c r="K106" i="1"/>
  <c r="L106" i="1"/>
  <c r="M106" i="1"/>
  <c r="N106" i="1"/>
  <c r="O106" i="1"/>
  <c r="B107" i="1"/>
  <c r="C107" i="1"/>
  <c r="B26" i="12" s="1"/>
  <c r="C35" i="7"/>
  <c r="F107" i="1"/>
  <c r="G107" i="1"/>
  <c r="H107" i="1"/>
  <c r="I107" i="1"/>
  <c r="J107" i="1"/>
  <c r="K107" i="1"/>
  <c r="L107" i="1"/>
  <c r="M107" i="1"/>
  <c r="N107" i="1"/>
  <c r="O107" i="1"/>
  <c r="B108" i="1"/>
  <c r="B20" i="13" s="1"/>
  <c r="C108" i="1"/>
  <c r="B133" i="12" s="1"/>
  <c r="F108" i="1"/>
  <c r="G108" i="1"/>
  <c r="H108" i="1"/>
  <c r="I108" i="1"/>
  <c r="J108" i="1"/>
  <c r="K108" i="1"/>
  <c r="L108" i="1"/>
  <c r="M108" i="1"/>
  <c r="N108" i="1"/>
  <c r="O108" i="1"/>
  <c r="B109" i="1"/>
  <c r="C109" i="1"/>
  <c r="B36" i="12" s="1"/>
  <c r="F109" i="1"/>
  <c r="G109" i="1"/>
  <c r="H109" i="1"/>
  <c r="I109" i="1"/>
  <c r="J109" i="1"/>
  <c r="K109" i="1"/>
  <c r="L109" i="1"/>
  <c r="M109" i="1"/>
  <c r="N109" i="1"/>
  <c r="O109" i="1"/>
  <c r="B110" i="1"/>
  <c r="B38" i="13"/>
  <c r="C110" i="1"/>
  <c r="B29" i="12" s="1"/>
  <c r="F110" i="1"/>
  <c r="G110" i="1"/>
  <c r="H110" i="1"/>
  <c r="I110" i="1"/>
  <c r="J110" i="1"/>
  <c r="K110" i="1"/>
  <c r="L110" i="1"/>
  <c r="M110" i="1"/>
  <c r="N110" i="1"/>
  <c r="O110" i="1"/>
  <c r="B111" i="1"/>
  <c r="C111" i="1"/>
  <c r="B37" i="12"/>
  <c r="C47" i="7"/>
  <c r="F111" i="1"/>
  <c r="G111" i="1"/>
  <c r="H111" i="1"/>
  <c r="I111" i="1"/>
  <c r="J111" i="1"/>
  <c r="K111" i="1"/>
  <c r="L111" i="1"/>
  <c r="M111" i="1"/>
  <c r="N111" i="1"/>
  <c r="O111" i="1"/>
  <c r="B112" i="1"/>
  <c r="B27" i="13" s="1"/>
  <c r="C112" i="1"/>
  <c r="B22" i="12"/>
  <c r="F112" i="1"/>
  <c r="G112" i="1"/>
  <c r="H112" i="1"/>
  <c r="I112" i="1"/>
  <c r="J112" i="1"/>
  <c r="K112" i="1"/>
  <c r="L112" i="1"/>
  <c r="M112" i="1"/>
  <c r="N112" i="1"/>
  <c r="O112" i="1"/>
  <c r="B113" i="1"/>
  <c r="C113" i="1"/>
  <c r="C22" i="7" s="1"/>
  <c r="H22" i="7" s="1"/>
  <c r="F113" i="1"/>
  <c r="G113" i="1"/>
  <c r="H113" i="1"/>
  <c r="I113" i="1"/>
  <c r="J113" i="1"/>
  <c r="K113" i="1"/>
  <c r="L113" i="1"/>
  <c r="M113" i="1"/>
  <c r="N113" i="1"/>
  <c r="O113" i="1"/>
  <c r="B114" i="1"/>
  <c r="B57" i="13" s="1"/>
  <c r="C114" i="1"/>
  <c r="B134" i="12" s="1"/>
  <c r="F114" i="1"/>
  <c r="G114" i="1"/>
  <c r="H114" i="1"/>
  <c r="I114" i="1"/>
  <c r="H134" i="12"/>
  <c r="J114" i="1"/>
  <c r="K114" i="1"/>
  <c r="L114" i="1"/>
  <c r="M114" i="1"/>
  <c r="N114" i="1"/>
  <c r="O114" i="1"/>
  <c r="B115" i="1"/>
  <c r="C115" i="1"/>
  <c r="C31" i="7" s="1"/>
  <c r="F115" i="1"/>
  <c r="G115" i="1"/>
  <c r="H115" i="1"/>
  <c r="I115" i="1"/>
  <c r="H32" i="13" s="1"/>
  <c r="J115" i="1"/>
  <c r="K115" i="1"/>
  <c r="L115" i="1"/>
  <c r="M115" i="1"/>
  <c r="N115" i="1"/>
  <c r="O115" i="1"/>
  <c r="B116" i="1"/>
  <c r="B56" i="13" s="1"/>
  <c r="C116" i="1"/>
  <c r="F116" i="1"/>
  <c r="G116" i="1"/>
  <c r="H116" i="1"/>
  <c r="I116" i="1"/>
  <c r="H56" i="13"/>
  <c r="J116" i="1"/>
  <c r="K116" i="1"/>
  <c r="L116" i="1"/>
  <c r="M116" i="1"/>
  <c r="N116" i="1"/>
  <c r="O116" i="1"/>
  <c r="B117" i="1"/>
  <c r="C117" i="1"/>
  <c r="B11" i="12" s="1"/>
  <c r="C11" i="7"/>
  <c r="F117" i="1"/>
  <c r="G117" i="1"/>
  <c r="H117" i="1"/>
  <c r="I117" i="1"/>
  <c r="J117" i="1"/>
  <c r="K117" i="1"/>
  <c r="L117" i="1"/>
  <c r="M117" i="1"/>
  <c r="N117" i="1"/>
  <c r="O117" i="1"/>
  <c r="B118" i="1"/>
  <c r="B14" i="13" s="1"/>
  <c r="C118" i="1"/>
  <c r="B9" i="12"/>
  <c r="F118" i="1"/>
  <c r="G118" i="1"/>
  <c r="H118" i="1"/>
  <c r="I118" i="1"/>
  <c r="J118" i="1"/>
  <c r="K118" i="1"/>
  <c r="L118" i="1"/>
  <c r="M118" i="1"/>
  <c r="N118" i="1"/>
  <c r="O118" i="1"/>
  <c r="B119" i="1"/>
  <c r="C119" i="1"/>
  <c r="C58" i="7" s="1"/>
  <c r="F119" i="1"/>
  <c r="G119" i="1"/>
  <c r="H119" i="1"/>
  <c r="I119" i="1"/>
  <c r="J119" i="1"/>
  <c r="K119" i="1"/>
  <c r="L119" i="1"/>
  <c r="M119" i="1"/>
  <c r="N119" i="1"/>
  <c r="O119" i="1"/>
  <c r="B120" i="1"/>
  <c r="B54" i="13"/>
  <c r="C120" i="1"/>
  <c r="B135" i="12" s="1"/>
  <c r="F120" i="1"/>
  <c r="G120" i="1"/>
  <c r="H120" i="1"/>
  <c r="I120" i="1"/>
  <c r="J120" i="1"/>
  <c r="K120" i="1"/>
  <c r="L120" i="1"/>
  <c r="M120" i="1"/>
  <c r="N120" i="1"/>
  <c r="O120" i="1"/>
  <c r="B121" i="1"/>
  <c r="C121" i="1"/>
  <c r="F121" i="1"/>
  <c r="G121" i="1"/>
  <c r="H121" i="1"/>
  <c r="I121" i="1"/>
  <c r="J121" i="1"/>
  <c r="K121" i="1"/>
  <c r="L121" i="1"/>
  <c r="M121" i="1"/>
  <c r="N121" i="1"/>
  <c r="O121" i="1"/>
  <c r="B122" i="1"/>
  <c r="B67" i="13"/>
  <c r="C122" i="1"/>
  <c r="B60" i="12" s="1"/>
  <c r="F122" i="1"/>
  <c r="G122" i="1"/>
  <c r="H122" i="1"/>
  <c r="I122" i="1"/>
  <c r="J122" i="1"/>
  <c r="K122" i="1"/>
  <c r="L122" i="1"/>
  <c r="M122" i="1"/>
  <c r="N122" i="1"/>
  <c r="O122" i="1"/>
  <c r="B123" i="1"/>
  <c r="C123" i="1"/>
  <c r="B42" i="12"/>
  <c r="C40" i="7"/>
  <c r="F123" i="1"/>
  <c r="G123" i="1"/>
  <c r="H123" i="1"/>
  <c r="I123" i="1"/>
  <c r="J123" i="1"/>
  <c r="K123" i="1"/>
  <c r="L123" i="1"/>
  <c r="M123" i="1"/>
  <c r="N123" i="1"/>
  <c r="O123" i="1"/>
  <c r="B124" i="1"/>
  <c r="B26" i="13" s="1"/>
  <c r="C124" i="1"/>
  <c r="B21" i="12"/>
  <c r="F124" i="1"/>
  <c r="G124" i="1"/>
  <c r="H124" i="1"/>
  <c r="I124" i="1"/>
  <c r="J124" i="1"/>
  <c r="K124" i="1"/>
  <c r="L124" i="1"/>
  <c r="M124" i="1"/>
  <c r="N124" i="1"/>
  <c r="O124" i="1"/>
  <c r="B125" i="1"/>
  <c r="C125" i="1"/>
  <c r="B13" i="12" s="1"/>
  <c r="C14" i="7"/>
  <c r="F125" i="1"/>
  <c r="G125" i="1"/>
  <c r="H125" i="1"/>
  <c r="I125" i="1"/>
  <c r="N217" i="9"/>
  <c r="J125" i="1"/>
  <c r="K125" i="1"/>
  <c r="L125" i="1"/>
  <c r="M125" i="1"/>
  <c r="N125" i="1"/>
  <c r="O125" i="1"/>
  <c r="B126" i="1"/>
  <c r="B21" i="13"/>
  <c r="C126" i="1"/>
  <c r="B14" i="12" s="1"/>
  <c r="F126" i="1"/>
  <c r="G126" i="1"/>
  <c r="H126" i="1"/>
  <c r="I126" i="1"/>
  <c r="J126" i="1"/>
  <c r="K126" i="1"/>
  <c r="L126" i="1"/>
  <c r="M126" i="1"/>
  <c r="N126" i="1"/>
  <c r="O126" i="1"/>
  <c r="B127" i="1"/>
  <c r="C127" i="1"/>
  <c r="B136" i="12"/>
  <c r="C99" i="7"/>
  <c r="H99" i="7" s="1"/>
  <c r="F127" i="1"/>
  <c r="G127" i="1"/>
  <c r="H127" i="1"/>
  <c r="I127" i="1"/>
  <c r="J127" i="1"/>
  <c r="K127" i="1"/>
  <c r="L127" i="1"/>
  <c r="M127" i="1"/>
  <c r="N127" i="1"/>
  <c r="O127" i="1"/>
  <c r="B128" i="1"/>
  <c r="B43" i="13" s="1"/>
  <c r="C128" i="1"/>
  <c r="B34" i="12"/>
  <c r="F128" i="1"/>
  <c r="G128" i="1"/>
  <c r="H128" i="1"/>
  <c r="I128" i="1"/>
  <c r="J128" i="1"/>
  <c r="K128" i="1"/>
  <c r="L128" i="1"/>
  <c r="M128" i="1"/>
  <c r="N128" i="1"/>
  <c r="O128" i="1"/>
  <c r="B129" i="1"/>
  <c r="C129" i="1"/>
  <c r="C41" i="7" s="1"/>
  <c r="F129" i="1"/>
  <c r="G129" i="1"/>
  <c r="H129" i="1"/>
  <c r="I129" i="1"/>
  <c r="J129" i="1"/>
  <c r="K129" i="1"/>
  <c r="L129" i="1"/>
  <c r="M129" i="1"/>
  <c r="N129" i="1"/>
  <c r="O129" i="1"/>
  <c r="B130" i="1"/>
  <c r="C130" i="1"/>
  <c r="B24" i="12" s="1"/>
  <c r="E130" i="1"/>
  <c r="F130" i="1"/>
  <c r="G130" i="1"/>
  <c r="H130" i="1"/>
  <c r="I130" i="1"/>
  <c r="J130" i="1"/>
  <c r="K130" i="1"/>
  <c r="L130" i="1"/>
  <c r="M130" i="1"/>
  <c r="N130" i="1"/>
  <c r="O130" i="1"/>
  <c r="B131" i="1"/>
  <c r="C131" i="1"/>
  <c r="E131" i="1" s="1"/>
  <c r="F131" i="1"/>
  <c r="G131" i="1"/>
  <c r="H131" i="1"/>
  <c r="I131" i="1"/>
  <c r="J131" i="1"/>
  <c r="K131" i="1"/>
  <c r="L131" i="1"/>
  <c r="M131" i="1"/>
  <c r="N131" i="1"/>
  <c r="O131" i="1"/>
  <c r="B132" i="1"/>
  <c r="C132" i="1"/>
  <c r="B65" i="12"/>
  <c r="E132" i="1"/>
  <c r="F132" i="1"/>
  <c r="G132" i="1"/>
  <c r="H132" i="1"/>
  <c r="I132" i="1"/>
  <c r="J132" i="1"/>
  <c r="K132" i="1"/>
  <c r="L132" i="1"/>
  <c r="M132" i="1"/>
  <c r="N132" i="1"/>
  <c r="O132" i="1"/>
  <c r="B133" i="1"/>
  <c r="C133" i="1"/>
  <c r="B137" i="12" s="1"/>
  <c r="E133" i="1"/>
  <c r="F133" i="1"/>
  <c r="G133" i="1"/>
  <c r="H133" i="1"/>
  <c r="I133" i="1"/>
  <c r="J133" i="1"/>
  <c r="K133" i="1"/>
  <c r="L133" i="1"/>
  <c r="M133" i="1"/>
  <c r="N133" i="1"/>
  <c r="O133" i="1"/>
  <c r="B134" i="1"/>
  <c r="C134" i="1"/>
  <c r="E134" i="1" s="1"/>
  <c r="F134" i="1"/>
  <c r="G134" i="1"/>
  <c r="H134" i="1"/>
  <c r="I134" i="1"/>
  <c r="J134" i="1"/>
  <c r="K134" i="1"/>
  <c r="L134" i="1"/>
  <c r="M134" i="1"/>
  <c r="N134" i="1"/>
  <c r="O134" i="1"/>
  <c r="B135" i="1"/>
  <c r="C135" i="1"/>
  <c r="E135" i="1"/>
  <c r="F135" i="1"/>
  <c r="G135" i="1"/>
  <c r="H135" i="1"/>
  <c r="I135" i="1"/>
  <c r="J135" i="1"/>
  <c r="K135" i="1"/>
  <c r="L135" i="1"/>
  <c r="M135" i="1"/>
  <c r="N135" i="1"/>
  <c r="O135" i="1"/>
  <c r="B136" i="1"/>
  <c r="C136" i="1"/>
  <c r="F136" i="1"/>
  <c r="G136" i="1"/>
  <c r="H136" i="1"/>
  <c r="I136" i="1"/>
  <c r="J136" i="1"/>
  <c r="K136" i="1"/>
  <c r="L136" i="1"/>
  <c r="M136" i="1"/>
  <c r="N136" i="1"/>
  <c r="O136" i="1"/>
  <c r="B137" i="1"/>
  <c r="C137" i="1"/>
  <c r="F137" i="1"/>
  <c r="G137" i="1"/>
  <c r="H137" i="1"/>
  <c r="I137" i="1"/>
  <c r="J137" i="1"/>
  <c r="K137" i="1"/>
  <c r="L137" i="1"/>
  <c r="M137" i="1"/>
  <c r="N137" i="1"/>
  <c r="O137" i="1"/>
  <c r="B138" i="1"/>
  <c r="C138" i="1"/>
  <c r="B139" i="12"/>
  <c r="E138" i="1"/>
  <c r="F138" i="1"/>
  <c r="G138" i="1"/>
  <c r="H138" i="1"/>
  <c r="I138" i="1"/>
  <c r="J138" i="1"/>
  <c r="K138" i="1"/>
  <c r="L138" i="1"/>
  <c r="M138" i="1"/>
  <c r="N138" i="1"/>
  <c r="O138" i="1"/>
  <c r="B139" i="1"/>
  <c r="C139" i="1"/>
  <c r="F139" i="1"/>
  <c r="G139" i="1"/>
  <c r="H139" i="1"/>
  <c r="I139" i="1"/>
  <c r="J139" i="1"/>
  <c r="K139" i="1"/>
  <c r="L139" i="1"/>
  <c r="M139" i="1"/>
  <c r="N139" i="1"/>
  <c r="O139" i="1"/>
  <c r="B140" i="1"/>
  <c r="C140" i="1"/>
  <c r="B141" i="12"/>
  <c r="E140" i="1"/>
  <c r="F140" i="1"/>
  <c r="G140" i="1"/>
  <c r="H140" i="1"/>
  <c r="I140" i="1"/>
  <c r="J140" i="1"/>
  <c r="K140" i="1"/>
  <c r="L140" i="1"/>
  <c r="M140" i="1"/>
  <c r="N140" i="1"/>
  <c r="O140" i="1"/>
  <c r="B141" i="1"/>
  <c r="C141" i="1"/>
  <c r="F141" i="1"/>
  <c r="G141" i="1"/>
  <c r="H141" i="1"/>
  <c r="I141" i="1"/>
  <c r="J141" i="1"/>
  <c r="K141" i="1"/>
  <c r="L141" i="1"/>
  <c r="M141" i="1"/>
  <c r="N141" i="1"/>
  <c r="O141" i="1"/>
  <c r="B142" i="1"/>
  <c r="C142" i="1"/>
  <c r="B143" i="12"/>
  <c r="E142" i="1"/>
  <c r="F142" i="1"/>
  <c r="G142" i="1"/>
  <c r="H142" i="1"/>
  <c r="I142" i="1"/>
  <c r="J142" i="1"/>
  <c r="K142" i="1"/>
  <c r="L142" i="1"/>
  <c r="M142" i="1"/>
  <c r="N142" i="1"/>
  <c r="O142" i="1"/>
  <c r="B143" i="1"/>
  <c r="C143" i="1"/>
  <c r="F143" i="1"/>
  <c r="G143" i="1"/>
  <c r="H143" i="1"/>
  <c r="I143" i="1"/>
  <c r="J143" i="1"/>
  <c r="K143" i="1"/>
  <c r="L143" i="1"/>
  <c r="M143" i="1"/>
  <c r="N143" i="1"/>
  <c r="O143" i="1"/>
  <c r="B144" i="1"/>
  <c r="C144" i="1"/>
  <c r="B145" i="12"/>
  <c r="E144" i="1"/>
  <c r="F144" i="1"/>
  <c r="G144" i="1"/>
  <c r="H144" i="1"/>
  <c r="I144" i="1"/>
  <c r="J144" i="1"/>
  <c r="K144" i="1"/>
  <c r="L144" i="1"/>
  <c r="M144" i="1"/>
  <c r="N144" i="1"/>
  <c r="O144" i="1"/>
  <c r="B145" i="1"/>
  <c r="C145" i="1"/>
  <c r="F145" i="1"/>
  <c r="G145" i="1"/>
  <c r="H145" i="1"/>
  <c r="I145" i="1"/>
  <c r="J145" i="1"/>
  <c r="K145" i="1"/>
  <c r="L145" i="1"/>
  <c r="M145" i="1"/>
  <c r="N145" i="1"/>
  <c r="O145" i="1"/>
  <c r="B146" i="1"/>
  <c r="B147" i="12" s="1"/>
  <c r="C146" i="1"/>
  <c r="E146" i="1"/>
  <c r="F146" i="1"/>
  <c r="G146" i="1"/>
  <c r="H146" i="1"/>
  <c r="I146" i="1"/>
  <c r="J146" i="1"/>
  <c r="K146" i="1"/>
  <c r="L146" i="1"/>
  <c r="M146" i="1"/>
  <c r="N146" i="1"/>
  <c r="O146" i="1"/>
  <c r="B147" i="1"/>
  <c r="C147" i="1"/>
  <c r="E147" i="1" s="1"/>
  <c r="B148" i="12"/>
  <c r="F147" i="1"/>
  <c r="G147" i="1"/>
  <c r="H147" i="1"/>
  <c r="I147" i="1"/>
  <c r="J147" i="1"/>
  <c r="K147" i="1"/>
  <c r="L147" i="1"/>
  <c r="M147" i="1"/>
  <c r="N147" i="1"/>
  <c r="O147" i="1"/>
  <c r="B148" i="1"/>
  <c r="C148" i="1"/>
  <c r="B149" i="12"/>
  <c r="E148" i="1"/>
  <c r="F148" i="1"/>
  <c r="G148" i="1"/>
  <c r="H148" i="1"/>
  <c r="I148" i="1"/>
  <c r="J148" i="1"/>
  <c r="K148" i="1"/>
  <c r="L148" i="1"/>
  <c r="M148" i="1"/>
  <c r="N148" i="1"/>
  <c r="O148" i="1"/>
  <c r="B149" i="1"/>
  <c r="C149" i="1"/>
  <c r="E149" i="1" s="1"/>
  <c r="F149" i="1"/>
  <c r="G149" i="1"/>
  <c r="H149" i="1"/>
  <c r="I149" i="1"/>
  <c r="J149" i="1"/>
  <c r="K149" i="1"/>
  <c r="L149" i="1"/>
  <c r="M149" i="1"/>
  <c r="N149" i="1"/>
  <c r="O149" i="1"/>
  <c r="B150" i="1"/>
  <c r="C150" i="1"/>
  <c r="B151" i="12"/>
  <c r="E150" i="1"/>
  <c r="F150" i="1"/>
  <c r="G150" i="1"/>
  <c r="H150" i="1"/>
  <c r="I150" i="1"/>
  <c r="J150" i="1"/>
  <c r="K150" i="1"/>
  <c r="L150" i="1"/>
  <c r="M150" i="1"/>
  <c r="N150" i="1"/>
  <c r="O150" i="1"/>
  <c r="B151" i="1"/>
  <c r="C151" i="1"/>
  <c r="E151" i="1" s="1"/>
  <c r="F151" i="1"/>
  <c r="G151" i="1"/>
  <c r="H151" i="1"/>
  <c r="I151" i="1"/>
  <c r="J151" i="1"/>
  <c r="K151" i="1"/>
  <c r="L151" i="1"/>
  <c r="M151" i="1"/>
  <c r="N151" i="1"/>
  <c r="O151" i="1"/>
  <c r="B152" i="1"/>
  <c r="B153" i="12" s="1"/>
  <c r="C152" i="1"/>
  <c r="E152" i="1"/>
  <c r="F152" i="1"/>
  <c r="G152" i="1"/>
  <c r="H152" i="1"/>
  <c r="I152" i="1"/>
  <c r="J152" i="1"/>
  <c r="K152" i="1"/>
  <c r="L152" i="1"/>
  <c r="M152" i="1"/>
  <c r="N152" i="1"/>
  <c r="O152" i="1"/>
  <c r="B153" i="1"/>
  <c r="C153" i="1"/>
  <c r="E153" i="1" s="1"/>
  <c r="F153" i="1"/>
  <c r="G153" i="1"/>
  <c r="H153" i="1"/>
  <c r="I153" i="1"/>
  <c r="J153" i="1"/>
  <c r="K153" i="1"/>
  <c r="L153" i="1"/>
  <c r="M153" i="1"/>
  <c r="N153" i="1"/>
  <c r="O153" i="1"/>
  <c r="B154" i="1"/>
  <c r="B155" i="12" s="1"/>
  <c r="C154" i="1"/>
  <c r="E154" i="1"/>
  <c r="F154" i="1"/>
  <c r="G154" i="1"/>
  <c r="H154" i="1"/>
  <c r="I154" i="1"/>
  <c r="J154" i="1"/>
  <c r="K154" i="1"/>
  <c r="L154" i="1"/>
  <c r="M154" i="1"/>
  <c r="N154" i="1"/>
  <c r="O154" i="1"/>
  <c r="B155" i="1"/>
  <c r="C155" i="1"/>
  <c r="E155" i="1" s="1"/>
  <c r="B156" i="12"/>
  <c r="F155" i="1"/>
  <c r="G155" i="1"/>
  <c r="H155" i="1"/>
  <c r="I155" i="1"/>
  <c r="J155" i="1"/>
  <c r="K155" i="1"/>
  <c r="L155" i="1"/>
  <c r="M155" i="1"/>
  <c r="N155" i="1"/>
  <c r="O155" i="1"/>
  <c r="B156" i="1"/>
  <c r="C156" i="1"/>
  <c r="B157" i="12"/>
  <c r="E156" i="1"/>
  <c r="F156" i="1"/>
  <c r="G156" i="1"/>
  <c r="H156" i="1"/>
  <c r="I156" i="1"/>
  <c r="J156" i="1"/>
  <c r="K156" i="1"/>
  <c r="L156" i="1"/>
  <c r="M156" i="1"/>
  <c r="N156" i="1"/>
  <c r="O156" i="1"/>
  <c r="B157" i="1"/>
  <c r="C157" i="1"/>
  <c r="E157" i="1" s="1"/>
  <c r="F157" i="1"/>
  <c r="G157" i="1"/>
  <c r="H157" i="1"/>
  <c r="I157" i="1"/>
  <c r="J157" i="1"/>
  <c r="K157" i="1"/>
  <c r="L157" i="1"/>
  <c r="M157" i="1"/>
  <c r="N157" i="1"/>
  <c r="O157" i="1"/>
  <c r="B158" i="1"/>
  <c r="C158" i="1"/>
  <c r="B159" i="12"/>
  <c r="E158" i="1"/>
  <c r="F158" i="1"/>
  <c r="G158" i="1"/>
  <c r="H158" i="1"/>
  <c r="I158" i="1"/>
  <c r="J158" i="1"/>
  <c r="K158" i="1"/>
  <c r="L158" i="1"/>
  <c r="M158" i="1"/>
  <c r="N158" i="1"/>
  <c r="O158" i="1"/>
  <c r="B159" i="1"/>
  <c r="C159" i="1"/>
  <c r="E159" i="1" s="1"/>
  <c r="F159" i="1"/>
  <c r="G159" i="1"/>
  <c r="H159" i="1"/>
  <c r="I159" i="1"/>
  <c r="J159" i="1"/>
  <c r="K159" i="1"/>
  <c r="L159" i="1"/>
  <c r="M159" i="1"/>
  <c r="N159" i="1"/>
  <c r="O159" i="1"/>
  <c r="B160" i="1"/>
  <c r="B161" i="12" s="1"/>
  <c r="C160" i="1"/>
  <c r="E160" i="1"/>
  <c r="F160" i="1"/>
  <c r="G160" i="1"/>
  <c r="H160" i="1"/>
  <c r="I160" i="1"/>
  <c r="J160" i="1"/>
  <c r="K160" i="1"/>
  <c r="L160" i="1"/>
  <c r="M160" i="1"/>
  <c r="N160" i="1"/>
  <c r="O160" i="1"/>
  <c r="B161" i="1"/>
  <c r="C161" i="1"/>
  <c r="E161" i="1" s="1"/>
  <c r="F161" i="1"/>
  <c r="G161" i="1"/>
  <c r="H161" i="1"/>
  <c r="I161" i="1"/>
  <c r="J161" i="1"/>
  <c r="K161" i="1"/>
  <c r="L161" i="1"/>
  <c r="M161" i="1"/>
  <c r="N161" i="1"/>
  <c r="O161" i="1"/>
  <c r="B162" i="1"/>
  <c r="B163" i="12" s="1"/>
  <c r="C162" i="1"/>
  <c r="E162" i="1"/>
  <c r="F162" i="1"/>
  <c r="G162" i="1"/>
  <c r="H162" i="1"/>
  <c r="I162" i="1"/>
  <c r="J162" i="1"/>
  <c r="K162" i="1"/>
  <c r="L162" i="1"/>
  <c r="M162" i="1"/>
  <c r="N162" i="1"/>
  <c r="O162" i="1"/>
  <c r="B163" i="1"/>
  <c r="C163" i="1"/>
  <c r="E163" i="1" s="1"/>
  <c r="B164" i="12"/>
  <c r="F163" i="1"/>
  <c r="G163" i="1"/>
  <c r="H163" i="1"/>
  <c r="I163" i="1"/>
  <c r="J163" i="1"/>
  <c r="K163" i="1"/>
  <c r="L163" i="1"/>
  <c r="M163" i="1"/>
  <c r="N163" i="1"/>
  <c r="O163" i="1"/>
  <c r="B164" i="1"/>
  <c r="C164" i="1"/>
  <c r="B165" i="12"/>
  <c r="E164" i="1"/>
  <c r="F164" i="1"/>
  <c r="G164" i="1"/>
  <c r="H164" i="1"/>
  <c r="I164" i="1"/>
  <c r="J164" i="1"/>
  <c r="K164" i="1"/>
  <c r="L164" i="1"/>
  <c r="M164" i="1"/>
  <c r="N164" i="1"/>
  <c r="O164" i="1"/>
  <c r="B165" i="1"/>
  <c r="C165" i="1"/>
  <c r="E165" i="1" s="1"/>
  <c r="F165" i="1"/>
  <c r="G165" i="1"/>
  <c r="H165" i="1"/>
  <c r="I165" i="1"/>
  <c r="J165" i="1"/>
  <c r="K165" i="1"/>
  <c r="L165" i="1"/>
  <c r="M165" i="1"/>
  <c r="N165" i="1"/>
  <c r="O165" i="1"/>
  <c r="B166" i="1"/>
  <c r="C166" i="1"/>
  <c r="B167" i="12"/>
  <c r="E166" i="1"/>
  <c r="F166" i="1"/>
  <c r="G166" i="1"/>
  <c r="H166" i="1"/>
  <c r="I166" i="1"/>
  <c r="J166" i="1"/>
  <c r="K166" i="1"/>
  <c r="L166" i="1"/>
  <c r="M166" i="1"/>
  <c r="N166" i="1"/>
  <c r="O166" i="1"/>
  <c r="B167" i="1"/>
  <c r="C167" i="1"/>
  <c r="E167" i="1" s="1"/>
  <c r="F167" i="1"/>
  <c r="G167" i="1"/>
  <c r="H167" i="1"/>
  <c r="I167" i="1"/>
  <c r="J167" i="1"/>
  <c r="K167" i="1"/>
  <c r="L167" i="1"/>
  <c r="M167" i="1"/>
  <c r="N167" i="1"/>
  <c r="O167" i="1"/>
  <c r="B168" i="1"/>
  <c r="B169" i="12" s="1"/>
  <c r="C168" i="1"/>
  <c r="E168" i="1"/>
  <c r="F168" i="1"/>
  <c r="G168" i="1"/>
  <c r="H168" i="1"/>
  <c r="I168" i="1"/>
  <c r="J168" i="1"/>
  <c r="K168" i="1"/>
  <c r="L168" i="1"/>
  <c r="M168" i="1"/>
  <c r="N168" i="1"/>
  <c r="O168" i="1"/>
  <c r="B169" i="1"/>
  <c r="C169" i="1"/>
  <c r="E169" i="1" s="1"/>
  <c r="F169" i="1"/>
  <c r="G169" i="1"/>
  <c r="H169" i="1"/>
  <c r="I169" i="1"/>
  <c r="J169" i="1"/>
  <c r="K169" i="1"/>
  <c r="L169" i="1"/>
  <c r="M169" i="1"/>
  <c r="N169" i="1"/>
  <c r="O169" i="1"/>
  <c r="B170" i="1"/>
  <c r="B171" i="12" s="1"/>
  <c r="C170" i="1"/>
  <c r="E170" i="1"/>
  <c r="F170" i="1"/>
  <c r="G170" i="1"/>
  <c r="H170" i="1"/>
  <c r="I170" i="1"/>
  <c r="J170" i="1"/>
  <c r="K170" i="1"/>
  <c r="L170" i="1"/>
  <c r="M170" i="1"/>
  <c r="N170" i="1"/>
  <c r="O170" i="1"/>
  <c r="B171" i="1"/>
  <c r="C171" i="1"/>
  <c r="E171" i="1" s="1"/>
  <c r="B172" i="12"/>
  <c r="F171" i="1"/>
  <c r="G171" i="1"/>
  <c r="H171" i="1"/>
  <c r="I171" i="1"/>
  <c r="J171" i="1"/>
  <c r="K171" i="1"/>
  <c r="L171" i="1"/>
  <c r="M171" i="1"/>
  <c r="N171" i="1"/>
  <c r="O171" i="1"/>
  <c r="B172" i="1"/>
  <c r="C172" i="1"/>
  <c r="B173" i="12"/>
  <c r="E172" i="1"/>
  <c r="F172" i="1"/>
  <c r="G172" i="1"/>
  <c r="H172" i="1"/>
  <c r="I172" i="1"/>
  <c r="J172" i="1"/>
  <c r="K172" i="1"/>
  <c r="L172" i="1"/>
  <c r="M172" i="1"/>
  <c r="N172" i="1"/>
  <c r="O172" i="1"/>
  <c r="B173" i="1"/>
  <c r="C173" i="1"/>
  <c r="E173" i="1" s="1"/>
  <c r="F173" i="1"/>
  <c r="G173" i="1"/>
  <c r="H173" i="1"/>
  <c r="I173" i="1"/>
  <c r="J173" i="1"/>
  <c r="K173" i="1"/>
  <c r="L173" i="1"/>
  <c r="M173" i="1"/>
  <c r="N173" i="1"/>
  <c r="O173" i="1"/>
  <c r="B174" i="1"/>
  <c r="C174" i="1"/>
  <c r="B175" i="12"/>
  <c r="E174" i="1"/>
  <c r="F174" i="1"/>
  <c r="G174" i="1"/>
  <c r="H174" i="1"/>
  <c r="I174" i="1"/>
  <c r="J174" i="1"/>
  <c r="K174" i="1"/>
  <c r="L174" i="1"/>
  <c r="M174" i="1"/>
  <c r="N174" i="1"/>
  <c r="O174" i="1"/>
  <c r="B175" i="1"/>
  <c r="C175" i="1"/>
  <c r="E175" i="1" s="1"/>
  <c r="F175" i="1"/>
  <c r="G175" i="1"/>
  <c r="H175" i="1"/>
  <c r="I175" i="1"/>
  <c r="J175" i="1"/>
  <c r="K175" i="1"/>
  <c r="L175" i="1"/>
  <c r="M175" i="1"/>
  <c r="N175" i="1"/>
  <c r="O175" i="1"/>
  <c r="B176" i="1"/>
  <c r="B177" i="12" s="1"/>
  <c r="C176" i="1"/>
  <c r="E176" i="1"/>
  <c r="F176" i="1"/>
  <c r="G176" i="1"/>
  <c r="H176" i="1"/>
  <c r="I176" i="1"/>
  <c r="J176" i="1"/>
  <c r="K176" i="1"/>
  <c r="L176" i="1"/>
  <c r="M176" i="1"/>
  <c r="N176" i="1"/>
  <c r="O176" i="1"/>
  <c r="B177" i="1"/>
  <c r="C177" i="1"/>
  <c r="E177" i="1" s="1"/>
  <c r="F177" i="1"/>
  <c r="G177" i="1"/>
  <c r="H177" i="1"/>
  <c r="I177" i="1"/>
  <c r="J177" i="1"/>
  <c r="K177" i="1"/>
  <c r="L177" i="1"/>
  <c r="M177" i="1"/>
  <c r="N177" i="1"/>
  <c r="O177" i="1"/>
  <c r="B178" i="1"/>
  <c r="B179" i="12" s="1"/>
  <c r="C178" i="1"/>
  <c r="E178" i="1"/>
  <c r="F178" i="1"/>
  <c r="G178" i="1"/>
  <c r="H178" i="1"/>
  <c r="I178" i="1"/>
  <c r="J178" i="1"/>
  <c r="K178" i="1"/>
  <c r="L178" i="1"/>
  <c r="M178" i="1"/>
  <c r="N178" i="1"/>
  <c r="O178" i="1"/>
  <c r="B179" i="1"/>
  <c r="C179" i="1"/>
  <c r="E179" i="1" s="1"/>
  <c r="B180" i="12"/>
  <c r="F179" i="1"/>
  <c r="G179" i="1"/>
  <c r="H179" i="1"/>
  <c r="I179" i="1"/>
  <c r="J179" i="1"/>
  <c r="K179" i="1"/>
  <c r="L179" i="1"/>
  <c r="M179" i="1"/>
  <c r="N179" i="1"/>
  <c r="O179" i="1"/>
  <c r="B180" i="1"/>
  <c r="C180" i="1"/>
  <c r="B181" i="12"/>
  <c r="E180" i="1"/>
  <c r="F180" i="1"/>
  <c r="G180" i="1"/>
  <c r="H180" i="1"/>
  <c r="I180" i="1"/>
  <c r="J180" i="1"/>
  <c r="K180" i="1"/>
  <c r="L180" i="1"/>
  <c r="M180" i="1"/>
  <c r="N180" i="1"/>
  <c r="O180" i="1"/>
  <c r="B181" i="1"/>
  <c r="C181" i="1"/>
  <c r="E181" i="1" s="1"/>
  <c r="F181" i="1"/>
  <c r="G181" i="1"/>
  <c r="H181" i="1"/>
  <c r="I181" i="1"/>
  <c r="J181" i="1"/>
  <c r="K181" i="1"/>
  <c r="L181" i="1"/>
  <c r="M181" i="1"/>
  <c r="N181" i="1"/>
  <c r="O181" i="1"/>
  <c r="B182" i="1"/>
  <c r="C182" i="1"/>
  <c r="B183" i="12"/>
  <c r="E182" i="1"/>
  <c r="F182" i="1"/>
  <c r="G182" i="1"/>
  <c r="H182" i="1"/>
  <c r="I182" i="1"/>
  <c r="J182" i="1"/>
  <c r="K182" i="1"/>
  <c r="L182" i="1"/>
  <c r="M182" i="1"/>
  <c r="N182" i="1"/>
  <c r="O182" i="1"/>
  <c r="B183" i="1"/>
  <c r="C183" i="1"/>
  <c r="E183" i="1" s="1"/>
  <c r="F183" i="1"/>
  <c r="G183" i="1"/>
  <c r="H183" i="1"/>
  <c r="I183" i="1"/>
  <c r="J183" i="1"/>
  <c r="K183" i="1"/>
  <c r="L183" i="1"/>
  <c r="M183" i="1"/>
  <c r="N183" i="1"/>
  <c r="O183" i="1"/>
  <c r="B184" i="1"/>
  <c r="B185" i="12" s="1"/>
  <c r="C184" i="1"/>
  <c r="E184" i="1"/>
  <c r="F184" i="1"/>
  <c r="G184" i="1"/>
  <c r="H184" i="1"/>
  <c r="I184" i="1"/>
  <c r="J184" i="1"/>
  <c r="K184" i="1"/>
  <c r="L184" i="1"/>
  <c r="M184" i="1"/>
  <c r="N184" i="1"/>
  <c r="O184" i="1"/>
  <c r="B185" i="1"/>
  <c r="C185" i="1"/>
  <c r="E185" i="1" s="1"/>
  <c r="F185" i="1"/>
  <c r="G185" i="1"/>
  <c r="H185" i="1"/>
  <c r="I185" i="1"/>
  <c r="J185" i="1"/>
  <c r="K185" i="1"/>
  <c r="L185" i="1"/>
  <c r="M185" i="1"/>
  <c r="N185" i="1"/>
  <c r="O185" i="1"/>
  <c r="B186" i="1"/>
  <c r="B187" i="12" s="1"/>
  <c r="C186" i="1"/>
  <c r="E186" i="1"/>
  <c r="F186" i="1"/>
  <c r="G186" i="1"/>
  <c r="H186" i="1"/>
  <c r="I186" i="1"/>
  <c r="J186" i="1"/>
  <c r="K186" i="1"/>
  <c r="L186" i="1"/>
  <c r="M186" i="1"/>
  <c r="N186" i="1"/>
  <c r="O186" i="1"/>
  <c r="B187" i="1"/>
  <c r="C187" i="1"/>
  <c r="E187" i="1" s="1"/>
  <c r="B188" i="12"/>
  <c r="F187" i="1"/>
  <c r="G187" i="1"/>
  <c r="H187" i="1"/>
  <c r="I187" i="1"/>
  <c r="J187" i="1"/>
  <c r="K187" i="1"/>
  <c r="L187" i="1"/>
  <c r="M187" i="1"/>
  <c r="N187" i="1"/>
  <c r="O187" i="1"/>
  <c r="B188" i="1"/>
  <c r="C188" i="1"/>
  <c r="B189" i="12"/>
  <c r="E188" i="1"/>
  <c r="F188" i="1"/>
  <c r="G188" i="1"/>
  <c r="H188" i="1"/>
  <c r="I188" i="1"/>
  <c r="J188" i="1"/>
  <c r="K188" i="1"/>
  <c r="L188" i="1"/>
  <c r="M188" i="1"/>
  <c r="N188" i="1"/>
  <c r="O188" i="1"/>
  <c r="B189" i="1"/>
  <c r="C189" i="1"/>
  <c r="E189" i="1" s="1"/>
  <c r="F189" i="1"/>
  <c r="G189" i="1"/>
  <c r="H189" i="1"/>
  <c r="I189" i="1"/>
  <c r="J189" i="1"/>
  <c r="K189" i="1"/>
  <c r="L189" i="1"/>
  <c r="M189" i="1"/>
  <c r="N189" i="1"/>
  <c r="O189" i="1"/>
  <c r="B190" i="1"/>
  <c r="C190" i="1"/>
  <c r="B191" i="12"/>
  <c r="E190" i="1"/>
  <c r="F190" i="1"/>
  <c r="G190" i="1"/>
  <c r="H190" i="1"/>
  <c r="I190" i="1"/>
  <c r="J190" i="1"/>
  <c r="K190" i="1"/>
  <c r="L190" i="1"/>
  <c r="M190" i="1"/>
  <c r="N190" i="1"/>
  <c r="O190" i="1"/>
  <c r="B191" i="1"/>
  <c r="C191" i="1"/>
  <c r="E191" i="1" s="1"/>
  <c r="F191" i="1"/>
  <c r="G191" i="1"/>
  <c r="H191" i="1"/>
  <c r="I191" i="1"/>
  <c r="J191" i="1"/>
  <c r="K191" i="1"/>
  <c r="L191" i="1"/>
  <c r="M191" i="1"/>
  <c r="N191" i="1"/>
  <c r="O191" i="1"/>
  <c r="B192" i="1"/>
  <c r="B193" i="12" s="1"/>
  <c r="C192" i="1"/>
  <c r="E192" i="1"/>
  <c r="F192" i="1"/>
  <c r="G192" i="1"/>
  <c r="H192" i="1"/>
  <c r="I192" i="1"/>
  <c r="J192" i="1"/>
  <c r="K192" i="1"/>
  <c r="L192" i="1"/>
  <c r="M192" i="1"/>
  <c r="N192" i="1"/>
  <c r="O192" i="1"/>
  <c r="B193" i="1"/>
  <c r="C193" i="1"/>
  <c r="E193" i="1" s="1"/>
  <c r="F193" i="1"/>
  <c r="G193" i="1"/>
  <c r="H193" i="1"/>
  <c r="I193" i="1"/>
  <c r="J193" i="1"/>
  <c r="K193" i="1"/>
  <c r="L193" i="1"/>
  <c r="M193" i="1"/>
  <c r="N193" i="1"/>
  <c r="O193" i="1"/>
  <c r="B194" i="1"/>
  <c r="B195" i="12" s="1"/>
  <c r="C194" i="1"/>
  <c r="E194" i="1"/>
  <c r="F194" i="1"/>
  <c r="G194" i="1"/>
  <c r="H194" i="1"/>
  <c r="I194" i="1"/>
  <c r="J194" i="1"/>
  <c r="K194" i="1"/>
  <c r="L194" i="1"/>
  <c r="M194" i="1"/>
  <c r="N194" i="1"/>
  <c r="O194" i="1"/>
  <c r="B195" i="1"/>
  <c r="C195" i="1"/>
  <c r="E195" i="1" s="1"/>
  <c r="B196" i="12"/>
  <c r="F195" i="1"/>
  <c r="G195" i="1"/>
  <c r="H195" i="1"/>
  <c r="I195" i="1"/>
  <c r="J195" i="1"/>
  <c r="K195" i="1"/>
  <c r="L195" i="1"/>
  <c r="M195" i="1"/>
  <c r="N195" i="1"/>
  <c r="O195" i="1"/>
  <c r="B196" i="1"/>
  <c r="C196" i="1"/>
  <c r="B197" i="12"/>
  <c r="E196" i="1"/>
  <c r="F196" i="1"/>
  <c r="G196" i="1"/>
  <c r="H196" i="1"/>
  <c r="I196" i="1"/>
  <c r="J196" i="1"/>
  <c r="K196" i="1"/>
  <c r="L196" i="1"/>
  <c r="M196" i="1"/>
  <c r="N196" i="1"/>
  <c r="O196" i="1"/>
  <c r="B197" i="1"/>
  <c r="C197" i="1"/>
  <c r="E197" i="1" s="1"/>
  <c r="F197" i="1"/>
  <c r="G197" i="1"/>
  <c r="H197" i="1"/>
  <c r="I197" i="1"/>
  <c r="J197" i="1"/>
  <c r="K197" i="1"/>
  <c r="L197" i="1"/>
  <c r="M197" i="1"/>
  <c r="N197" i="1"/>
  <c r="O197" i="1"/>
  <c r="B198" i="1"/>
  <c r="C198" i="1"/>
  <c r="B199" i="12"/>
  <c r="E198" i="1"/>
  <c r="F198" i="1"/>
  <c r="G198" i="1"/>
  <c r="H198" i="1"/>
  <c r="I198" i="1"/>
  <c r="J198" i="1"/>
  <c r="K198" i="1"/>
  <c r="L198" i="1"/>
  <c r="M198" i="1"/>
  <c r="N198" i="1"/>
  <c r="O198" i="1"/>
  <c r="B199" i="1"/>
  <c r="C199" i="1"/>
  <c r="E199" i="1" s="1"/>
  <c r="F199" i="1"/>
  <c r="G199" i="1"/>
  <c r="H199" i="1"/>
  <c r="I199" i="1"/>
  <c r="J199" i="1"/>
  <c r="K199" i="1"/>
  <c r="L199" i="1"/>
  <c r="M199" i="1"/>
  <c r="N199" i="1"/>
  <c r="O199" i="1"/>
  <c r="B200" i="1"/>
  <c r="B201" i="12" s="1"/>
  <c r="C200" i="1"/>
  <c r="E200" i="1"/>
  <c r="F200" i="1"/>
  <c r="G200" i="1"/>
  <c r="H200" i="1"/>
  <c r="I200" i="1"/>
  <c r="J200" i="1"/>
  <c r="K200" i="1"/>
  <c r="L200" i="1"/>
  <c r="M200" i="1"/>
  <c r="N200" i="1"/>
  <c r="O200" i="1"/>
  <c r="B201" i="1"/>
  <c r="C201" i="1"/>
  <c r="E201" i="1" s="1"/>
  <c r="F201" i="1"/>
  <c r="G201" i="1"/>
  <c r="H201" i="1"/>
  <c r="I201" i="1"/>
  <c r="J201" i="1"/>
  <c r="K201" i="1"/>
  <c r="L201" i="1"/>
  <c r="M201" i="1"/>
  <c r="N201" i="1"/>
  <c r="O201" i="1"/>
  <c r="B202" i="1"/>
  <c r="B203" i="12" s="1"/>
  <c r="C202" i="1"/>
  <c r="E202" i="1"/>
  <c r="F202" i="1"/>
  <c r="G202" i="1"/>
  <c r="H202" i="1"/>
  <c r="I202" i="1"/>
  <c r="J202" i="1"/>
  <c r="K202" i="1"/>
  <c r="L202" i="1"/>
  <c r="M202" i="1"/>
  <c r="N202" i="1"/>
  <c r="O202" i="1"/>
  <c r="B203" i="1"/>
  <c r="C203" i="1"/>
  <c r="E203" i="1" s="1"/>
  <c r="B204" i="12"/>
  <c r="F203" i="1"/>
  <c r="G203" i="1"/>
  <c r="H203" i="1"/>
  <c r="I203" i="1"/>
  <c r="J203" i="1"/>
  <c r="K203" i="1"/>
  <c r="L203" i="1"/>
  <c r="M203" i="1"/>
  <c r="N203" i="1"/>
  <c r="O203" i="1"/>
  <c r="B204" i="1"/>
  <c r="C204" i="1"/>
  <c r="B205" i="12"/>
  <c r="E204" i="1"/>
  <c r="F204" i="1"/>
  <c r="G204" i="1"/>
  <c r="H204" i="1"/>
  <c r="I204" i="1"/>
  <c r="J204" i="1"/>
  <c r="K204" i="1"/>
  <c r="L204" i="1"/>
  <c r="M204" i="1"/>
  <c r="N204" i="1"/>
  <c r="O204" i="1"/>
  <c r="B205" i="1"/>
  <c r="C205" i="1"/>
  <c r="E205" i="1" s="1"/>
  <c r="F205" i="1"/>
  <c r="G205" i="1"/>
  <c r="H205" i="1"/>
  <c r="I205" i="1"/>
  <c r="J205" i="1"/>
  <c r="K205" i="1"/>
  <c r="L205" i="1"/>
  <c r="M205" i="1"/>
  <c r="N205" i="1"/>
  <c r="O205" i="1"/>
  <c r="B206" i="1"/>
  <c r="C206" i="1"/>
  <c r="B207" i="12"/>
  <c r="E206" i="1"/>
  <c r="F206" i="1"/>
  <c r="G206" i="1"/>
  <c r="H206" i="1"/>
  <c r="I206" i="1"/>
  <c r="J206" i="1"/>
  <c r="K206" i="1"/>
  <c r="L206" i="1"/>
  <c r="M206" i="1"/>
  <c r="N206" i="1"/>
  <c r="O206" i="1"/>
  <c r="B207" i="1"/>
  <c r="C207" i="1"/>
  <c r="E207" i="1" s="1"/>
  <c r="F207" i="1"/>
  <c r="G207" i="1"/>
  <c r="H207" i="1"/>
  <c r="I207" i="1"/>
  <c r="J207" i="1"/>
  <c r="K207" i="1"/>
  <c r="L207" i="1"/>
  <c r="M207" i="1"/>
  <c r="N207" i="1"/>
  <c r="O207" i="1"/>
  <c r="B208" i="1"/>
  <c r="B209" i="12" s="1"/>
  <c r="C208" i="1"/>
  <c r="E208" i="1"/>
  <c r="F208" i="1"/>
  <c r="G208" i="1"/>
  <c r="H208" i="1"/>
  <c r="I208" i="1"/>
  <c r="J208" i="1"/>
  <c r="K208" i="1"/>
  <c r="L208" i="1"/>
  <c r="M208" i="1"/>
  <c r="N208" i="1"/>
  <c r="O208" i="1"/>
  <c r="B209" i="1"/>
  <c r="C209" i="1"/>
  <c r="E209" i="1" s="1"/>
  <c r="F209" i="1"/>
  <c r="G209" i="1"/>
  <c r="H209" i="1"/>
  <c r="I209" i="1"/>
  <c r="J209" i="1"/>
  <c r="K209" i="1"/>
  <c r="L209" i="1"/>
  <c r="M209" i="1"/>
  <c r="N209" i="1"/>
  <c r="O209" i="1"/>
  <c r="B210" i="1"/>
  <c r="B211" i="12" s="1"/>
  <c r="C210" i="1"/>
  <c r="E210" i="1"/>
  <c r="F210" i="1"/>
  <c r="G210" i="1"/>
  <c r="H210" i="1"/>
  <c r="I210" i="1"/>
  <c r="J210" i="1"/>
  <c r="K210" i="1"/>
  <c r="L210" i="1"/>
  <c r="M210" i="1"/>
  <c r="N210" i="1"/>
  <c r="O210" i="1"/>
  <c r="B211" i="1"/>
  <c r="C211" i="1"/>
  <c r="E211" i="1" s="1"/>
  <c r="B212" i="12"/>
  <c r="F211" i="1"/>
  <c r="G211" i="1"/>
  <c r="H211" i="1"/>
  <c r="I211" i="1"/>
  <c r="J211" i="1"/>
  <c r="K211" i="1"/>
  <c r="L211" i="1"/>
  <c r="M211" i="1"/>
  <c r="N211" i="1"/>
  <c r="O211" i="1"/>
  <c r="B212" i="1"/>
  <c r="C212" i="1"/>
  <c r="B213" i="12"/>
  <c r="E212" i="1"/>
  <c r="F212" i="1"/>
  <c r="G212" i="1"/>
  <c r="H212" i="1"/>
  <c r="I212" i="1"/>
  <c r="J212" i="1"/>
  <c r="K212" i="1"/>
  <c r="L212" i="1"/>
  <c r="M212" i="1"/>
  <c r="N212" i="1"/>
  <c r="O212" i="1"/>
  <c r="B213" i="1"/>
  <c r="C213" i="1"/>
  <c r="E213" i="1" s="1"/>
  <c r="F213" i="1"/>
  <c r="G213" i="1"/>
  <c r="H213" i="1"/>
  <c r="I213" i="1"/>
  <c r="J213" i="1"/>
  <c r="K213" i="1"/>
  <c r="L213" i="1"/>
  <c r="M213" i="1"/>
  <c r="N213" i="1"/>
  <c r="O213" i="1"/>
  <c r="B214" i="1"/>
  <c r="C214" i="1"/>
  <c r="B215" i="12"/>
  <c r="E214" i="1"/>
  <c r="F214" i="1"/>
  <c r="G214" i="1"/>
  <c r="H214" i="1"/>
  <c r="I214" i="1"/>
  <c r="J214" i="1"/>
  <c r="K214" i="1"/>
  <c r="L214" i="1"/>
  <c r="M214" i="1"/>
  <c r="N214" i="1"/>
  <c r="O214" i="1"/>
  <c r="B215" i="1"/>
  <c r="C215" i="1"/>
  <c r="E215" i="1" s="1"/>
  <c r="F215" i="1"/>
  <c r="G215" i="1"/>
  <c r="H215" i="1"/>
  <c r="I215" i="1"/>
  <c r="J215" i="1"/>
  <c r="K215" i="1"/>
  <c r="L215" i="1"/>
  <c r="M215" i="1"/>
  <c r="N215" i="1"/>
  <c r="O215" i="1"/>
  <c r="B216" i="1"/>
  <c r="B217" i="12" s="1"/>
  <c r="C216" i="1"/>
  <c r="E216" i="1"/>
  <c r="F216" i="1"/>
  <c r="G216" i="1"/>
  <c r="H216" i="1"/>
  <c r="I216" i="1"/>
  <c r="J216" i="1"/>
  <c r="K216" i="1"/>
  <c r="L216" i="1"/>
  <c r="M216" i="1"/>
  <c r="N216" i="1"/>
  <c r="O216" i="1"/>
  <c r="B217" i="1"/>
  <c r="C217" i="1"/>
  <c r="E217" i="1" s="1"/>
  <c r="F217" i="1"/>
  <c r="G217" i="1"/>
  <c r="H217" i="1"/>
  <c r="I217" i="1"/>
  <c r="J217" i="1"/>
  <c r="K217" i="1"/>
  <c r="L217" i="1"/>
  <c r="M217" i="1"/>
  <c r="N217" i="1"/>
  <c r="O217" i="1"/>
  <c r="B218" i="1"/>
  <c r="B219" i="12" s="1"/>
  <c r="C218" i="1"/>
  <c r="E218" i="1"/>
  <c r="F218" i="1"/>
  <c r="G218" i="1"/>
  <c r="H218" i="1"/>
  <c r="I218" i="1"/>
  <c r="J218" i="1"/>
  <c r="K218" i="1"/>
  <c r="L218" i="1"/>
  <c r="M218" i="1"/>
  <c r="N218" i="1"/>
  <c r="O218" i="1"/>
  <c r="B219" i="1"/>
  <c r="C219" i="1"/>
  <c r="E219" i="1" s="1"/>
  <c r="B220" i="12"/>
  <c r="F219" i="1"/>
  <c r="G219" i="1"/>
  <c r="H219" i="1"/>
  <c r="I219" i="1"/>
  <c r="J219" i="1"/>
  <c r="K219" i="1"/>
  <c r="L219" i="1"/>
  <c r="M219" i="1"/>
  <c r="N219" i="1"/>
  <c r="O219" i="1"/>
  <c r="B220" i="1"/>
  <c r="C220" i="1"/>
  <c r="B221" i="12"/>
  <c r="E220" i="1"/>
  <c r="F220" i="1"/>
  <c r="G220" i="1"/>
  <c r="H220" i="1"/>
  <c r="I220" i="1"/>
  <c r="J220" i="1"/>
  <c r="K220" i="1"/>
  <c r="L220" i="1"/>
  <c r="M220" i="1"/>
  <c r="N220" i="1"/>
  <c r="O220" i="1"/>
  <c r="B221" i="1"/>
  <c r="C221" i="1"/>
  <c r="E221" i="1" s="1"/>
  <c r="F221" i="1"/>
  <c r="G221" i="1"/>
  <c r="H221" i="1"/>
  <c r="I221" i="1"/>
  <c r="J221" i="1"/>
  <c r="K221" i="1"/>
  <c r="L221" i="1"/>
  <c r="M221" i="1"/>
  <c r="N221" i="1"/>
  <c r="O221" i="1"/>
  <c r="B222" i="1"/>
  <c r="C222" i="1"/>
  <c r="B223" i="12"/>
  <c r="E222" i="1"/>
  <c r="F222" i="1"/>
  <c r="G222" i="1"/>
  <c r="H222" i="1"/>
  <c r="I222" i="1"/>
  <c r="J222" i="1"/>
  <c r="K222" i="1"/>
  <c r="L222" i="1"/>
  <c r="M222" i="1"/>
  <c r="N222" i="1"/>
  <c r="O222" i="1"/>
  <c r="B223" i="1"/>
  <c r="C223" i="1"/>
  <c r="E223" i="1" s="1"/>
  <c r="F223" i="1"/>
  <c r="G223" i="1"/>
  <c r="H223" i="1"/>
  <c r="I223" i="1"/>
  <c r="J223" i="1"/>
  <c r="K223" i="1"/>
  <c r="L223" i="1"/>
  <c r="M223" i="1"/>
  <c r="N223" i="1"/>
  <c r="O223" i="1"/>
  <c r="B224" i="1"/>
  <c r="B225" i="12" s="1"/>
  <c r="C224" i="1"/>
  <c r="E224" i="1"/>
  <c r="F224" i="1"/>
  <c r="G224" i="1"/>
  <c r="H224" i="1"/>
  <c r="I224" i="1"/>
  <c r="J224" i="1"/>
  <c r="K224" i="1"/>
  <c r="L224" i="1"/>
  <c r="M224" i="1"/>
  <c r="N224" i="1"/>
  <c r="O224" i="1"/>
  <c r="B225" i="1"/>
  <c r="C225" i="1"/>
  <c r="E225" i="1" s="1"/>
  <c r="F225" i="1"/>
  <c r="G225" i="1"/>
  <c r="H225" i="1"/>
  <c r="I225" i="1"/>
  <c r="J225" i="1"/>
  <c r="K225" i="1"/>
  <c r="L225" i="1"/>
  <c r="M225" i="1"/>
  <c r="N225" i="1"/>
  <c r="O225" i="1"/>
  <c r="B226" i="1"/>
  <c r="B227" i="12" s="1"/>
  <c r="C226" i="1"/>
  <c r="E226" i="1"/>
  <c r="F226" i="1"/>
  <c r="G226" i="1"/>
  <c r="H226" i="1"/>
  <c r="I226" i="1"/>
  <c r="J226" i="1"/>
  <c r="K226" i="1"/>
  <c r="L226" i="1"/>
  <c r="M226" i="1"/>
  <c r="N226" i="1"/>
  <c r="O226" i="1"/>
  <c r="B227" i="1"/>
  <c r="C227" i="1"/>
  <c r="E227" i="1" s="1"/>
  <c r="B228" i="12"/>
  <c r="F227" i="1"/>
  <c r="G227" i="1"/>
  <c r="H227" i="1"/>
  <c r="I227" i="1"/>
  <c r="J227" i="1"/>
  <c r="K227" i="1"/>
  <c r="L227" i="1"/>
  <c r="M227" i="1"/>
  <c r="N227" i="1"/>
  <c r="O227" i="1"/>
  <c r="B228" i="1"/>
  <c r="C228" i="1"/>
  <c r="B229" i="12"/>
  <c r="E228" i="1"/>
  <c r="F228" i="1"/>
  <c r="G228" i="1"/>
  <c r="H228" i="1"/>
  <c r="I228" i="1"/>
  <c r="J228" i="1"/>
  <c r="K228" i="1"/>
  <c r="L228" i="1"/>
  <c r="M228" i="1"/>
  <c r="N228" i="1"/>
  <c r="O228" i="1"/>
  <c r="B229" i="1"/>
  <c r="C229" i="1"/>
  <c r="E229" i="1" s="1"/>
  <c r="F229" i="1"/>
  <c r="G229" i="1"/>
  <c r="H229" i="1"/>
  <c r="I229" i="1"/>
  <c r="J229" i="1"/>
  <c r="K229" i="1"/>
  <c r="L229" i="1"/>
  <c r="M229" i="1"/>
  <c r="N229" i="1"/>
  <c r="O229" i="1"/>
  <c r="B230" i="1"/>
  <c r="C230" i="1"/>
  <c r="B231" i="12"/>
  <c r="E230" i="1"/>
  <c r="F230" i="1"/>
  <c r="G230" i="1"/>
  <c r="H230" i="1"/>
  <c r="I230" i="1"/>
  <c r="J230" i="1"/>
  <c r="K230" i="1"/>
  <c r="L230" i="1"/>
  <c r="M230" i="1"/>
  <c r="N230" i="1"/>
  <c r="O230" i="1"/>
  <c r="B231" i="1"/>
  <c r="C231" i="1"/>
  <c r="E231" i="1" s="1"/>
  <c r="F231" i="1"/>
  <c r="G231" i="1"/>
  <c r="H231" i="1"/>
  <c r="I231" i="1"/>
  <c r="J231" i="1"/>
  <c r="K231" i="1"/>
  <c r="L231" i="1"/>
  <c r="M231" i="1"/>
  <c r="N231" i="1"/>
  <c r="O231" i="1"/>
  <c r="B232" i="1"/>
  <c r="B233" i="12" s="1"/>
  <c r="C232" i="1"/>
  <c r="E232" i="1"/>
  <c r="F232" i="1"/>
  <c r="G232" i="1"/>
  <c r="H232" i="1"/>
  <c r="I232" i="1"/>
  <c r="J232" i="1"/>
  <c r="K232" i="1"/>
  <c r="L232" i="1"/>
  <c r="M232" i="1"/>
  <c r="N232" i="1"/>
  <c r="O232" i="1"/>
  <c r="B233" i="1"/>
  <c r="C233" i="1"/>
  <c r="E233" i="1" s="1"/>
  <c r="F233" i="1"/>
  <c r="G233" i="1"/>
  <c r="H233" i="1"/>
  <c r="I233" i="1"/>
  <c r="J233" i="1"/>
  <c r="K233" i="1"/>
  <c r="L233" i="1"/>
  <c r="M233" i="1"/>
  <c r="N233" i="1"/>
  <c r="O233" i="1"/>
  <c r="B234" i="1"/>
  <c r="B235" i="12" s="1"/>
  <c r="C234" i="1"/>
  <c r="E234" i="1"/>
  <c r="F234" i="1"/>
  <c r="G234" i="1"/>
  <c r="H234" i="1"/>
  <c r="I234" i="1"/>
  <c r="J234" i="1"/>
  <c r="K234" i="1"/>
  <c r="L234" i="1"/>
  <c r="M234" i="1"/>
  <c r="N234" i="1"/>
  <c r="O234" i="1"/>
  <c r="B235" i="1"/>
  <c r="C235" i="1"/>
  <c r="E235" i="1" s="1"/>
  <c r="B236" i="12"/>
  <c r="F235" i="1"/>
  <c r="G235" i="1"/>
  <c r="H235" i="1"/>
  <c r="I235" i="1"/>
  <c r="J235" i="1"/>
  <c r="K235" i="1"/>
  <c r="L235" i="1"/>
  <c r="M235" i="1"/>
  <c r="N235" i="1"/>
  <c r="O235" i="1"/>
  <c r="B236" i="1"/>
  <c r="C236" i="1"/>
  <c r="B237" i="12"/>
  <c r="E236" i="1"/>
  <c r="F236" i="1"/>
  <c r="G236" i="1"/>
  <c r="H236" i="1"/>
  <c r="I236" i="1"/>
  <c r="J236" i="1"/>
  <c r="K236" i="1"/>
  <c r="L236" i="1"/>
  <c r="M236" i="1"/>
  <c r="N236" i="1"/>
  <c r="O236" i="1"/>
  <c r="B237" i="1"/>
  <c r="C237" i="1"/>
  <c r="E237" i="1" s="1"/>
  <c r="F237" i="1"/>
  <c r="G237" i="1"/>
  <c r="H237" i="1"/>
  <c r="I237" i="1"/>
  <c r="J237" i="1"/>
  <c r="K237" i="1"/>
  <c r="L237" i="1"/>
  <c r="M237" i="1"/>
  <c r="N237" i="1"/>
  <c r="O237" i="1"/>
  <c r="B238" i="1"/>
  <c r="C238" i="1"/>
  <c r="B239" i="12"/>
  <c r="E238" i="1"/>
  <c r="F238" i="1"/>
  <c r="G238" i="1"/>
  <c r="H238" i="1"/>
  <c r="I238" i="1"/>
  <c r="J238" i="1"/>
  <c r="K238" i="1"/>
  <c r="L238" i="1"/>
  <c r="M238" i="1"/>
  <c r="N238" i="1"/>
  <c r="O238" i="1"/>
  <c r="B239" i="1"/>
  <c r="C239" i="1"/>
  <c r="E239" i="1" s="1"/>
  <c r="F239" i="1"/>
  <c r="G239" i="1"/>
  <c r="H239" i="1"/>
  <c r="I239" i="1"/>
  <c r="J239" i="1"/>
  <c r="K239" i="1"/>
  <c r="L239" i="1"/>
  <c r="M239" i="1"/>
  <c r="N239" i="1"/>
  <c r="O239" i="1"/>
  <c r="B240" i="1"/>
  <c r="B241" i="12" s="1"/>
  <c r="C240" i="1"/>
  <c r="E240" i="1"/>
  <c r="F240" i="1"/>
  <c r="G240" i="1"/>
  <c r="H240" i="1"/>
  <c r="I240" i="1"/>
  <c r="J240" i="1"/>
  <c r="K240" i="1"/>
  <c r="L240" i="1"/>
  <c r="M240" i="1"/>
  <c r="N240" i="1"/>
  <c r="O240" i="1"/>
  <c r="B241" i="1"/>
  <c r="C241" i="1"/>
  <c r="E241" i="1" s="1"/>
  <c r="E242" i="13" s="1"/>
  <c r="F241" i="1"/>
  <c r="G241" i="1"/>
  <c r="H241" i="1"/>
  <c r="I241" i="1"/>
  <c r="J241" i="1"/>
  <c r="K241" i="1"/>
  <c r="L241" i="1"/>
  <c r="M241" i="1"/>
  <c r="N241" i="1"/>
  <c r="O241" i="1"/>
  <c r="B242" i="1"/>
  <c r="B243" i="12" s="1"/>
  <c r="C242" i="1"/>
  <c r="E242" i="1"/>
  <c r="F242" i="1"/>
  <c r="G242" i="1"/>
  <c r="H242" i="1"/>
  <c r="I242" i="1"/>
  <c r="J242" i="1"/>
  <c r="K242" i="1"/>
  <c r="L242" i="1"/>
  <c r="M242" i="1"/>
  <c r="N242" i="1"/>
  <c r="O242" i="1"/>
  <c r="B243" i="1"/>
  <c r="C243" i="1"/>
  <c r="E243" i="1" s="1"/>
  <c r="B244" i="12"/>
  <c r="F243" i="1"/>
  <c r="G243" i="1"/>
  <c r="H243" i="1"/>
  <c r="I243" i="1"/>
  <c r="J243" i="1"/>
  <c r="K243" i="1"/>
  <c r="L243" i="1"/>
  <c r="M243" i="1"/>
  <c r="N243" i="1"/>
  <c r="O243" i="1"/>
  <c r="B244" i="1"/>
  <c r="C244" i="1"/>
  <c r="B245" i="12"/>
  <c r="E244" i="1"/>
  <c r="F244" i="1"/>
  <c r="G244" i="1"/>
  <c r="H244" i="1"/>
  <c r="I244" i="1"/>
  <c r="J244" i="1"/>
  <c r="K244" i="1"/>
  <c r="L244" i="1"/>
  <c r="M244" i="1"/>
  <c r="N244" i="1"/>
  <c r="O244" i="1"/>
  <c r="B245" i="1"/>
  <c r="C245" i="1"/>
  <c r="E245" i="1" s="1"/>
  <c r="F245" i="1"/>
  <c r="G245" i="1"/>
  <c r="H245" i="1"/>
  <c r="I245" i="1"/>
  <c r="J245" i="1"/>
  <c r="K245" i="1"/>
  <c r="L245" i="1"/>
  <c r="M245" i="1"/>
  <c r="N245" i="1"/>
  <c r="O245" i="1"/>
  <c r="B246" i="1"/>
  <c r="C246" i="1"/>
  <c r="B247" i="12"/>
  <c r="E246" i="1"/>
  <c r="F246" i="1"/>
  <c r="G246" i="1"/>
  <c r="H246" i="1"/>
  <c r="I246" i="1"/>
  <c r="J246" i="1"/>
  <c r="K246" i="1"/>
  <c r="L246" i="1"/>
  <c r="M246" i="1"/>
  <c r="N246" i="1"/>
  <c r="O246" i="1"/>
  <c r="B247" i="1"/>
  <c r="C247" i="1"/>
  <c r="E247" i="1" s="1"/>
  <c r="F247" i="1"/>
  <c r="G247" i="1"/>
  <c r="H247" i="1"/>
  <c r="I247" i="1"/>
  <c r="J247" i="1"/>
  <c r="K247" i="1"/>
  <c r="L247" i="1"/>
  <c r="M247" i="1"/>
  <c r="N247" i="1"/>
  <c r="O247" i="1"/>
  <c r="B248" i="1"/>
  <c r="B249" i="12" s="1"/>
  <c r="C248" i="1"/>
  <c r="E248" i="1"/>
  <c r="F248" i="1"/>
  <c r="G248" i="1"/>
  <c r="H248" i="1"/>
  <c r="I248" i="1"/>
  <c r="J248" i="1"/>
  <c r="K248" i="1"/>
  <c r="L248" i="1"/>
  <c r="M248" i="1"/>
  <c r="N248" i="1"/>
  <c r="O248" i="1"/>
  <c r="B249" i="1"/>
  <c r="C249" i="1"/>
  <c r="E249" i="1" s="1"/>
  <c r="E249" i="6" s="1"/>
  <c r="F249" i="1"/>
  <c r="G249" i="1"/>
  <c r="H249" i="1"/>
  <c r="I249" i="1"/>
  <c r="J249" i="1"/>
  <c r="K249" i="1"/>
  <c r="L249" i="1"/>
  <c r="M249" i="1"/>
  <c r="N249" i="1"/>
  <c r="O249" i="1"/>
  <c r="B250" i="1"/>
  <c r="B251" i="12" s="1"/>
  <c r="C250" i="1"/>
  <c r="E250" i="1"/>
  <c r="F250" i="1"/>
  <c r="G250" i="1"/>
  <c r="H250" i="1"/>
  <c r="I250" i="1"/>
  <c r="J250" i="1"/>
  <c r="K250" i="1"/>
  <c r="L250" i="1"/>
  <c r="M250" i="1"/>
  <c r="N250" i="1"/>
  <c r="O250" i="1"/>
  <c r="B251" i="1"/>
  <c r="C251" i="1"/>
  <c r="E251" i="1" s="1"/>
  <c r="B252" i="12"/>
  <c r="F251" i="1"/>
  <c r="G251" i="1"/>
  <c r="H251" i="1"/>
  <c r="I251" i="1"/>
  <c r="J251" i="1"/>
  <c r="K251" i="1"/>
  <c r="L251" i="1"/>
  <c r="M251" i="1"/>
  <c r="N251" i="1"/>
  <c r="O251" i="1"/>
  <c r="B252" i="1"/>
  <c r="C252" i="1"/>
  <c r="B253" i="12"/>
  <c r="E252" i="1"/>
  <c r="F252" i="1"/>
  <c r="G252" i="1"/>
  <c r="H252" i="1"/>
  <c r="I252" i="1"/>
  <c r="J252" i="1"/>
  <c r="K252" i="1"/>
  <c r="L252" i="1"/>
  <c r="M252" i="1"/>
  <c r="N252" i="1"/>
  <c r="O252" i="1"/>
  <c r="B253" i="1"/>
  <c r="C253" i="1"/>
  <c r="E253" i="1" s="1"/>
  <c r="F253" i="1"/>
  <c r="G253" i="1"/>
  <c r="H253" i="1"/>
  <c r="I253" i="1"/>
  <c r="J253" i="1"/>
  <c r="K253" i="1"/>
  <c r="L253" i="1"/>
  <c r="M253" i="1"/>
  <c r="N253" i="1"/>
  <c r="O253" i="1"/>
  <c r="B254" i="1"/>
  <c r="C254" i="1"/>
  <c r="B255" i="12"/>
  <c r="E254" i="1"/>
  <c r="F254" i="1"/>
  <c r="G254" i="1"/>
  <c r="H254" i="1"/>
  <c r="I254" i="1"/>
  <c r="J254" i="1"/>
  <c r="K254" i="1"/>
  <c r="L254" i="1"/>
  <c r="M254" i="1"/>
  <c r="N254" i="1"/>
  <c r="O254" i="1"/>
  <c r="B255" i="1"/>
  <c r="C255" i="1"/>
  <c r="E255" i="1" s="1"/>
  <c r="F255" i="1"/>
  <c r="G255" i="1"/>
  <c r="H255" i="1"/>
  <c r="I255" i="1"/>
  <c r="J255" i="1"/>
  <c r="K255" i="1"/>
  <c r="L255" i="1"/>
  <c r="M255" i="1"/>
  <c r="N255" i="1"/>
  <c r="O255" i="1"/>
  <c r="B256" i="1"/>
  <c r="B257" i="12" s="1"/>
  <c r="C256" i="1"/>
  <c r="E256" i="1"/>
  <c r="F256" i="1"/>
  <c r="G256" i="1"/>
  <c r="H256" i="1"/>
  <c r="I256" i="1"/>
  <c r="J256" i="1"/>
  <c r="K256" i="1"/>
  <c r="L256" i="1"/>
  <c r="M256" i="1"/>
  <c r="N256" i="1"/>
  <c r="O256" i="1"/>
  <c r="B257" i="1"/>
  <c r="C257" i="1"/>
  <c r="E257" i="1" s="1"/>
  <c r="E258" i="13" s="1"/>
  <c r="F257" i="1"/>
  <c r="G257" i="1"/>
  <c r="H257" i="1"/>
  <c r="I257" i="1"/>
  <c r="J257" i="1"/>
  <c r="K257" i="1"/>
  <c r="L257" i="1"/>
  <c r="M257" i="1"/>
  <c r="N257" i="1"/>
  <c r="O257" i="1"/>
  <c r="B258" i="1"/>
  <c r="B259" i="12" s="1"/>
  <c r="C258" i="1"/>
  <c r="E258" i="1"/>
  <c r="F258" i="1"/>
  <c r="G258" i="1"/>
  <c r="H258" i="1"/>
  <c r="I258" i="1"/>
  <c r="J258" i="1"/>
  <c r="K258" i="1"/>
  <c r="L258" i="1"/>
  <c r="M258" i="1"/>
  <c r="N258" i="1"/>
  <c r="O258" i="1"/>
  <c r="B259" i="1"/>
  <c r="C259" i="1"/>
  <c r="E259" i="1" s="1"/>
  <c r="B260" i="12"/>
  <c r="F259" i="1"/>
  <c r="G259" i="1"/>
  <c r="H259" i="1"/>
  <c r="I259" i="1"/>
  <c r="J259" i="1"/>
  <c r="K259" i="1"/>
  <c r="L259" i="1"/>
  <c r="M259" i="1"/>
  <c r="N259" i="1"/>
  <c r="O259" i="1"/>
  <c r="B260" i="1"/>
  <c r="C260" i="1"/>
  <c r="B261" i="12"/>
  <c r="E260" i="1"/>
  <c r="F260" i="1"/>
  <c r="G260" i="1"/>
  <c r="H260" i="1"/>
  <c r="I260" i="1"/>
  <c r="J260" i="1"/>
  <c r="K260" i="1"/>
  <c r="L260" i="1"/>
  <c r="M260" i="1"/>
  <c r="N260" i="1"/>
  <c r="O260" i="1"/>
  <c r="B261" i="1"/>
  <c r="C261" i="1"/>
  <c r="E261" i="1" s="1"/>
  <c r="F261" i="1"/>
  <c r="G261" i="1"/>
  <c r="H261" i="1"/>
  <c r="I261" i="1"/>
  <c r="J261" i="1"/>
  <c r="K261" i="1"/>
  <c r="L261" i="1"/>
  <c r="M261" i="1"/>
  <c r="N261" i="1"/>
  <c r="O261" i="1"/>
  <c r="B262" i="1"/>
  <c r="C262" i="1"/>
  <c r="B263" i="12"/>
  <c r="E262" i="1"/>
  <c r="F262" i="1"/>
  <c r="G262" i="1"/>
  <c r="H262" i="1"/>
  <c r="I262" i="1"/>
  <c r="J262" i="1"/>
  <c r="K262" i="1"/>
  <c r="L262" i="1"/>
  <c r="M262" i="1"/>
  <c r="N262" i="1"/>
  <c r="O262" i="1"/>
  <c r="B263" i="1"/>
  <c r="C263" i="1"/>
  <c r="E263" i="1" s="1"/>
  <c r="F263" i="1"/>
  <c r="G263" i="1"/>
  <c r="H263" i="1"/>
  <c r="I263" i="1"/>
  <c r="J263" i="1"/>
  <c r="K263" i="1"/>
  <c r="L263" i="1"/>
  <c r="M263" i="1"/>
  <c r="N263" i="1"/>
  <c r="O263" i="1"/>
  <c r="B264" i="1"/>
  <c r="B265" i="12" s="1"/>
  <c r="C264" i="1"/>
  <c r="E264" i="1"/>
  <c r="F264" i="1"/>
  <c r="G264" i="1"/>
  <c r="H264" i="1"/>
  <c r="I264" i="1"/>
  <c r="J264" i="1"/>
  <c r="K264" i="1"/>
  <c r="L264" i="1"/>
  <c r="M264" i="1"/>
  <c r="N264" i="1"/>
  <c r="O264" i="1"/>
  <c r="B265" i="1"/>
  <c r="C265" i="1"/>
  <c r="E265" i="1" s="1"/>
  <c r="E265" i="6" s="1"/>
  <c r="F265" i="1"/>
  <c r="G265" i="1"/>
  <c r="H265" i="1"/>
  <c r="I265" i="1"/>
  <c r="J265" i="1"/>
  <c r="K265" i="1"/>
  <c r="L265" i="1"/>
  <c r="M265" i="1"/>
  <c r="N265" i="1"/>
  <c r="O265" i="1"/>
  <c r="B266" i="1"/>
  <c r="B267" i="12" s="1"/>
  <c r="C266" i="1"/>
  <c r="E266" i="1"/>
  <c r="F266" i="1"/>
  <c r="G266" i="1"/>
  <c r="H266" i="1"/>
  <c r="I266" i="1"/>
  <c r="J266" i="1"/>
  <c r="K266" i="1"/>
  <c r="L266" i="1"/>
  <c r="M266" i="1"/>
  <c r="N266" i="1"/>
  <c r="O266" i="1"/>
  <c r="B267" i="1"/>
  <c r="C267" i="1"/>
  <c r="E267" i="1" s="1"/>
  <c r="B268" i="12"/>
  <c r="F267" i="1"/>
  <c r="G267" i="1"/>
  <c r="H267" i="1"/>
  <c r="I267" i="1"/>
  <c r="J267" i="1"/>
  <c r="K267" i="1"/>
  <c r="L267" i="1"/>
  <c r="M267" i="1"/>
  <c r="N267" i="1"/>
  <c r="O267" i="1"/>
  <c r="B268" i="1"/>
  <c r="C268" i="1"/>
  <c r="B269" i="12"/>
  <c r="E268" i="1"/>
  <c r="F268" i="1"/>
  <c r="G268" i="1"/>
  <c r="H268" i="1"/>
  <c r="I268" i="1"/>
  <c r="J268" i="1"/>
  <c r="K268" i="1"/>
  <c r="L268" i="1"/>
  <c r="M268" i="1"/>
  <c r="N268" i="1"/>
  <c r="O268" i="1"/>
  <c r="B269" i="1"/>
  <c r="C269" i="1"/>
  <c r="E269" i="1" s="1"/>
  <c r="F269" i="1"/>
  <c r="G269" i="1"/>
  <c r="H269" i="1"/>
  <c r="I269" i="1"/>
  <c r="J269" i="1"/>
  <c r="K269" i="1"/>
  <c r="L269" i="1"/>
  <c r="M269" i="1"/>
  <c r="N269" i="1"/>
  <c r="O269" i="1"/>
  <c r="B270" i="1"/>
  <c r="C270" i="1"/>
  <c r="B271" i="12"/>
  <c r="E270" i="1"/>
  <c r="F270" i="1"/>
  <c r="G270" i="1"/>
  <c r="H270" i="1"/>
  <c r="I270" i="1"/>
  <c r="J270" i="1"/>
  <c r="K270" i="1"/>
  <c r="L270" i="1"/>
  <c r="M270" i="1"/>
  <c r="N270" i="1"/>
  <c r="O270" i="1"/>
  <c r="B271" i="1"/>
  <c r="C271" i="1"/>
  <c r="E271" i="1" s="1"/>
  <c r="F271" i="1"/>
  <c r="G271" i="1"/>
  <c r="H271" i="1"/>
  <c r="I271" i="1"/>
  <c r="J271" i="1"/>
  <c r="K271" i="1"/>
  <c r="L271" i="1"/>
  <c r="M271" i="1"/>
  <c r="N271" i="1"/>
  <c r="O271" i="1"/>
  <c r="B272" i="1"/>
  <c r="B273" i="12" s="1"/>
  <c r="C272" i="1"/>
  <c r="E272" i="1"/>
  <c r="F272" i="1"/>
  <c r="G272" i="1"/>
  <c r="H272" i="1"/>
  <c r="I272" i="1"/>
  <c r="J272" i="1"/>
  <c r="K272" i="1"/>
  <c r="L272" i="1"/>
  <c r="M272" i="1"/>
  <c r="N272" i="1"/>
  <c r="O272" i="1"/>
  <c r="B273" i="1"/>
  <c r="C273" i="1"/>
  <c r="E273" i="1" s="1"/>
  <c r="E274" i="13" s="1"/>
  <c r="F273" i="1"/>
  <c r="G273" i="1"/>
  <c r="H273" i="1"/>
  <c r="I273" i="1"/>
  <c r="J273" i="1"/>
  <c r="K273" i="1"/>
  <c r="L273" i="1"/>
  <c r="M273" i="1"/>
  <c r="N273" i="1"/>
  <c r="O273" i="1"/>
  <c r="B274" i="1"/>
  <c r="B275" i="12" s="1"/>
  <c r="C274" i="1"/>
  <c r="E274" i="1"/>
  <c r="F274" i="1"/>
  <c r="G274" i="1"/>
  <c r="H274" i="1"/>
  <c r="I274" i="1"/>
  <c r="J274" i="1"/>
  <c r="K274" i="1"/>
  <c r="L274" i="1"/>
  <c r="M274" i="1"/>
  <c r="N274" i="1"/>
  <c r="O274" i="1"/>
  <c r="B275" i="1"/>
  <c r="C275" i="1"/>
  <c r="E275" i="1" s="1"/>
  <c r="B276" i="12"/>
  <c r="F275" i="1"/>
  <c r="G275" i="1"/>
  <c r="H275" i="1"/>
  <c r="I275" i="1"/>
  <c r="J275" i="1"/>
  <c r="K275" i="1"/>
  <c r="L275" i="1"/>
  <c r="M275" i="1"/>
  <c r="N275" i="1"/>
  <c r="O275" i="1"/>
  <c r="B276" i="1"/>
  <c r="C276" i="1"/>
  <c r="B277" i="12"/>
  <c r="E276" i="1"/>
  <c r="F276" i="1"/>
  <c r="G276" i="1"/>
  <c r="H276" i="1"/>
  <c r="I276" i="1"/>
  <c r="J276" i="1"/>
  <c r="K276" i="1"/>
  <c r="L276" i="1"/>
  <c r="M276" i="1"/>
  <c r="N276" i="1"/>
  <c r="O276" i="1"/>
  <c r="B277" i="1"/>
  <c r="C277" i="1"/>
  <c r="E277" i="1" s="1"/>
  <c r="F277" i="1"/>
  <c r="G277" i="1"/>
  <c r="H277" i="1"/>
  <c r="I277" i="1"/>
  <c r="J277" i="1"/>
  <c r="K277" i="1"/>
  <c r="L277" i="1"/>
  <c r="M277" i="1"/>
  <c r="N277" i="1"/>
  <c r="O277" i="1"/>
  <c r="B278" i="1"/>
  <c r="C278" i="1"/>
  <c r="B279" i="12"/>
  <c r="E278" i="1"/>
  <c r="F278" i="1"/>
  <c r="G278" i="1"/>
  <c r="H278" i="1"/>
  <c r="I278" i="1"/>
  <c r="J278" i="1"/>
  <c r="K278" i="1"/>
  <c r="L278" i="1"/>
  <c r="M278" i="1"/>
  <c r="N278" i="1"/>
  <c r="O278" i="1"/>
  <c r="B279" i="1"/>
  <c r="C279" i="1"/>
  <c r="E279" i="1" s="1"/>
  <c r="F279" i="1"/>
  <c r="G279" i="1"/>
  <c r="H279" i="1"/>
  <c r="I279" i="1"/>
  <c r="J279" i="1"/>
  <c r="K279" i="1"/>
  <c r="L279" i="1"/>
  <c r="M279" i="1"/>
  <c r="N279" i="1"/>
  <c r="O279" i="1"/>
  <c r="B280" i="1"/>
  <c r="B281" i="12" s="1"/>
  <c r="C280" i="1"/>
  <c r="E280" i="1"/>
  <c r="F280" i="1"/>
  <c r="G280" i="1"/>
  <c r="H280" i="1"/>
  <c r="I280" i="1"/>
  <c r="J280" i="1"/>
  <c r="K280" i="1"/>
  <c r="L280" i="1"/>
  <c r="M280" i="1"/>
  <c r="N280" i="1"/>
  <c r="O280" i="1"/>
  <c r="B281" i="1"/>
  <c r="C281" i="1"/>
  <c r="E281" i="1" s="1"/>
  <c r="E281" i="6" s="1"/>
  <c r="F281" i="1"/>
  <c r="G281" i="1"/>
  <c r="H281" i="1"/>
  <c r="I281" i="1"/>
  <c r="J281" i="1"/>
  <c r="K281" i="1"/>
  <c r="L281" i="1"/>
  <c r="M281" i="1"/>
  <c r="N281" i="1"/>
  <c r="O281" i="1"/>
  <c r="B282" i="1"/>
  <c r="B283" i="12" s="1"/>
  <c r="C282" i="1"/>
  <c r="E282" i="1"/>
  <c r="F282" i="1"/>
  <c r="G282" i="1"/>
  <c r="H282" i="1"/>
  <c r="I282" i="1"/>
  <c r="J282" i="1"/>
  <c r="K282" i="1"/>
  <c r="L282" i="1"/>
  <c r="M282" i="1"/>
  <c r="N282" i="1"/>
  <c r="O282" i="1"/>
  <c r="B283" i="1"/>
  <c r="C283" i="1"/>
  <c r="E283" i="1" s="1"/>
  <c r="B284" i="12"/>
  <c r="F283" i="1"/>
  <c r="G283" i="1"/>
  <c r="H283" i="1"/>
  <c r="I283" i="1"/>
  <c r="J283" i="1"/>
  <c r="K283" i="1"/>
  <c r="L283" i="1"/>
  <c r="M283" i="1"/>
  <c r="N283" i="1"/>
  <c r="O283" i="1"/>
  <c r="B284" i="1"/>
  <c r="C284" i="1"/>
  <c r="B285" i="12"/>
  <c r="E284" i="1"/>
  <c r="F284" i="1"/>
  <c r="G284" i="1"/>
  <c r="H284" i="1"/>
  <c r="I284" i="1"/>
  <c r="J284" i="1"/>
  <c r="K284" i="1"/>
  <c r="L284" i="1"/>
  <c r="M284" i="1"/>
  <c r="N284" i="1"/>
  <c r="O284" i="1"/>
  <c r="B285" i="1"/>
  <c r="C285" i="1"/>
  <c r="E285" i="1" s="1"/>
  <c r="F285" i="1"/>
  <c r="G285" i="1"/>
  <c r="H285" i="1"/>
  <c r="I285" i="1"/>
  <c r="J285" i="1"/>
  <c r="K285" i="1"/>
  <c r="L285" i="1"/>
  <c r="M285" i="1"/>
  <c r="N285" i="1"/>
  <c r="O285" i="1"/>
  <c r="B286" i="1"/>
  <c r="C286" i="1"/>
  <c r="B287" i="12"/>
  <c r="E286" i="1"/>
  <c r="F286" i="1"/>
  <c r="G286" i="1"/>
  <c r="H286" i="1"/>
  <c r="I286" i="1"/>
  <c r="J286" i="1"/>
  <c r="K286" i="1"/>
  <c r="L286" i="1"/>
  <c r="M286" i="1"/>
  <c r="N286" i="1"/>
  <c r="O286" i="1"/>
  <c r="B287" i="1"/>
  <c r="B288" i="13" s="1"/>
  <c r="C287" i="1"/>
  <c r="B288" i="12" s="1"/>
  <c r="F287" i="1"/>
  <c r="G287" i="1"/>
  <c r="H287" i="1"/>
  <c r="I287" i="1"/>
  <c r="J287" i="1"/>
  <c r="K287" i="1"/>
  <c r="L287" i="1"/>
  <c r="M287" i="1"/>
  <c r="N287" i="1"/>
  <c r="O287" i="1"/>
  <c r="B288" i="1"/>
  <c r="C288" i="1"/>
  <c r="F288" i="1"/>
  <c r="F288" i="6" s="1"/>
  <c r="G288" i="1"/>
  <c r="H288" i="1"/>
  <c r="I288" i="1"/>
  <c r="J288" i="1"/>
  <c r="K288" i="1"/>
  <c r="L288" i="1"/>
  <c r="M288" i="1"/>
  <c r="N288" i="1"/>
  <c r="O288" i="1"/>
  <c r="B289" i="1"/>
  <c r="C289" i="1"/>
  <c r="B290" i="12"/>
  <c r="F289" i="1"/>
  <c r="G289" i="1"/>
  <c r="H289" i="1"/>
  <c r="I289" i="1"/>
  <c r="N160" i="9" s="1"/>
  <c r="J289" i="1"/>
  <c r="K289" i="1"/>
  <c r="L289" i="1"/>
  <c r="M289" i="1"/>
  <c r="N289" i="1"/>
  <c r="O289" i="1"/>
  <c r="B290" i="1"/>
  <c r="C290" i="1"/>
  <c r="E290" i="1" s="1"/>
  <c r="E291" i="13" s="1"/>
  <c r="F290" i="1"/>
  <c r="G290" i="1"/>
  <c r="H290" i="1"/>
  <c r="G291" i="13" s="1"/>
  <c r="I290" i="1"/>
  <c r="J290" i="1"/>
  <c r="K290" i="1"/>
  <c r="L290" i="1"/>
  <c r="M290" i="1"/>
  <c r="N290" i="1"/>
  <c r="O290" i="1"/>
  <c r="B291" i="1"/>
  <c r="B292" i="12" s="1"/>
  <c r="C291" i="1"/>
  <c r="F291" i="1"/>
  <c r="G291" i="1"/>
  <c r="H291" i="1"/>
  <c r="I291" i="1"/>
  <c r="J291" i="1"/>
  <c r="K291" i="1"/>
  <c r="L291" i="1"/>
  <c r="M291" i="1"/>
  <c r="N291" i="1"/>
  <c r="O291" i="1"/>
  <c r="B292" i="1"/>
  <c r="C292" i="1"/>
  <c r="B293" i="12" s="1"/>
  <c r="E292" i="1"/>
  <c r="F292" i="1"/>
  <c r="G292" i="1"/>
  <c r="H292" i="1"/>
  <c r="I292" i="1"/>
  <c r="H293" i="12" s="1"/>
  <c r="J292" i="1"/>
  <c r="K292" i="1"/>
  <c r="L292" i="1"/>
  <c r="M292" i="1"/>
  <c r="N292" i="1"/>
  <c r="O292" i="1"/>
  <c r="B293" i="1"/>
  <c r="C293" i="1"/>
  <c r="B294" i="12" s="1"/>
  <c r="F293" i="1"/>
  <c r="G293" i="1"/>
  <c r="H293" i="1"/>
  <c r="I293" i="1"/>
  <c r="J293" i="1"/>
  <c r="K293" i="1"/>
  <c r="L293" i="1"/>
  <c r="M293" i="1"/>
  <c r="N293" i="1"/>
  <c r="O293" i="1"/>
  <c r="B294" i="1"/>
  <c r="C294" i="1"/>
  <c r="B295" i="12"/>
  <c r="E294" i="1"/>
  <c r="F294" i="1"/>
  <c r="G294" i="1"/>
  <c r="H294" i="1"/>
  <c r="I294" i="1"/>
  <c r="J294" i="1"/>
  <c r="K294" i="1"/>
  <c r="L294" i="1"/>
  <c r="M294" i="1"/>
  <c r="N294" i="1"/>
  <c r="O294" i="1"/>
  <c r="B295" i="1"/>
  <c r="C295" i="1"/>
  <c r="B296" i="12" s="1"/>
  <c r="F295" i="1"/>
  <c r="G295" i="1"/>
  <c r="H295" i="1"/>
  <c r="I295" i="1"/>
  <c r="J295" i="1"/>
  <c r="K295" i="1"/>
  <c r="L295" i="1"/>
  <c r="M295" i="1"/>
  <c r="N295" i="1"/>
  <c r="O295" i="1"/>
  <c r="B296" i="1"/>
  <c r="C296" i="1"/>
  <c r="E296" i="1"/>
  <c r="F296" i="1"/>
  <c r="G296" i="1"/>
  <c r="H296" i="1"/>
  <c r="I296" i="1"/>
  <c r="J296" i="1"/>
  <c r="K296" i="1"/>
  <c r="L296" i="1"/>
  <c r="M296" i="1"/>
  <c r="N296" i="1"/>
  <c r="O296" i="1"/>
  <c r="B297" i="1"/>
  <c r="C297" i="1"/>
  <c r="D298" i="12" s="1"/>
  <c r="F297" i="1"/>
  <c r="G297" i="1"/>
  <c r="H297" i="1"/>
  <c r="G298" i="13" s="1"/>
  <c r="I297" i="1"/>
  <c r="J297" i="1"/>
  <c r="K297" i="1"/>
  <c r="L297" i="1"/>
  <c r="M297" i="1"/>
  <c r="N297" i="1"/>
  <c r="O297" i="1"/>
  <c r="B298" i="1"/>
  <c r="C298" i="1"/>
  <c r="E298" i="1" s="1"/>
  <c r="F298" i="1"/>
  <c r="G298" i="1"/>
  <c r="H298" i="1"/>
  <c r="I298" i="1"/>
  <c r="J298" i="1"/>
  <c r="K298" i="1"/>
  <c r="L298" i="1"/>
  <c r="M298" i="1"/>
  <c r="N298" i="1"/>
  <c r="O298" i="1"/>
  <c r="B299" i="1"/>
  <c r="B300" i="12" s="1"/>
  <c r="C299" i="1"/>
  <c r="F299" i="1"/>
  <c r="F300" i="13" s="1"/>
  <c r="G299" i="1"/>
  <c r="H299" i="1"/>
  <c r="I299" i="1"/>
  <c r="J299" i="1"/>
  <c r="K299" i="1"/>
  <c r="L299" i="1"/>
  <c r="M299" i="1"/>
  <c r="N299" i="1"/>
  <c r="O299" i="1"/>
  <c r="B300" i="1"/>
  <c r="C300" i="1"/>
  <c r="B301" i="12"/>
  <c r="E300" i="1"/>
  <c r="F300" i="1"/>
  <c r="G300" i="1"/>
  <c r="H300" i="1"/>
  <c r="G301" i="13" s="1"/>
  <c r="I300" i="1"/>
  <c r="J300" i="1"/>
  <c r="K300" i="1"/>
  <c r="L300" i="1"/>
  <c r="M300" i="1"/>
  <c r="N300" i="1"/>
  <c r="O300" i="1"/>
  <c r="B301" i="1"/>
  <c r="C301" i="1"/>
  <c r="F301" i="1"/>
  <c r="G301" i="1"/>
  <c r="H301" i="1"/>
  <c r="G302" i="12" s="1"/>
  <c r="I301" i="1"/>
  <c r="J301" i="1"/>
  <c r="K301" i="1"/>
  <c r="L301" i="1"/>
  <c r="M301" i="1"/>
  <c r="N301" i="1"/>
  <c r="O301" i="1"/>
  <c r="B302" i="1"/>
  <c r="B302" i="6" s="1"/>
  <c r="C302" i="1"/>
  <c r="E302" i="1"/>
  <c r="F302" i="1"/>
  <c r="F173" i="9" s="1"/>
  <c r="K173" i="9" s="1"/>
  <c r="G302" i="1"/>
  <c r="H302" i="1"/>
  <c r="I302" i="1"/>
  <c r="J302" i="1"/>
  <c r="K302" i="1"/>
  <c r="L302" i="1"/>
  <c r="M302" i="1"/>
  <c r="N302" i="1"/>
  <c r="O302" i="1"/>
  <c r="B303" i="1"/>
  <c r="C303" i="1"/>
  <c r="E303" i="1"/>
  <c r="F303" i="1"/>
  <c r="G303" i="1"/>
  <c r="H303" i="1"/>
  <c r="I303" i="1"/>
  <c r="J303" i="1"/>
  <c r="K303" i="1"/>
  <c r="L303" i="1"/>
  <c r="M303" i="1"/>
  <c r="N303" i="1"/>
  <c r="O303" i="1"/>
  <c r="B304" i="1"/>
  <c r="C304" i="1"/>
  <c r="E304" i="1" s="1"/>
  <c r="F304" i="1"/>
  <c r="G304" i="1"/>
  <c r="H304" i="1"/>
  <c r="I304" i="1"/>
  <c r="J304" i="1"/>
  <c r="K304" i="1"/>
  <c r="L304" i="1"/>
  <c r="M304" i="1"/>
  <c r="N304" i="1"/>
  <c r="O304" i="1"/>
  <c r="B305" i="1"/>
  <c r="C305" i="1"/>
  <c r="E305" i="1"/>
  <c r="F305" i="1"/>
  <c r="G305" i="1"/>
  <c r="H305" i="1"/>
  <c r="I305" i="1"/>
  <c r="J305" i="1"/>
  <c r="K305" i="1"/>
  <c r="L305" i="1"/>
  <c r="M305" i="1"/>
  <c r="N305" i="1"/>
  <c r="O305" i="1"/>
  <c r="B306" i="1"/>
  <c r="C306" i="1"/>
  <c r="E306" i="1" s="1"/>
  <c r="F306" i="1"/>
  <c r="G306" i="1"/>
  <c r="H306" i="1"/>
  <c r="I306" i="1"/>
  <c r="J306" i="1"/>
  <c r="K306" i="1"/>
  <c r="L306" i="1"/>
  <c r="M306" i="1"/>
  <c r="N306" i="1"/>
  <c r="O306" i="1"/>
  <c r="B307" i="1"/>
  <c r="C307" i="1"/>
  <c r="E307" i="1" s="1"/>
  <c r="F307" i="1"/>
  <c r="G307" i="1"/>
  <c r="H307" i="1"/>
  <c r="I307" i="1"/>
  <c r="J307" i="1"/>
  <c r="K307" i="1"/>
  <c r="L307" i="1"/>
  <c r="M307" i="1"/>
  <c r="N307" i="1"/>
  <c r="O307" i="1"/>
  <c r="B308" i="1"/>
  <c r="C308" i="1"/>
  <c r="E308" i="1" s="1"/>
  <c r="F308" i="1"/>
  <c r="G308" i="1"/>
  <c r="H308" i="1"/>
  <c r="I308" i="1"/>
  <c r="J308" i="1"/>
  <c r="K308" i="1"/>
  <c r="L308" i="1"/>
  <c r="M308" i="1"/>
  <c r="N308" i="1"/>
  <c r="O308" i="1"/>
  <c r="B309" i="1"/>
  <c r="C309" i="1"/>
  <c r="E309" i="1"/>
  <c r="F309" i="1"/>
  <c r="G309" i="1"/>
  <c r="H309" i="1"/>
  <c r="I309" i="1"/>
  <c r="J309" i="1"/>
  <c r="K309" i="1"/>
  <c r="L309" i="1"/>
  <c r="M309" i="1"/>
  <c r="N309" i="1"/>
  <c r="O309" i="1"/>
  <c r="B310" i="1"/>
  <c r="C310" i="1"/>
  <c r="E310" i="1" s="1"/>
  <c r="F310" i="1"/>
  <c r="G310" i="1"/>
  <c r="H310" i="1"/>
  <c r="I310" i="1"/>
  <c r="J310" i="1"/>
  <c r="K310" i="1"/>
  <c r="L310" i="1"/>
  <c r="M310" i="1"/>
  <c r="N310" i="1"/>
  <c r="O310" i="1"/>
  <c r="B311" i="1"/>
  <c r="C311" i="1"/>
  <c r="E311" i="1" s="1"/>
  <c r="F311" i="1"/>
  <c r="G311" i="1"/>
  <c r="H311" i="1"/>
  <c r="I311" i="1"/>
  <c r="J311" i="1"/>
  <c r="K311" i="1"/>
  <c r="L311" i="1"/>
  <c r="M311" i="1"/>
  <c r="N311" i="1"/>
  <c r="O311" i="1"/>
  <c r="B312" i="1"/>
  <c r="C312" i="1"/>
  <c r="E312" i="1" s="1"/>
  <c r="F312" i="1"/>
  <c r="G312" i="1"/>
  <c r="H312" i="1"/>
  <c r="I312" i="1"/>
  <c r="J312" i="1"/>
  <c r="K312" i="1"/>
  <c r="L312" i="1"/>
  <c r="M312" i="1"/>
  <c r="N312" i="1"/>
  <c r="O312" i="1"/>
  <c r="B313" i="1"/>
  <c r="C313" i="1"/>
  <c r="E313" i="1"/>
  <c r="F313" i="1"/>
  <c r="G313" i="1"/>
  <c r="H313" i="1"/>
  <c r="I313" i="1"/>
  <c r="J313" i="1"/>
  <c r="K313" i="1"/>
  <c r="L313" i="1"/>
  <c r="M313" i="1"/>
  <c r="N313" i="1"/>
  <c r="O313" i="1"/>
  <c r="B314" i="1"/>
  <c r="C314" i="1"/>
  <c r="E314" i="1"/>
  <c r="F314" i="1"/>
  <c r="G314" i="1"/>
  <c r="H314" i="1"/>
  <c r="I314" i="1"/>
  <c r="J314" i="1"/>
  <c r="K314" i="1"/>
  <c r="L314" i="1"/>
  <c r="M314" i="1"/>
  <c r="N314" i="1"/>
  <c r="O314" i="1"/>
  <c r="B315" i="1"/>
  <c r="C315" i="1"/>
  <c r="E315" i="1" s="1"/>
  <c r="F315" i="1"/>
  <c r="G315" i="1"/>
  <c r="H315" i="1"/>
  <c r="I315" i="1"/>
  <c r="J315" i="1"/>
  <c r="K315" i="1"/>
  <c r="L315" i="1"/>
  <c r="M315" i="1"/>
  <c r="N315" i="1"/>
  <c r="O315" i="1"/>
  <c r="B316" i="1"/>
  <c r="C316" i="1"/>
  <c r="E316" i="1" s="1"/>
  <c r="F316" i="1"/>
  <c r="G316" i="1"/>
  <c r="H316" i="1"/>
  <c r="I316" i="1"/>
  <c r="J316" i="1"/>
  <c r="K316" i="1"/>
  <c r="L316" i="1"/>
  <c r="M316" i="1"/>
  <c r="N316" i="1"/>
  <c r="O316" i="1"/>
  <c r="B317" i="1"/>
  <c r="C317" i="1"/>
  <c r="E317" i="1"/>
  <c r="F317" i="1"/>
  <c r="G317" i="1"/>
  <c r="H317" i="1"/>
  <c r="I317" i="1"/>
  <c r="J317" i="1"/>
  <c r="K317" i="1"/>
  <c r="L317" i="1"/>
  <c r="M317" i="1"/>
  <c r="N317" i="1"/>
  <c r="O317" i="1"/>
  <c r="B318" i="1"/>
  <c r="C318" i="1"/>
  <c r="E318" i="1" s="1"/>
  <c r="F318" i="1"/>
  <c r="G318" i="1"/>
  <c r="H318" i="1"/>
  <c r="I318" i="1"/>
  <c r="J318" i="1"/>
  <c r="K318" i="1"/>
  <c r="L318" i="1"/>
  <c r="M318" i="1"/>
  <c r="N318" i="1"/>
  <c r="O318" i="1"/>
  <c r="B319" i="1"/>
  <c r="C319" i="1"/>
  <c r="E319" i="1"/>
  <c r="F319" i="1"/>
  <c r="G319" i="1"/>
  <c r="H319" i="1"/>
  <c r="I319" i="1"/>
  <c r="J319" i="1"/>
  <c r="K319" i="1"/>
  <c r="L319" i="1"/>
  <c r="M319" i="1"/>
  <c r="N319" i="1"/>
  <c r="O319" i="1"/>
  <c r="B320" i="1"/>
  <c r="C320" i="1"/>
  <c r="E320" i="1" s="1"/>
  <c r="F320" i="1"/>
  <c r="G320" i="1"/>
  <c r="H320" i="1"/>
  <c r="I320" i="1"/>
  <c r="J320" i="1"/>
  <c r="K320" i="1"/>
  <c r="L320" i="1"/>
  <c r="M320" i="1"/>
  <c r="N320" i="1"/>
  <c r="O320" i="1"/>
  <c r="B321" i="1"/>
  <c r="C321" i="1"/>
  <c r="E321" i="1"/>
  <c r="F321" i="1"/>
  <c r="G321" i="1"/>
  <c r="H321" i="1"/>
  <c r="I321" i="1"/>
  <c r="J321" i="1"/>
  <c r="K321" i="1"/>
  <c r="L321" i="1"/>
  <c r="M321" i="1"/>
  <c r="N321" i="1"/>
  <c r="O321" i="1"/>
  <c r="B322" i="1"/>
  <c r="C322" i="1"/>
  <c r="E322" i="1" s="1"/>
  <c r="F322" i="1"/>
  <c r="G322" i="1"/>
  <c r="H322" i="1"/>
  <c r="I322" i="1"/>
  <c r="J322" i="1"/>
  <c r="K322" i="1"/>
  <c r="L322" i="1"/>
  <c r="M322" i="1"/>
  <c r="N322" i="1"/>
  <c r="O322" i="1"/>
  <c r="B323" i="1"/>
  <c r="C323" i="1"/>
  <c r="E323" i="1" s="1"/>
  <c r="F323" i="1"/>
  <c r="G323" i="1"/>
  <c r="H323" i="1"/>
  <c r="I323" i="1"/>
  <c r="J323" i="1"/>
  <c r="K323" i="1"/>
  <c r="L323" i="1"/>
  <c r="M323" i="1"/>
  <c r="N323" i="1"/>
  <c r="O323" i="1"/>
  <c r="B324" i="1"/>
  <c r="C324" i="1"/>
  <c r="E324" i="1" s="1"/>
  <c r="F324" i="1"/>
  <c r="G324" i="1"/>
  <c r="H324" i="1"/>
  <c r="I324" i="1"/>
  <c r="J324" i="1"/>
  <c r="K324" i="1"/>
  <c r="L324" i="1"/>
  <c r="M324" i="1"/>
  <c r="N324" i="1"/>
  <c r="O324" i="1"/>
  <c r="B325" i="1"/>
  <c r="C325" i="1"/>
  <c r="E325" i="1"/>
  <c r="F325" i="1"/>
  <c r="G325" i="1"/>
  <c r="H325" i="1"/>
  <c r="I325" i="1"/>
  <c r="J325" i="1"/>
  <c r="K325" i="1"/>
  <c r="L325" i="1"/>
  <c r="M325" i="1"/>
  <c r="N325" i="1"/>
  <c r="O325" i="1"/>
  <c r="B326" i="1"/>
  <c r="C326" i="1"/>
  <c r="E326" i="1" s="1"/>
  <c r="F326" i="1"/>
  <c r="G326" i="1"/>
  <c r="H326" i="1"/>
  <c r="I326" i="1"/>
  <c r="J326" i="1"/>
  <c r="K326" i="1"/>
  <c r="L326" i="1"/>
  <c r="M326" i="1"/>
  <c r="N326" i="1"/>
  <c r="O326" i="1"/>
  <c r="B327" i="1"/>
  <c r="C327" i="1"/>
  <c r="E327" i="1" s="1"/>
  <c r="F327" i="1"/>
  <c r="G327" i="1"/>
  <c r="H327" i="1"/>
  <c r="I327" i="1"/>
  <c r="J327" i="1"/>
  <c r="K327" i="1"/>
  <c r="L327" i="1"/>
  <c r="M327" i="1"/>
  <c r="N327" i="1"/>
  <c r="O327" i="1"/>
  <c r="B328" i="1"/>
  <c r="C328" i="1"/>
  <c r="E328" i="1" s="1"/>
  <c r="F328" i="1"/>
  <c r="G328" i="1"/>
  <c r="H328" i="1"/>
  <c r="I328" i="1"/>
  <c r="J328" i="1"/>
  <c r="K328" i="1"/>
  <c r="L328" i="1"/>
  <c r="M328" i="1"/>
  <c r="N328" i="1"/>
  <c r="O328" i="1"/>
  <c r="B329" i="1"/>
  <c r="C329" i="1"/>
  <c r="E329" i="1"/>
  <c r="F329" i="1"/>
  <c r="G329" i="1"/>
  <c r="H329" i="1"/>
  <c r="I329" i="1"/>
  <c r="J329" i="1"/>
  <c r="K329" i="1"/>
  <c r="L329" i="1"/>
  <c r="M329" i="1"/>
  <c r="N329" i="1"/>
  <c r="O329" i="1"/>
  <c r="B330" i="1"/>
  <c r="C330" i="1"/>
  <c r="E330" i="1"/>
  <c r="F330" i="1"/>
  <c r="G330" i="1"/>
  <c r="H330" i="1"/>
  <c r="I330" i="1"/>
  <c r="J330" i="1"/>
  <c r="K330" i="1"/>
  <c r="L330" i="1"/>
  <c r="M330" i="1"/>
  <c r="N330" i="1"/>
  <c r="O330" i="1"/>
  <c r="B331" i="1"/>
  <c r="C331" i="1"/>
  <c r="E331" i="1" s="1"/>
  <c r="F331" i="1"/>
  <c r="G331" i="1"/>
  <c r="H331" i="1"/>
  <c r="I331" i="1"/>
  <c r="J331" i="1"/>
  <c r="K331" i="1"/>
  <c r="L331" i="1"/>
  <c r="M331" i="1"/>
  <c r="N331" i="1"/>
  <c r="O331" i="1"/>
  <c r="B332" i="1"/>
  <c r="C332" i="1"/>
  <c r="E332" i="1" s="1"/>
  <c r="F332" i="1"/>
  <c r="G332" i="1"/>
  <c r="H332" i="1"/>
  <c r="I332" i="1"/>
  <c r="J332" i="1"/>
  <c r="K332" i="1"/>
  <c r="L332" i="1"/>
  <c r="M332" i="1"/>
  <c r="N332" i="1"/>
  <c r="O332" i="1"/>
  <c r="B333" i="1"/>
  <c r="C333" i="1"/>
  <c r="E333" i="1"/>
  <c r="F333" i="1"/>
  <c r="G333" i="1"/>
  <c r="H333" i="1"/>
  <c r="I333" i="1"/>
  <c r="J333" i="1"/>
  <c r="K333" i="1"/>
  <c r="L333" i="1"/>
  <c r="M333" i="1"/>
  <c r="N333" i="1"/>
  <c r="O333" i="1"/>
  <c r="B334" i="1"/>
  <c r="C334" i="1"/>
  <c r="E334" i="1" s="1"/>
  <c r="F334" i="1"/>
  <c r="G334" i="1"/>
  <c r="H334" i="1"/>
  <c r="I334" i="1"/>
  <c r="J334" i="1"/>
  <c r="K334" i="1"/>
  <c r="L334" i="1"/>
  <c r="M334" i="1"/>
  <c r="N334" i="1"/>
  <c r="O334" i="1"/>
  <c r="B335" i="1"/>
  <c r="C335" i="1"/>
  <c r="E335" i="1"/>
  <c r="F335" i="1"/>
  <c r="G335" i="1"/>
  <c r="H335" i="1"/>
  <c r="I335" i="1"/>
  <c r="J335" i="1"/>
  <c r="K335" i="1"/>
  <c r="L335" i="1"/>
  <c r="M335" i="1"/>
  <c r="N335" i="1"/>
  <c r="O335" i="1"/>
  <c r="B336" i="1"/>
  <c r="C336" i="1"/>
  <c r="E336" i="1" s="1"/>
  <c r="F336" i="1"/>
  <c r="G336" i="1"/>
  <c r="H336" i="1"/>
  <c r="I336" i="1"/>
  <c r="J336" i="1"/>
  <c r="K336" i="1"/>
  <c r="L336" i="1"/>
  <c r="M336" i="1"/>
  <c r="N336" i="1"/>
  <c r="O336" i="1"/>
  <c r="B337" i="1"/>
  <c r="C337" i="1"/>
  <c r="E337" i="1"/>
  <c r="F337" i="1"/>
  <c r="G337" i="1"/>
  <c r="H337" i="1"/>
  <c r="I337" i="1"/>
  <c r="J337" i="1"/>
  <c r="K337" i="1"/>
  <c r="L337" i="1"/>
  <c r="M337" i="1"/>
  <c r="N337" i="1"/>
  <c r="O337" i="1"/>
  <c r="B338" i="1"/>
  <c r="C338" i="1"/>
  <c r="E338" i="1" s="1"/>
  <c r="F338" i="1"/>
  <c r="G338" i="1"/>
  <c r="H338" i="1"/>
  <c r="I338" i="1"/>
  <c r="J338" i="1"/>
  <c r="K338" i="1"/>
  <c r="L338" i="1"/>
  <c r="M338" i="1"/>
  <c r="N338" i="1"/>
  <c r="O338" i="1"/>
  <c r="B339" i="1"/>
  <c r="C339" i="1"/>
  <c r="E339" i="1" s="1"/>
  <c r="F339" i="1"/>
  <c r="G339" i="1"/>
  <c r="H339" i="1"/>
  <c r="I339" i="1"/>
  <c r="J339" i="1"/>
  <c r="K339" i="1"/>
  <c r="L339" i="1"/>
  <c r="M339" i="1"/>
  <c r="N339" i="1"/>
  <c r="O339" i="1"/>
  <c r="B340" i="1"/>
  <c r="C340" i="1"/>
  <c r="E340" i="1" s="1"/>
  <c r="F340" i="1"/>
  <c r="G340" i="1"/>
  <c r="H340" i="1"/>
  <c r="I340" i="1"/>
  <c r="J340" i="1"/>
  <c r="K340" i="1"/>
  <c r="L340" i="1"/>
  <c r="M340" i="1"/>
  <c r="N340" i="1"/>
  <c r="O340" i="1"/>
  <c r="B341" i="1"/>
  <c r="C341" i="1"/>
  <c r="E341" i="1"/>
  <c r="F341" i="1"/>
  <c r="G341" i="1"/>
  <c r="H341" i="1"/>
  <c r="I341" i="1"/>
  <c r="J341" i="1"/>
  <c r="K341" i="1"/>
  <c r="L341" i="1"/>
  <c r="M341" i="1"/>
  <c r="N341" i="1"/>
  <c r="O341" i="1"/>
  <c r="B342" i="1"/>
  <c r="C342" i="1"/>
  <c r="E342" i="1" s="1"/>
  <c r="F342" i="1"/>
  <c r="G342" i="1"/>
  <c r="H342" i="1"/>
  <c r="I342" i="1"/>
  <c r="J342" i="1"/>
  <c r="K342" i="1"/>
  <c r="L342" i="1"/>
  <c r="M342" i="1"/>
  <c r="N342" i="1"/>
  <c r="O342" i="1"/>
  <c r="B343" i="1"/>
  <c r="C343" i="1"/>
  <c r="E343" i="1" s="1"/>
  <c r="F343" i="1"/>
  <c r="G343" i="1"/>
  <c r="H343" i="1"/>
  <c r="I343" i="1"/>
  <c r="J343" i="1"/>
  <c r="K343" i="1"/>
  <c r="L343" i="1"/>
  <c r="M343" i="1"/>
  <c r="N343" i="1"/>
  <c r="O343" i="1"/>
  <c r="B344" i="1"/>
  <c r="C344" i="1"/>
  <c r="E344" i="1" s="1"/>
  <c r="F344" i="1"/>
  <c r="G344" i="1"/>
  <c r="H344" i="1"/>
  <c r="I344" i="1"/>
  <c r="J344" i="1"/>
  <c r="K344" i="1"/>
  <c r="L344" i="1"/>
  <c r="M344" i="1"/>
  <c r="N344" i="1"/>
  <c r="O344" i="1"/>
  <c r="B345" i="1"/>
  <c r="C345" i="1"/>
  <c r="E345" i="1"/>
  <c r="F345" i="1"/>
  <c r="G345" i="1"/>
  <c r="H345" i="1"/>
  <c r="I345" i="1"/>
  <c r="J345" i="1"/>
  <c r="K345" i="1"/>
  <c r="L345" i="1"/>
  <c r="M345" i="1"/>
  <c r="N345" i="1"/>
  <c r="O345" i="1"/>
  <c r="B346" i="1"/>
  <c r="C346" i="1"/>
  <c r="E346" i="1"/>
  <c r="F346" i="1"/>
  <c r="G346" i="1"/>
  <c r="H346" i="1"/>
  <c r="I346" i="1"/>
  <c r="J346" i="1"/>
  <c r="K346" i="1"/>
  <c r="L346" i="1"/>
  <c r="M346" i="1"/>
  <c r="N346" i="1"/>
  <c r="O346" i="1"/>
  <c r="B347" i="1"/>
  <c r="C347" i="1"/>
  <c r="E347" i="1" s="1"/>
  <c r="F347" i="1"/>
  <c r="G347" i="1"/>
  <c r="H347" i="1"/>
  <c r="I347" i="1"/>
  <c r="J347" i="1"/>
  <c r="K347" i="1"/>
  <c r="L347" i="1"/>
  <c r="M347" i="1"/>
  <c r="N347" i="1"/>
  <c r="O347" i="1"/>
  <c r="B348" i="1"/>
  <c r="C348" i="1"/>
  <c r="E348" i="1" s="1"/>
  <c r="F348" i="1"/>
  <c r="G348" i="1"/>
  <c r="H348" i="1"/>
  <c r="I348" i="1"/>
  <c r="J348" i="1"/>
  <c r="K348" i="1"/>
  <c r="L348" i="1"/>
  <c r="M348" i="1"/>
  <c r="N348" i="1"/>
  <c r="O348" i="1"/>
  <c r="B349" i="1"/>
  <c r="C349" i="1"/>
  <c r="E349" i="1"/>
  <c r="F349" i="1"/>
  <c r="G349" i="1"/>
  <c r="H349" i="1"/>
  <c r="I349" i="1"/>
  <c r="J349" i="1"/>
  <c r="K349" i="1"/>
  <c r="L349" i="1"/>
  <c r="M349" i="1"/>
  <c r="N349" i="1"/>
  <c r="O349" i="1"/>
  <c r="B350" i="1"/>
  <c r="C350" i="1"/>
  <c r="E350" i="1" s="1"/>
  <c r="F350" i="1"/>
  <c r="G350" i="1"/>
  <c r="H350" i="1"/>
  <c r="I350" i="1"/>
  <c r="J350" i="1"/>
  <c r="K350" i="1"/>
  <c r="L350" i="1"/>
  <c r="M350" i="1"/>
  <c r="N350" i="1"/>
  <c r="O350" i="1"/>
  <c r="B351" i="1"/>
  <c r="C351" i="1"/>
  <c r="E351" i="1"/>
  <c r="F351" i="1"/>
  <c r="G351" i="1"/>
  <c r="H351" i="1"/>
  <c r="I351" i="1"/>
  <c r="J351" i="1"/>
  <c r="K351" i="1"/>
  <c r="L351" i="1"/>
  <c r="M351" i="1"/>
  <c r="N351" i="1"/>
  <c r="O351" i="1"/>
  <c r="B352" i="1"/>
  <c r="C352" i="1"/>
  <c r="E352" i="1" s="1"/>
  <c r="F352" i="1"/>
  <c r="G352" i="1"/>
  <c r="H352" i="1"/>
  <c r="I352" i="1"/>
  <c r="J352" i="1"/>
  <c r="K352" i="1"/>
  <c r="L352" i="1"/>
  <c r="M352" i="1"/>
  <c r="N352" i="1"/>
  <c r="O352" i="1"/>
  <c r="B353" i="1"/>
  <c r="C353" i="1"/>
  <c r="E353" i="1"/>
  <c r="F353" i="1"/>
  <c r="G353" i="1"/>
  <c r="H353" i="1"/>
  <c r="I353" i="1"/>
  <c r="J353" i="1"/>
  <c r="K353" i="1"/>
  <c r="L353" i="1"/>
  <c r="M353" i="1"/>
  <c r="N353" i="1"/>
  <c r="O353" i="1"/>
  <c r="B354" i="1"/>
  <c r="C354" i="1"/>
  <c r="E354" i="1" s="1"/>
  <c r="F354" i="1"/>
  <c r="G354" i="1"/>
  <c r="H354" i="1"/>
  <c r="I354" i="1"/>
  <c r="J354" i="1"/>
  <c r="K354" i="1"/>
  <c r="L354" i="1"/>
  <c r="M354" i="1"/>
  <c r="N354" i="1"/>
  <c r="O354" i="1"/>
  <c r="B355" i="1"/>
  <c r="C355" i="1"/>
  <c r="E355" i="1" s="1"/>
  <c r="F355" i="1"/>
  <c r="G355" i="1"/>
  <c r="H355" i="1"/>
  <c r="I355" i="1"/>
  <c r="J355" i="1"/>
  <c r="K355" i="1"/>
  <c r="L355" i="1"/>
  <c r="M355" i="1"/>
  <c r="N355" i="1"/>
  <c r="O355" i="1"/>
  <c r="B356" i="1"/>
  <c r="C356" i="1"/>
  <c r="E356" i="1" s="1"/>
  <c r="F356" i="1"/>
  <c r="G356" i="1"/>
  <c r="H356" i="1"/>
  <c r="I356" i="1"/>
  <c r="J356" i="1"/>
  <c r="K356" i="1"/>
  <c r="L356" i="1"/>
  <c r="M356" i="1"/>
  <c r="N356" i="1"/>
  <c r="O356" i="1"/>
  <c r="B357" i="1"/>
  <c r="C357" i="1"/>
  <c r="E357" i="1"/>
  <c r="F357" i="1"/>
  <c r="G357" i="1"/>
  <c r="H357" i="1"/>
  <c r="I357" i="1"/>
  <c r="J357" i="1"/>
  <c r="K357" i="1"/>
  <c r="L357" i="1"/>
  <c r="M357" i="1"/>
  <c r="N357" i="1"/>
  <c r="O357" i="1"/>
  <c r="B358" i="1"/>
  <c r="C358" i="1"/>
  <c r="E358" i="1" s="1"/>
  <c r="F358" i="1"/>
  <c r="G358" i="1"/>
  <c r="H358" i="1"/>
  <c r="I358" i="1"/>
  <c r="J358" i="1"/>
  <c r="K358" i="1"/>
  <c r="L358" i="1"/>
  <c r="M358" i="1"/>
  <c r="N358" i="1"/>
  <c r="O358" i="1"/>
  <c r="B359" i="1"/>
  <c r="C359" i="1"/>
  <c r="E359" i="1" s="1"/>
  <c r="F359" i="1"/>
  <c r="G359" i="1"/>
  <c r="H359" i="1"/>
  <c r="I359" i="1"/>
  <c r="J359" i="1"/>
  <c r="K359" i="1"/>
  <c r="L359" i="1"/>
  <c r="M359" i="1"/>
  <c r="N359" i="1"/>
  <c r="O359" i="1"/>
  <c r="B360" i="1"/>
  <c r="C360" i="1"/>
  <c r="E360" i="1" s="1"/>
  <c r="F360" i="1"/>
  <c r="G360" i="1"/>
  <c r="H360" i="1"/>
  <c r="I360" i="1"/>
  <c r="J360" i="1"/>
  <c r="K360" i="1"/>
  <c r="L360" i="1"/>
  <c r="M360" i="1"/>
  <c r="N360" i="1"/>
  <c r="O360" i="1"/>
  <c r="B361" i="1"/>
  <c r="C361" i="1"/>
  <c r="E361" i="1"/>
  <c r="F361" i="1"/>
  <c r="G361" i="1"/>
  <c r="H361" i="1"/>
  <c r="I361" i="1"/>
  <c r="J361" i="1"/>
  <c r="K361" i="1"/>
  <c r="L361" i="1"/>
  <c r="M361" i="1"/>
  <c r="N361" i="1"/>
  <c r="O361" i="1"/>
  <c r="B362" i="1"/>
  <c r="C362" i="1"/>
  <c r="E362" i="1"/>
  <c r="F362" i="1"/>
  <c r="G362" i="1"/>
  <c r="H362" i="1"/>
  <c r="I362" i="1"/>
  <c r="J362" i="1"/>
  <c r="K362" i="1"/>
  <c r="L362" i="1"/>
  <c r="M362" i="1"/>
  <c r="N362" i="1"/>
  <c r="O362" i="1"/>
  <c r="B363" i="1"/>
  <c r="C363" i="1"/>
  <c r="E363" i="1" s="1"/>
  <c r="F363" i="1"/>
  <c r="G363" i="1"/>
  <c r="H363" i="1"/>
  <c r="I363" i="1"/>
  <c r="J363" i="1"/>
  <c r="K363" i="1"/>
  <c r="L363" i="1"/>
  <c r="M363" i="1"/>
  <c r="N363" i="1"/>
  <c r="O363" i="1"/>
  <c r="B364" i="1"/>
  <c r="C364" i="1"/>
  <c r="E364" i="1" s="1"/>
  <c r="F364" i="1"/>
  <c r="G364" i="1"/>
  <c r="H364" i="1"/>
  <c r="I364" i="1"/>
  <c r="J364" i="1"/>
  <c r="K364" i="1"/>
  <c r="L364" i="1"/>
  <c r="M364" i="1"/>
  <c r="N364" i="1"/>
  <c r="O364" i="1"/>
  <c r="B365" i="1"/>
  <c r="C365" i="1"/>
  <c r="E365" i="1"/>
  <c r="F365" i="1"/>
  <c r="G365" i="1"/>
  <c r="H365" i="1"/>
  <c r="I365" i="1"/>
  <c r="J365" i="1"/>
  <c r="K365" i="1"/>
  <c r="L365" i="1"/>
  <c r="M365" i="1"/>
  <c r="N365" i="1"/>
  <c r="O365" i="1"/>
  <c r="B366" i="1"/>
  <c r="C366" i="1"/>
  <c r="E366" i="1" s="1"/>
  <c r="F366" i="1"/>
  <c r="G366" i="1"/>
  <c r="H366" i="1"/>
  <c r="I366" i="1"/>
  <c r="J366" i="1"/>
  <c r="K366" i="1"/>
  <c r="L366" i="1"/>
  <c r="M366" i="1"/>
  <c r="N366" i="1"/>
  <c r="O366" i="1"/>
  <c r="B367" i="1"/>
  <c r="C367" i="1"/>
  <c r="E367" i="1"/>
  <c r="F367" i="1"/>
  <c r="G367" i="1"/>
  <c r="H367" i="1"/>
  <c r="I367" i="1"/>
  <c r="J367" i="1"/>
  <c r="K367" i="1"/>
  <c r="L367" i="1"/>
  <c r="M367" i="1"/>
  <c r="N367" i="1"/>
  <c r="O367" i="1"/>
  <c r="B368" i="1"/>
  <c r="C368" i="1"/>
  <c r="E368" i="1" s="1"/>
  <c r="F368" i="1"/>
  <c r="G368" i="1"/>
  <c r="H368" i="1"/>
  <c r="I368" i="1"/>
  <c r="J368" i="1"/>
  <c r="K368" i="1"/>
  <c r="L368" i="1"/>
  <c r="M368" i="1"/>
  <c r="N368" i="1"/>
  <c r="O368" i="1"/>
  <c r="B369" i="1"/>
  <c r="C369" i="1"/>
  <c r="E369" i="1"/>
  <c r="F369" i="1"/>
  <c r="G369" i="1"/>
  <c r="H369" i="1"/>
  <c r="I369" i="1"/>
  <c r="J369" i="1"/>
  <c r="K369" i="1"/>
  <c r="L369" i="1"/>
  <c r="M369" i="1"/>
  <c r="N369" i="1"/>
  <c r="O369" i="1"/>
  <c r="B370" i="1"/>
  <c r="C370" i="1"/>
  <c r="E370" i="1" s="1"/>
  <c r="F370" i="1"/>
  <c r="G370" i="1"/>
  <c r="H370" i="1"/>
  <c r="I370" i="1"/>
  <c r="J370" i="1"/>
  <c r="K370" i="1"/>
  <c r="L370" i="1"/>
  <c r="M370" i="1"/>
  <c r="N370" i="1"/>
  <c r="O370" i="1"/>
  <c r="B371" i="1"/>
  <c r="C371" i="1"/>
  <c r="E371" i="1" s="1"/>
  <c r="F371" i="1"/>
  <c r="G371" i="1"/>
  <c r="H371" i="1"/>
  <c r="I371" i="1"/>
  <c r="J371" i="1"/>
  <c r="K371" i="1"/>
  <c r="L371" i="1"/>
  <c r="M371" i="1"/>
  <c r="N371" i="1"/>
  <c r="O371" i="1"/>
  <c r="B372" i="1"/>
  <c r="C372" i="1"/>
  <c r="E372" i="1" s="1"/>
  <c r="F372" i="1"/>
  <c r="G372" i="1"/>
  <c r="H372" i="1"/>
  <c r="I372" i="1"/>
  <c r="J372" i="1"/>
  <c r="K372" i="1"/>
  <c r="L372" i="1"/>
  <c r="M372" i="1"/>
  <c r="N372" i="1"/>
  <c r="O372" i="1"/>
  <c r="B373" i="1"/>
  <c r="C373" i="1"/>
  <c r="E373" i="1"/>
  <c r="F373" i="1"/>
  <c r="G373" i="1"/>
  <c r="H373" i="1"/>
  <c r="I373" i="1"/>
  <c r="J373" i="1"/>
  <c r="K373" i="1"/>
  <c r="L373" i="1"/>
  <c r="M373" i="1"/>
  <c r="N373" i="1"/>
  <c r="O373" i="1"/>
  <c r="B374" i="1"/>
  <c r="C374" i="1"/>
  <c r="E374" i="1" s="1"/>
  <c r="F374" i="1"/>
  <c r="G374" i="1"/>
  <c r="H374" i="1"/>
  <c r="I374" i="1"/>
  <c r="J374" i="1"/>
  <c r="K374" i="1"/>
  <c r="L374" i="1"/>
  <c r="M374" i="1"/>
  <c r="N374" i="1"/>
  <c r="O374" i="1"/>
  <c r="B375" i="1"/>
  <c r="C375" i="1"/>
  <c r="E375" i="1" s="1"/>
  <c r="F375" i="1"/>
  <c r="G375" i="1"/>
  <c r="H375" i="1"/>
  <c r="I375" i="1"/>
  <c r="J375" i="1"/>
  <c r="K375" i="1"/>
  <c r="L375" i="1"/>
  <c r="M375" i="1"/>
  <c r="N375" i="1"/>
  <c r="O375" i="1"/>
  <c r="B376" i="1"/>
  <c r="C376" i="1"/>
  <c r="E376" i="1" s="1"/>
  <c r="F376" i="1"/>
  <c r="G376" i="1"/>
  <c r="H376" i="1"/>
  <c r="I376" i="1"/>
  <c r="J376" i="1"/>
  <c r="K376" i="1"/>
  <c r="L376" i="1"/>
  <c r="M376" i="1"/>
  <c r="N376" i="1"/>
  <c r="O376" i="1"/>
  <c r="B377" i="1"/>
  <c r="C377" i="1"/>
  <c r="E377" i="1"/>
  <c r="F377" i="1"/>
  <c r="G377" i="1"/>
  <c r="H377" i="1"/>
  <c r="I377" i="1"/>
  <c r="J377" i="1"/>
  <c r="K377" i="1"/>
  <c r="L377" i="1"/>
  <c r="M377" i="1"/>
  <c r="N377" i="1"/>
  <c r="O377" i="1"/>
  <c r="B378" i="1"/>
  <c r="C378" i="1"/>
  <c r="E378" i="1"/>
  <c r="F378" i="1"/>
  <c r="G378" i="1"/>
  <c r="H378" i="1"/>
  <c r="I378" i="1"/>
  <c r="J378" i="1"/>
  <c r="K378" i="1"/>
  <c r="L378" i="1"/>
  <c r="M378" i="1"/>
  <c r="N378" i="1"/>
  <c r="O378" i="1"/>
  <c r="B379" i="1"/>
  <c r="C379" i="1"/>
  <c r="E379" i="1" s="1"/>
  <c r="F379" i="1"/>
  <c r="G379" i="1"/>
  <c r="H379" i="1"/>
  <c r="I379" i="1"/>
  <c r="J379" i="1"/>
  <c r="K379" i="1"/>
  <c r="L379" i="1"/>
  <c r="M379" i="1"/>
  <c r="N379" i="1"/>
  <c r="O379" i="1"/>
  <c r="B380" i="1"/>
  <c r="C380" i="1"/>
  <c r="E380" i="1" s="1"/>
  <c r="F380" i="1"/>
  <c r="G380" i="1"/>
  <c r="H380" i="1"/>
  <c r="I380" i="1"/>
  <c r="J380" i="1"/>
  <c r="K380" i="1"/>
  <c r="L380" i="1"/>
  <c r="M380" i="1"/>
  <c r="N380" i="1"/>
  <c r="O380" i="1"/>
  <c r="B381" i="1"/>
  <c r="C381" i="1"/>
  <c r="E381" i="1"/>
  <c r="F381" i="1"/>
  <c r="G381" i="1"/>
  <c r="H381" i="1"/>
  <c r="I381" i="1"/>
  <c r="J381" i="1"/>
  <c r="K381" i="1"/>
  <c r="L381" i="1"/>
  <c r="M381" i="1"/>
  <c r="N381" i="1"/>
  <c r="O381" i="1"/>
  <c r="B382" i="1"/>
  <c r="C382" i="1"/>
  <c r="E382" i="1" s="1"/>
  <c r="F382" i="1"/>
  <c r="G382" i="1"/>
  <c r="H382" i="1"/>
  <c r="I382" i="1"/>
  <c r="J382" i="1"/>
  <c r="K382" i="1"/>
  <c r="L382" i="1"/>
  <c r="M382" i="1"/>
  <c r="N382" i="1"/>
  <c r="O382" i="1"/>
  <c r="B383" i="1"/>
  <c r="C383" i="1"/>
  <c r="E383" i="1"/>
  <c r="F383" i="1"/>
  <c r="G383" i="1"/>
  <c r="H383" i="1"/>
  <c r="I383" i="1"/>
  <c r="J383" i="1"/>
  <c r="K383" i="1"/>
  <c r="L383" i="1"/>
  <c r="M383" i="1"/>
  <c r="N383" i="1"/>
  <c r="O383" i="1"/>
  <c r="B384" i="1"/>
  <c r="C384" i="1"/>
  <c r="E384" i="1" s="1"/>
  <c r="F384" i="1"/>
  <c r="G384" i="1"/>
  <c r="H384" i="1"/>
  <c r="I384" i="1"/>
  <c r="J384" i="1"/>
  <c r="K384" i="1"/>
  <c r="L384" i="1"/>
  <c r="M384" i="1"/>
  <c r="N384" i="1"/>
  <c r="O384" i="1"/>
  <c r="B385" i="1"/>
  <c r="C385" i="1"/>
  <c r="E385" i="1"/>
  <c r="F385" i="1"/>
  <c r="G385" i="1"/>
  <c r="H385" i="1"/>
  <c r="I385" i="1"/>
  <c r="J385" i="1"/>
  <c r="K385" i="1"/>
  <c r="L385" i="1"/>
  <c r="M385" i="1"/>
  <c r="N385" i="1"/>
  <c r="O385" i="1"/>
  <c r="B386" i="1"/>
  <c r="C386" i="1"/>
  <c r="E386" i="1" s="1"/>
  <c r="F386" i="1"/>
  <c r="G386" i="1"/>
  <c r="H386" i="1"/>
  <c r="I386" i="1"/>
  <c r="J386" i="1"/>
  <c r="K386" i="1"/>
  <c r="L386" i="1"/>
  <c r="M386" i="1"/>
  <c r="N386" i="1"/>
  <c r="O386" i="1"/>
  <c r="B387" i="1"/>
  <c r="C387" i="1"/>
  <c r="E387" i="1" s="1"/>
  <c r="F387" i="1"/>
  <c r="G387" i="1"/>
  <c r="H387" i="1"/>
  <c r="I387" i="1"/>
  <c r="J387" i="1"/>
  <c r="K387" i="1"/>
  <c r="L387" i="1"/>
  <c r="M387" i="1"/>
  <c r="N387" i="1"/>
  <c r="O387" i="1"/>
  <c r="B388" i="1"/>
  <c r="C388" i="1"/>
  <c r="E388" i="1" s="1"/>
  <c r="F388" i="1"/>
  <c r="G388" i="1"/>
  <c r="H388" i="1"/>
  <c r="I388" i="1"/>
  <c r="J388" i="1"/>
  <c r="K388" i="1"/>
  <c r="L388" i="1"/>
  <c r="M388" i="1"/>
  <c r="N388" i="1"/>
  <c r="O388" i="1"/>
  <c r="B389" i="1"/>
  <c r="C389" i="1"/>
  <c r="E389" i="1"/>
  <c r="F389" i="1"/>
  <c r="G389" i="1"/>
  <c r="H389" i="1"/>
  <c r="I389" i="1"/>
  <c r="J389" i="1"/>
  <c r="K389" i="1"/>
  <c r="L389" i="1"/>
  <c r="M389" i="1"/>
  <c r="N389" i="1"/>
  <c r="O389" i="1"/>
  <c r="B390" i="1"/>
  <c r="C390" i="1"/>
  <c r="E390" i="1" s="1"/>
  <c r="F390" i="1"/>
  <c r="G390" i="1"/>
  <c r="H390" i="1"/>
  <c r="I390" i="1"/>
  <c r="J390" i="1"/>
  <c r="K390" i="1"/>
  <c r="L390" i="1"/>
  <c r="M390" i="1"/>
  <c r="N390" i="1"/>
  <c r="O390" i="1"/>
  <c r="B391" i="1"/>
  <c r="C391" i="1"/>
  <c r="E391" i="1" s="1"/>
  <c r="F391" i="1"/>
  <c r="G391" i="1"/>
  <c r="H391" i="1"/>
  <c r="I391" i="1"/>
  <c r="J391" i="1"/>
  <c r="K391" i="1"/>
  <c r="L391" i="1"/>
  <c r="M391" i="1"/>
  <c r="N391" i="1"/>
  <c r="O391" i="1"/>
  <c r="B392" i="1"/>
  <c r="C392" i="1"/>
  <c r="E392" i="1" s="1"/>
  <c r="F392" i="1"/>
  <c r="G392" i="1"/>
  <c r="H392" i="1"/>
  <c r="I392" i="1"/>
  <c r="J392" i="1"/>
  <c r="K392" i="1"/>
  <c r="L392" i="1"/>
  <c r="M392" i="1"/>
  <c r="N392" i="1"/>
  <c r="O392" i="1"/>
  <c r="B393" i="1"/>
  <c r="C393" i="1"/>
  <c r="E393" i="1"/>
  <c r="F393" i="1"/>
  <c r="G393" i="1"/>
  <c r="H393" i="1"/>
  <c r="I393" i="1"/>
  <c r="J393" i="1"/>
  <c r="K393" i="1"/>
  <c r="L393" i="1"/>
  <c r="M393" i="1"/>
  <c r="N393" i="1"/>
  <c r="O393" i="1"/>
  <c r="B394" i="1"/>
  <c r="C394" i="1"/>
  <c r="E394" i="1"/>
  <c r="F394" i="1"/>
  <c r="G394" i="1"/>
  <c r="H394" i="1"/>
  <c r="I394" i="1"/>
  <c r="J394" i="1"/>
  <c r="K394" i="1"/>
  <c r="L394" i="1"/>
  <c r="M394" i="1"/>
  <c r="N394" i="1"/>
  <c r="O394" i="1"/>
  <c r="B395" i="1"/>
  <c r="C395" i="1"/>
  <c r="E395" i="1" s="1"/>
  <c r="F395" i="1"/>
  <c r="G395" i="1"/>
  <c r="H395" i="1"/>
  <c r="I395" i="1"/>
  <c r="J395" i="1"/>
  <c r="K395" i="1"/>
  <c r="L395" i="1"/>
  <c r="M395" i="1"/>
  <c r="N395" i="1"/>
  <c r="O395" i="1"/>
  <c r="B396" i="1"/>
  <c r="C396" i="1"/>
  <c r="E396" i="1" s="1"/>
  <c r="F396" i="1"/>
  <c r="G396" i="1"/>
  <c r="H396" i="1"/>
  <c r="I396" i="1"/>
  <c r="J396" i="1"/>
  <c r="K396" i="1"/>
  <c r="L396" i="1"/>
  <c r="M396" i="1"/>
  <c r="N396" i="1"/>
  <c r="O396" i="1"/>
  <c r="B397" i="1"/>
  <c r="C397" i="1"/>
  <c r="E397" i="1"/>
  <c r="F397" i="1"/>
  <c r="G397" i="1"/>
  <c r="H397" i="1"/>
  <c r="I397" i="1"/>
  <c r="J397" i="1"/>
  <c r="K397" i="1"/>
  <c r="L397" i="1"/>
  <c r="M397" i="1"/>
  <c r="N397" i="1"/>
  <c r="O397" i="1"/>
  <c r="B398" i="1"/>
  <c r="C398" i="1"/>
  <c r="E398" i="1" s="1"/>
  <c r="F398" i="1"/>
  <c r="G398" i="1"/>
  <c r="H398" i="1"/>
  <c r="I398" i="1"/>
  <c r="J398" i="1"/>
  <c r="K398" i="1"/>
  <c r="L398" i="1"/>
  <c r="M398" i="1"/>
  <c r="N398" i="1"/>
  <c r="O398" i="1"/>
  <c r="B399" i="1"/>
  <c r="C399" i="1"/>
  <c r="E399" i="1"/>
  <c r="F399" i="1"/>
  <c r="G399" i="1"/>
  <c r="H399" i="1"/>
  <c r="I399" i="1"/>
  <c r="J399" i="1"/>
  <c r="K399" i="1"/>
  <c r="L399" i="1"/>
  <c r="M399" i="1"/>
  <c r="N399" i="1"/>
  <c r="O399" i="1"/>
  <c r="B400" i="1"/>
  <c r="C400" i="1"/>
  <c r="E400" i="1" s="1"/>
  <c r="F400" i="1"/>
  <c r="G400" i="1"/>
  <c r="H400" i="1"/>
  <c r="I400" i="1"/>
  <c r="J400" i="1"/>
  <c r="K400" i="1"/>
  <c r="L400" i="1"/>
  <c r="M400" i="1"/>
  <c r="N400" i="1"/>
  <c r="O400" i="1"/>
  <c r="B401" i="1"/>
  <c r="C401" i="1"/>
  <c r="E401" i="1"/>
  <c r="F401" i="1"/>
  <c r="G401" i="1"/>
  <c r="H401" i="1"/>
  <c r="I401" i="1"/>
  <c r="J401" i="1"/>
  <c r="K401" i="1"/>
  <c r="L401" i="1"/>
  <c r="M401" i="1"/>
  <c r="N401" i="1"/>
  <c r="O401" i="1"/>
  <c r="B402" i="1"/>
  <c r="C402" i="1"/>
  <c r="E402" i="1" s="1"/>
  <c r="F402" i="1"/>
  <c r="G402" i="1"/>
  <c r="H402" i="1"/>
  <c r="I402" i="1"/>
  <c r="J402" i="1"/>
  <c r="K402" i="1"/>
  <c r="L402" i="1"/>
  <c r="M402" i="1"/>
  <c r="N402" i="1"/>
  <c r="O402" i="1"/>
  <c r="B403" i="1"/>
  <c r="C403" i="1"/>
  <c r="E403" i="1" s="1"/>
  <c r="F403" i="1"/>
  <c r="G403" i="1"/>
  <c r="H403" i="1"/>
  <c r="I403" i="1"/>
  <c r="J403" i="1"/>
  <c r="K403" i="1"/>
  <c r="L403" i="1"/>
  <c r="M403" i="1"/>
  <c r="N403" i="1"/>
  <c r="O403" i="1"/>
  <c r="B404" i="1"/>
  <c r="C404" i="1"/>
  <c r="E404" i="1" s="1"/>
  <c r="F404" i="1"/>
  <c r="G404" i="1"/>
  <c r="H404" i="1"/>
  <c r="I404" i="1"/>
  <c r="J404" i="1"/>
  <c r="K404" i="1"/>
  <c r="L404" i="1"/>
  <c r="M404" i="1"/>
  <c r="N404" i="1"/>
  <c r="O404" i="1"/>
  <c r="B405" i="1"/>
  <c r="C405" i="1"/>
  <c r="E405" i="1"/>
  <c r="F405" i="1"/>
  <c r="G405" i="1"/>
  <c r="H405" i="1"/>
  <c r="I405" i="1"/>
  <c r="J405" i="1"/>
  <c r="K405" i="1"/>
  <c r="L405" i="1"/>
  <c r="M405" i="1"/>
  <c r="N405" i="1"/>
  <c r="O405" i="1"/>
  <c r="B406" i="1"/>
  <c r="C406" i="1"/>
  <c r="E406" i="1" s="1"/>
  <c r="F406" i="1"/>
  <c r="G406" i="1"/>
  <c r="H406" i="1"/>
  <c r="I406" i="1"/>
  <c r="J406" i="1"/>
  <c r="K406" i="1"/>
  <c r="L406" i="1"/>
  <c r="M406" i="1"/>
  <c r="N406" i="1"/>
  <c r="O406" i="1"/>
  <c r="B407" i="1"/>
  <c r="C407" i="1"/>
  <c r="E407" i="1" s="1"/>
  <c r="F407" i="1"/>
  <c r="G407" i="1"/>
  <c r="H407" i="1"/>
  <c r="I407" i="1"/>
  <c r="J407" i="1"/>
  <c r="K407" i="1"/>
  <c r="L407" i="1"/>
  <c r="M407" i="1"/>
  <c r="N407" i="1"/>
  <c r="O407" i="1"/>
  <c r="B408" i="1"/>
  <c r="C408" i="1"/>
  <c r="E408" i="1" s="1"/>
  <c r="F408" i="1"/>
  <c r="G408" i="1"/>
  <c r="H408" i="1"/>
  <c r="I408" i="1"/>
  <c r="J408" i="1"/>
  <c r="K408" i="1"/>
  <c r="L408" i="1"/>
  <c r="M408" i="1"/>
  <c r="N408" i="1"/>
  <c r="O408" i="1"/>
  <c r="B409" i="1"/>
  <c r="C409" i="1"/>
  <c r="E409" i="1"/>
  <c r="F409" i="1"/>
  <c r="G409" i="1"/>
  <c r="H409" i="1"/>
  <c r="I409" i="1"/>
  <c r="J409" i="1"/>
  <c r="K409" i="1"/>
  <c r="L409" i="1"/>
  <c r="M409" i="1"/>
  <c r="N409" i="1"/>
  <c r="O409" i="1"/>
  <c r="B410" i="1"/>
  <c r="C410" i="1"/>
  <c r="E410" i="1" s="1"/>
  <c r="F410" i="1"/>
  <c r="G410" i="1"/>
  <c r="H410" i="1"/>
  <c r="I410" i="1"/>
  <c r="J410" i="1"/>
  <c r="K410" i="1"/>
  <c r="L410" i="1"/>
  <c r="M410" i="1"/>
  <c r="N410" i="1"/>
  <c r="O410" i="1"/>
  <c r="B411" i="1"/>
  <c r="C411" i="1"/>
  <c r="E411" i="1" s="1"/>
  <c r="F411" i="1"/>
  <c r="G411" i="1"/>
  <c r="H411" i="1"/>
  <c r="I411" i="1"/>
  <c r="J411" i="1"/>
  <c r="K411" i="1"/>
  <c r="L411" i="1"/>
  <c r="M411" i="1"/>
  <c r="N411" i="1"/>
  <c r="O411" i="1"/>
  <c r="B412" i="1"/>
  <c r="C412" i="1"/>
  <c r="E412" i="1" s="1"/>
  <c r="F412" i="1"/>
  <c r="G412" i="1"/>
  <c r="H412" i="1"/>
  <c r="I412" i="1"/>
  <c r="J412" i="1"/>
  <c r="K412" i="1"/>
  <c r="L412" i="1"/>
  <c r="M412" i="1"/>
  <c r="N412" i="1"/>
  <c r="O412" i="1"/>
  <c r="B413" i="1"/>
  <c r="C413" i="1"/>
  <c r="E413" i="1"/>
  <c r="F413" i="1"/>
  <c r="G413" i="1"/>
  <c r="H413" i="1"/>
  <c r="I413" i="1"/>
  <c r="J413" i="1"/>
  <c r="K413" i="1"/>
  <c r="L413" i="1"/>
  <c r="M413" i="1"/>
  <c r="N413" i="1"/>
  <c r="O413" i="1"/>
  <c r="B414" i="1"/>
  <c r="C414" i="1"/>
  <c r="E414" i="1" s="1"/>
  <c r="F414" i="1"/>
  <c r="G414" i="1"/>
  <c r="H414" i="1"/>
  <c r="I414" i="1"/>
  <c r="J414" i="1"/>
  <c r="K414" i="1"/>
  <c r="L414" i="1"/>
  <c r="M414" i="1"/>
  <c r="N414" i="1"/>
  <c r="O414" i="1"/>
  <c r="B415" i="1"/>
  <c r="C415" i="1"/>
  <c r="E415" i="1" s="1"/>
  <c r="F415" i="1"/>
  <c r="G415" i="1"/>
  <c r="H415" i="1"/>
  <c r="I415" i="1"/>
  <c r="J415" i="1"/>
  <c r="K415" i="1"/>
  <c r="L415" i="1"/>
  <c r="M415" i="1"/>
  <c r="N415" i="1"/>
  <c r="O415" i="1"/>
  <c r="B416" i="1"/>
  <c r="C416" i="1"/>
  <c r="E416" i="1" s="1"/>
  <c r="F416" i="1"/>
  <c r="G416" i="1"/>
  <c r="H416" i="1"/>
  <c r="I416" i="1"/>
  <c r="J416" i="1"/>
  <c r="K416" i="1"/>
  <c r="L416" i="1"/>
  <c r="M416" i="1"/>
  <c r="N416" i="1"/>
  <c r="O416" i="1"/>
  <c r="B417" i="1"/>
  <c r="C417" i="1"/>
  <c r="E417" i="1"/>
  <c r="F417" i="1"/>
  <c r="G417" i="1"/>
  <c r="H417" i="1"/>
  <c r="I417" i="1"/>
  <c r="J417" i="1"/>
  <c r="K417" i="1"/>
  <c r="L417" i="1"/>
  <c r="M417" i="1"/>
  <c r="N417" i="1"/>
  <c r="O417" i="1"/>
  <c r="B418" i="1"/>
  <c r="C418" i="1"/>
  <c r="E418" i="1" s="1"/>
  <c r="F418" i="1"/>
  <c r="G418" i="1"/>
  <c r="H418" i="1"/>
  <c r="I418" i="1"/>
  <c r="J418" i="1"/>
  <c r="K418" i="1"/>
  <c r="L418" i="1"/>
  <c r="M418" i="1"/>
  <c r="N418" i="1"/>
  <c r="O418" i="1"/>
  <c r="B419" i="1"/>
  <c r="C419" i="1"/>
  <c r="E419" i="1" s="1"/>
  <c r="F419" i="1"/>
  <c r="G419" i="1"/>
  <c r="H419" i="1"/>
  <c r="I419" i="1"/>
  <c r="J419" i="1"/>
  <c r="K419" i="1"/>
  <c r="L419" i="1"/>
  <c r="M419" i="1"/>
  <c r="N419" i="1"/>
  <c r="O419" i="1"/>
  <c r="B420" i="1"/>
  <c r="C420" i="1"/>
  <c r="E420" i="1" s="1"/>
  <c r="F420" i="1"/>
  <c r="G420" i="1"/>
  <c r="H420" i="1"/>
  <c r="I420" i="1"/>
  <c r="J420" i="1"/>
  <c r="K420" i="1"/>
  <c r="L420" i="1"/>
  <c r="M420" i="1"/>
  <c r="N420" i="1"/>
  <c r="O420" i="1"/>
  <c r="B421" i="1"/>
  <c r="C421" i="1"/>
  <c r="E421" i="1"/>
  <c r="F421" i="1"/>
  <c r="G421" i="1"/>
  <c r="H421" i="1"/>
  <c r="I421" i="1"/>
  <c r="J421" i="1"/>
  <c r="K421" i="1"/>
  <c r="L421" i="1"/>
  <c r="M421" i="1"/>
  <c r="N421" i="1"/>
  <c r="O421" i="1"/>
  <c r="B422" i="1"/>
  <c r="C422" i="1"/>
  <c r="E422" i="1" s="1"/>
  <c r="F422" i="1"/>
  <c r="G422" i="1"/>
  <c r="H422" i="1"/>
  <c r="I422" i="1"/>
  <c r="J422" i="1"/>
  <c r="K422" i="1"/>
  <c r="L422" i="1"/>
  <c r="M422" i="1"/>
  <c r="N422" i="1"/>
  <c r="O422" i="1"/>
  <c r="B423" i="1"/>
  <c r="C423" i="1"/>
  <c r="E423" i="1" s="1"/>
  <c r="F423" i="1"/>
  <c r="G423" i="1"/>
  <c r="H423" i="1"/>
  <c r="I423" i="1"/>
  <c r="J423" i="1"/>
  <c r="K423" i="1"/>
  <c r="L423" i="1"/>
  <c r="M423" i="1"/>
  <c r="N423" i="1"/>
  <c r="O423" i="1"/>
  <c r="B424" i="1"/>
  <c r="C424" i="1"/>
  <c r="E424" i="1" s="1"/>
  <c r="F424" i="1"/>
  <c r="G424" i="1"/>
  <c r="H424" i="1"/>
  <c r="I424" i="1"/>
  <c r="J424" i="1"/>
  <c r="K424" i="1"/>
  <c r="L424" i="1"/>
  <c r="M424" i="1"/>
  <c r="N424" i="1"/>
  <c r="O424" i="1"/>
  <c r="B425" i="1"/>
  <c r="C425" i="1"/>
  <c r="E425" i="1"/>
  <c r="F425" i="1"/>
  <c r="G425" i="1"/>
  <c r="H425" i="1"/>
  <c r="I425" i="1"/>
  <c r="J425" i="1"/>
  <c r="K425" i="1"/>
  <c r="L425" i="1"/>
  <c r="M425" i="1"/>
  <c r="N425" i="1"/>
  <c r="O425" i="1"/>
  <c r="B426" i="1"/>
  <c r="C426" i="1"/>
  <c r="E426" i="1" s="1"/>
  <c r="F426" i="1"/>
  <c r="G426" i="1"/>
  <c r="H426" i="1"/>
  <c r="I426" i="1"/>
  <c r="J426" i="1"/>
  <c r="K426" i="1"/>
  <c r="L426" i="1"/>
  <c r="M426" i="1"/>
  <c r="N426" i="1"/>
  <c r="O426" i="1"/>
  <c r="B427" i="1"/>
  <c r="C427" i="1"/>
  <c r="E427" i="1" s="1"/>
  <c r="F427" i="1"/>
  <c r="G427" i="1"/>
  <c r="H427" i="1"/>
  <c r="I427" i="1"/>
  <c r="J427" i="1"/>
  <c r="K427" i="1"/>
  <c r="L427" i="1"/>
  <c r="M427" i="1"/>
  <c r="N427" i="1"/>
  <c r="O427" i="1"/>
  <c r="B428" i="1"/>
  <c r="C428" i="1"/>
  <c r="E428" i="1" s="1"/>
  <c r="F428" i="1"/>
  <c r="G428" i="1"/>
  <c r="H428" i="1"/>
  <c r="I428" i="1"/>
  <c r="J428" i="1"/>
  <c r="K428" i="1"/>
  <c r="L428" i="1"/>
  <c r="M428" i="1"/>
  <c r="N428" i="1"/>
  <c r="O428" i="1"/>
  <c r="B429" i="1"/>
  <c r="C429" i="1"/>
  <c r="E429" i="1"/>
  <c r="F429" i="1"/>
  <c r="G429" i="1"/>
  <c r="H429" i="1"/>
  <c r="I429" i="1"/>
  <c r="J429" i="1"/>
  <c r="K429" i="1"/>
  <c r="L429" i="1"/>
  <c r="M429" i="1"/>
  <c r="N429" i="1"/>
  <c r="O429" i="1"/>
  <c r="B430" i="1"/>
  <c r="C430" i="1"/>
  <c r="E430" i="1" s="1"/>
  <c r="F430" i="1"/>
  <c r="G430" i="1"/>
  <c r="H430" i="1"/>
  <c r="I430" i="1"/>
  <c r="J430" i="1"/>
  <c r="K430" i="1"/>
  <c r="L430" i="1"/>
  <c r="M430" i="1"/>
  <c r="N430" i="1"/>
  <c r="O430" i="1"/>
  <c r="B431" i="1"/>
  <c r="C431" i="1"/>
  <c r="E431" i="1" s="1"/>
  <c r="F431" i="1"/>
  <c r="G431" i="1"/>
  <c r="H431" i="1"/>
  <c r="I431" i="1"/>
  <c r="J431" i="1"/>
  <c r="K431" i="1"/>
  <c r="L431" i="1"/>
  <c r="M431" i="1"/>
  <c r="N431" i="1"/>
  <c r="O431" i="1"/>
  <c r="B432" i="1"/>
  <c r="C432" i="1"/>
  <c r="E432" i="1" s="1"/>
  <c r="F432" i="1"/>
  <c r="G432" i="1"/>
  <c r="H432" i="1"/>
  <c r="I432" i="1"/>
  <c r="J432" i="1"/>
  <c r="K432" i="1"/>
  <c r="L432" i="1"/>
  <c r="M432" i="1"/>
  <c r="N432" i="1"/>
  <c r="O432" i="1"/>
  <c r="B433" i="1"/>
  <c r="C433" i="1"/>
  <c r="E433" i="1"/>
  <c r="F433" i="1"/>
  <c r="G433" i="1"/>
  <c r="H433" i="1"/>
  <c r="I433" i="1"/>
  <c r="J433" i="1"/>
  <c r="K433" i="1"/>
  <c r="L433" i="1"/>
  <c r="M433" i="1"/>
  <c r="N433" i="1"/>
  <c r="O433" i="1"/>
  <c r="B434" i="1"/>
  <c r="C434" i="1"/>
  <c r="E434" i="1" s="1"/>
  <c r="F434" i="1"/>
  <c r="G434" i="1"/>
  <c r="H434" i="1"/>
  <c r="I434" i="1"/>
  <c r="J434" i="1"/>
  <c r="K434" i="1"/>
  <c r="L434" i="1"/>
  <c r="M434" i="1"/>
  <c r="N434" i="1"/>
  <c r="O434" i="1"/>
  <c r="B435" i="1"/>
  <c r="C435" i="1"/>
  <c r="E435" i="1" s="1"/>
  <c r="F435" i="1"/>
  <c r="G435" i="1"/>
  <c r="H435" i="1"/>
  <c r="I435" i="1"/>
  <c r="J435" i="1"/>
  <c r="K435" i="1"/>
  <c r="L435" i="1"/>
  <c r="M435" i="1"/>
  <c r="N435" i="1"/>
  <c r="O435" i="1"/>
  <c r="B436" i="1"/>
  <c r="C436" i="1"/>
  <c r="E436" i="1" s="1"/>
  <c r="F436" i="1"/>
  <c r="G436" i="1"/>
  <c r="H436" i="1"/>
  <c r="I436" i="1"/>
  <c r="J436" i="1"/>
  <c r="K436" i="1"/>
  <c r="L436" i="1"/>
  <c r="M436" i="1"/>
  <c r="N436" i="1"/>
  <c r="O436" i="1"/>
  <c r="B437" i="1"/>
  <c r="C437" i="1"/>
  <c r="E437" i="1"/>
  <c r="F437" i="1"/>
  <c r="G437" i="1"/>
  <c r="H437" i="1"/>
  <c r="I437" i="1"/>
  <c r="J437" i="1"/>
  <c r="K437" i="1"/>
  <c r="L437" i="1"/>
  <c r="M437" i="1"/>
  <c r="N437" i="1"/>
  <c r="O437" i="1"/>
  <c r="B438" i="1"/>
  <c r="C438" i="1"/>
  <c r="E438" i="1" s="1"/>
  <c r="F438" i="1"/>
  <c r="G438" i="1"/>
  <c r="H438" i="1"/>
  <c r="I438" i="1"/>
  <c r="J438" i="1"/>
  <c r="K438" i="1"/>
  <c r="L438" i="1"/>
  <c r="M438" i="1"/>
  <c r="N438" i="1"/>
  <c r="O438" i="1"/>
  <c r="B439" i="1"/>
  <c r="C439" i="1"/>
  <c r="E439" i="1" s="1"/>
  <c r="F439" i="1"/>
  <c r="G439" i="1"/>
  <c r="H439" i="1"/>
  <c r="I439" i="1"/>
  <c r="J439" i="1"/>
  <c r="K439" i="1"/>
  <c r="L439" i="1"/>
  <c r="M439" i="1"/>
  <c r="N439" i="1"/>
  <c r="O439" i="1"/>
  <c r="B440" i="1"/>
  <c r="C440" i="1"/>
  <c r="E440" i="1" s="1"/>
  <c r="F440" i="1"/>
  <c r="G440" i="1"/>
  <c r="H440" i="1"/>
  <c r="I440" i="1"/>
  <c r="J440" i="1"/>
  <c r="K440" i="1"/>
  <c r="L440" i="1"/>
  <c r="M440" i="1"/>
  <c r="N440" i="1"/>
  <c r="O440" i="1"/>
  <c r="B441" i="1"/>
  <c r="C441" i="1"/>
  <c r="E441" i="1"/>
  <c r="F441" i="1"/>
  <c r="G441" i="1"/>
  <c r="H441" i="1"/>
  <c r="I441" i="1"/>
  <c r="J441" i="1"/>
  <c r="K441" i="1"/>
  <c r="L441" i="1"/>
  <c r="M441" i="1"/>
  <c r="N441" i="1"/>
  <c r="O441" i="1"/>
  <c r="B442" i="1"/>
  <c r="C442" i="1"/>
  <c r="E442" i="1" s="1"/>
  <c r="F442" i="1"/>
  <c r="G442" i="1"/>
  <c r="H442" i="1"/>
  <c r="I442" i="1"/>
  <c r="J442" i="1"/>
  <c r="K442" i="1"/>
  <c r="L442" i="1"/>
  <c r="M442" i="1"/>
  <c r="N442" i="1"/>
  <c r="O442" i="1"/>
  <c r="B443" i="1"/>
  <c r="C443" i="1"/>
  <c r="E443" i="1" s="1"/>
  <c r="F443" i="1"/>
  <c r="G443" i="1"/>
  <c r="H443" i="1"/>
  <c r="I443" i="1"/>
  <c r="J443" i="1"/>
  <c r="K443" i="1"/>
  <c r="L443" i="1"/>
  <c r="M443" i="1"/>
  <c r="N443" i="1"/>
  <c r="O443" i="1"/>
  <c r="B444" i="1"/>
  <c r="C444" i="1"/>
  <c r="E444" i="1" s="1"/>
  <c r="F444" i="1"/>
  <c r="G444" i="1"/>
  <c r="H444" i="1"/>
  <c r="I444" i="1"/>
  <c r="J444" i="1"/>
  <c r="K444" i="1"/>
  <c r="L444" i="1"/>
  <c r="M444" i="1"/>
  <c r="N444" i="1"/>
  <c r="O444" i="1"/>
  <c r="B445" i="1"/>
  <c r="C445" i="1"/>
  <c r="E445" i="1"/>
  <c r="F445" i="1"/>
  <c r="G445" i="1"/>
  <c r="H445" i="1"/>
  <c r="I445" i="1"/>
  <c r="J445" i="1"/>
  <c r="K445" i="1"/>
  <c r="L445" i="1"/>
  <c r="M445" i="1"/>
  <c r="N445" i="1"/>
  <c r="O445" i="1"/>
  <c r="B446" i="1"/>
  <c r="C446" i="1"/>
  <c r="E446" i="1" s="1"/>
  <c r="F446" i="1"/>
  <c r="G446" i="1"/>
  <c r="H446" i="1"/>
  <c r="I446" i="1"/>
  <c r="J446" i="1"/>
  <c r="K446" i="1"/>
  <c r="L446" i="1"/>
  <c r="M446" i="1"/>
  <c r="N446" i="1"/>
  <c r="O446" i="1"/>
  <c r="B447" i="1"/>
  <c r="C447" i="1"/>
  <c r="E447" i="1" s="1"/>
  <c r="F447" i="1"/>
  <c r="G447" i="1"/>
  <c r="H447" i="1"/>
  <c r="I447" i="1"/>
  <c r="J447" i="1"/>
  <c r="K447" i="1"/>
  <c r="L447" i="1"/>
  <c r="M447" i="1"/>
  <c r="N447" i="1"/>
  <c r="O447" i="1"/>
  <c r="B448" i="1"/>
  <c r="C448" i="1"/>
  <c r="E448" i="1" s="1"/>
  <c r="F448" i="1"/>
  <c r="G448" i="1"/>
  <c r="H448" i="1"/>
  <c r="I448" i="1"/>
  <c r="J448" i="1"/>
  <c r="K448" i="1"/>
  <c r="L448" i="1"/>
  <c r="M448" i="1"/>
  <c r="N448" i="1"/>
  <c r="O448" i="1"/>
  <c r="B449" i="1"/>
  <c r="C449" i="1"/>
  <c r="E449" i="1"/>
  <c r="F449" i="1"/>
  <c r="G449" i="1"/>
  <c r="H449" i="1"/>
  <c r="I449" i="1"/>
  <c r="J449" i="1"/>
  <c r="K449" i="1"/>
  <c r="L449" i="1"/>
  <c r="M449" i="1"/>
  <c r="N449" i="1"/>
  <c r="O449" i="1"/>
  <c r="B450" i="1"/>
  <c r="C450" i="1"/>
  <c r="E450" i="1" s="1"/>
  <c r="F450" i="1"/>
  <c r="G450" i="1"/>
  <c r="H450" i="1"/>
  <c r="I450" i="1"/>
  <c r="J450" i="1"/>
  <c r="K450" i="1"/>
  <c r="L450" i="1"/>
  <c r="M450" i="1"/>
  <c r="N450" i="1"/>
  <c r="O450" i="1"/>
  <c r="B451" i="1"/>
  <c r="C451" i="1"/>
  <c r="E451" i="1" s="1"/>
  <c r="F451" i="1"/>
  <c r="G451" i="1"/>
  <c r="H451" i="1"/>
  <c r="I451" i="1"/>
  <c r="J451" i="1"/>
  <c r="K451" i="1"/>
  <c r="L451" i="1"/>
  <c r="M451" i="1"/>
  <c r="N451" i="1"/>
  <c r="O451" i="1"/>
  <c r="B452" i="1"/>
  <c r="C452" i="1"/>
  <c r="E452" i="1" s="1"/>
  <c r="F452" i="1"/>
  <c r="G452" i="1"/>
  <c r="H452" i="1"/>
  <c r="I452" i="1"/>
  <c r="J452" i="1"/>
  <c r="K452" i="1"/>
  <c r="L452" i="1"/>
  <c r="M452" i="1"/>
  <c r="N452" i="1"/>
  <c r="O452" i="1"/>
  <c r="B453" i="1"/>
  <c r="C453" i="1"/>
  <c r="E453" i="1"/>
  <c r="F453" i="1"/>
  <c r="G453" i="1"/>
  <c r="H453" i="1"/>
  <c r="I453" i="1"/>
  <c r="J453" i="1"/>
  <c r="K453" i="1"/>
  <c r="L453" i="1"/>
  <c r="M453" i="1"/>
  <c r="N453" i="1"/>
  <c r="O453" i="1"/>
  <c r="B454" i="1"/>
  <c r="C454" i="1"/>
  <c r="E454" i="1" s="1"/>
  <c r="F454" i="1"/>
  <c r="G454" i="1"/>
  <c r="H454" i="1"/>
  <c r="I454" i="1"/>
  <c r="J454" i="1"/>
  <c r="K454" i="1"/>
  <c r="L454" i="1"/>
  <c r="M454" i="1"/>
  <c r="N454" i="1"/>
  <c r="O454" i="1"/>
  <c r="B455" i="1"/>
  <c r="C455" i="1"/>
  <c r="E455" i="1" s="1"/>
  <c r="F455" i="1"/>
  <c r="G455" i="1"/>
  <c r="H455" i="1"/>
  <c r="I455" i="1"/>
  <c r="J455" i="1"/>
  <c r="K455" i="1"/>
  <c r="L455" i="1"/>
  <c r="M455" i="1"/>
  <c r="N455" i="1"/>
  <c r="O455" i="1"/>
  <c r="B456" i="1"/>
  <c r="C456" i="1"/>
  <c r="E456" i="1" s="1"/>
  <c r="F456" i="1"/>
  <c r="G456" i="1"/>
  <c r="H456" i="1"/>
  <c r="I456" i="1"/>
  <c r="J456" i="1"/>
  <c r="K456" i="1"/>
  <c r="L456" i="1"/>
  <c r="M456" i="1"/>
  <c r="N456" i="1"/>
  <c r="O456" i="1"/>
  <c r="B457" i="1"/>
  <c r="C457" i="1"/>
  <c r="E457" i="1"/>
  <c r="F457" i="1"/>
  <c r="G457" i="1"/>
  <c r="H457" i="1"/>
  <c r="I457" i="1"/>
  <c r="J457" i="1"/>
  <c r="K457" i="1"/>
  <c r="L457" i="1"/>
  <c r="M457" i="1"/>
  <c r="N457" i="1"/>
  <c r="O457" i="1"/>
  <c r="B458" i="1"/>
  <c r="C458" i="1"/>
  <c r="E458" i="1" s="1"/>
  <c r="F458" i="1"/>
  <c r="G458" i="1"/>
  <c r="H458" i="1"/>
  <c r="I458" i="1"/>
  <c r="J458" i="1"/>
  <c r="K458" i="1"/>
  <c r="L458" i="1"/>
  <c r="M458" i="1"/>
  <c r="N458" i="1"/>
  <c r="O458" i="1"/>
  <c r="B459" i="1"/>
  <c r="C459" i="1"/>
  <c r="E459" i="1" s="1"/>
  <c r="F459" i="1"/>
  <c r="G459" i="1"/>
  <c r="H459" i="1"/>
  <c r="I459" i="1"/>
  <c r="J459" i="1"/>
  <c r="K459" i="1"/>
  <c r="L459" i="1"/>
  <c r="M459" i="1"/>
  <c r="N459" i="1"/>
  <c r="O459" i="1"/>
  <c r="B460" i="1"/>
  <c r="C460" i="1"/>
  <c r="E460" i="1" s="1"/>
  <c r="F460" i="1"/>
  <c r="G460" i="1"/>
  <c r="H460" i="1"/>
  <c r="I460" i="1"/>
  <c r="J460" i="1"/>
  <c r="K460" i="1"/>
  <c r="L460" i="1"/>
  <c r="M460" i="1"/>
  <c r="N460" i="1"/>
  <c r="O460" i="1"/>
  <c r="B461" i="1"/>
  <c r="C461" i="1"/>
  <c r="E461" i="1"/>
  <c r="F461" i="1"/>
  <c r="G461" i="1"/>
  <c r="H461" i="1"/>
  <c r="I461" i="1"/>
  <c r="J461" i="1"/>
  <c r="K461" i="1"/>
  <c r="L461" i="1"/>
  <c r="M461" i="1"/>
  <c r="N461" i="1"/>
  <c r="O461" i="1"/>
  <c r="B462" i="1"/>
  <c r="C462" i="1"/>
  <c r="E462" i="1" s="1"/>
  <c r="F462" i="1"/>
  <c r="G462" i="1"/>
  <c r="H462" i="1"/>
  <c r="I462" i="1"/>
  <c r="J462" i="1"/>
  <c r="K462" i="1"/>
  <c r="L462" i="1"/>
  <c r="M462" i="1"/>
  <c r="N462" i="1"/>
  <c r="O462" i="1"/>
  <c r="B463" i="1"/>
  <c r="C463" i="1"/>
  <c r="E463" i="1" s="1"/>
  <c r="F463" i="1"/>
  <c r="G463" i="1"/>
  <c r="H463" i="1"/>
  <c r="I463" i="1"/>
  <c r="J463" i="1"/>
  <c r="K463" i="1"/>
  <c r="L463" i="1"/>
  <c r="M463" i="1"/>
  <c r="N463" i="1"/>
  <c r="O463" i="1"/>
  <c r="B464" i="1"/>
  <c r="C464" i="1"/>
  <c r="E464" i="1" s="1"/>
  <c r="F464" i="1"/>
  <c r="G464" i="1"/>
  <c r="H464" i="1"/>
  <c r="I464" i="1"/>
  <c r="J464" i="1"/>
  <c r="K464" i="1"/>
  <c r="L464" i="1"/>
  <c r="M464" i="1"/>
  <c r="N464" i="1"/>
  <c r="O464" i="1"/>
  <c r="B465" i="1"/>
  <c r="C465" i="1"/>
  <c r="E465" i="1"/>
  <c r="F465" i="1"/>
  <c r="G465" i="1"/>
  <c r="H465" i="1"/>
  <c r="I465" i="1"/>
  <c r="J465" i="1"/>
  <c r="K465" i="1"/>
  <c r="L465" i="1"/>
  <c r="M465" i="1"/>
  <c r="N465" i="1"/>
  <c r="O465" i="1"/>
  <c r="B466" i="1"/>
  <c r="C466" i="1"/>
  <c r="E466" i="1" s="1"/>
  <c r="F466" i="1"/>
  <c r="G466" i="1"/>
  <c r="H466" i="1"/>
  <c r="I466" i="1"/>
  <c r="J466" i="1"/>
  <c r="K466" i="1"/>
  <c r="L466" i="1"/>
  <c r="M466" i="1"/>
  <c r="N466" i="1"/>
  <c r="O466" i="1"/>
  <c r="B467" i="1"/>
  <c r="C467" i="1"/>
  <c r="E467" i="1" s="1"/>
  <c r="F467" i="1"/>
  <c r="G467" i="1"/>
  <c r="H467" i="1"/>
  <c r="I467" i="1"/>
  <c r="J467" i="1"/>
  <c r="K467" i="1"/>
  <c r="L467" i="1"/>
  <c r="M467" i="1"/>
  <c r="N467" i="1"/>
  <c r="O467" i="1"/>
  <c r="B468" i="1"/>
  <c r="C468" i="1"/>
  <c r="E468" i="1" s="1"/>
  <c r="F468" i="1"/>
  <c r="G468" i="1"/>
  <c r="H468" i="1"/>
  <c r="I468" i="1"/>
  <c r="J468" i="1"/>
  <c r="K468" i="1"/>
  <c r="L468" i="1"/>
  <c r="M468" i="1"/>
  <c r="N468" i="1"/>
  <c r="O468" i="1"/>
  <c r="B469" i="1"/>
  <c r="C469" i="1"/>
  <c r="E469" i="1"/>
  <c r="F469" i="1"/>
  <c r="G469" i="1"/>
  <c r="H469" i="1"/>
  <c r="I469" i="1"/>
  <c r="J469" i="1"/>
  <c r="K469" i="1"/>
  <c r="L469" i="1"/>
  <c r="M469" i="1"/>
  <c r="N469" i="1"/>
  <c r="O469" i="1"/>
  <c r="B470" i="1"/>
  <c r="C470" i="1"/>
  <c r="E470" i="1" s="1"/>
  <c r="F470" i="1"/>
  <c r="G470" i="1"/>
  <c r="H470" i="1"/>
  <c r="I470" i="1"/>
  <c r="J470" i="1"/>
  <c r="K470" i="1"/>
  <c r="L470" i="1"/>
  <c r="M470" i="1"/>
  <c r="N470" i="1"/>
  <c r="O470" i="1"/>
  <c r="B471" i="1"/>
  <c r="C471" i="1"/>
  <c r="E471" i="1" s="1"/>
  <c r="F471" i="1"/>
  <c r="G471" i="1"/>
  <c r="H471" i="1"/>
  <c r="I471" i="1"/>
  <c r="J471" i="1"/>
  <c r="K471" i="1"/>
  <c r="L471" i="1"/>
  <c r="M471" i="1"/>
  <c r="N471" i="1"/>
  <c r="O471" i="1"/>
  <c r="B472" i="1"/>
  <c r="C472" i="1"/>
  <c r="E472" i="1" s="1"/>
  <c r="F472" i="1"/>
  <c r="G472" i="1"/>
  <c r="H472" i="1"/>
  <c r="I472" i="1"/>
  <c r="J472" i="1"/>
  <c r="K472" i="1"/>
  <c r="L472" i="1"/>
  <c r="M472" i="1"/>
  <c r="N472" i="1"/>
  <c r="O472" i="1"/>
  <c r="B473" i="1"/>
  <c r="C473" i="1"/>
  <c r="E473" i="1"/>
  <c r="F473" i="1"/>
  <c r="G473" i="1"/>
  <c r="H473" i="1"/>
  <c r="I473" i="1"/>
  <c r="J473" i="1"/>
  <c r="K473" i="1"/>
  <c r="L473" i="1"/>
  <c r="M473" i="1"/>
  <c r="N473" i="1"/>
  <c r="O473" i="1"/>
  <c r="B474" i="1"/>
  <c r="C474" i="1"/>
  <c r="E474" i="1" s="1"/>
  <c r="F474" i="1"/>
  <c r="G474" i="1"/>
  <c r="H474" i="1"/>
  <c r="I474" i="1"/>
  <c r="J474" i="1"/>
  <c r="K474" i="1"/>
  <c r="L474" i="1"/>
  <c r="M474" i="1"/>
  <c r="N474" i="1"/>
  <c r="O474" i="1"/>
  <c r="B475" i="1"/>
  <c r="C475" i="1"/>
  <c r="E475" i="1" s="1"/>
  <c r="F475" i="1"/>
  <c r="G475" i="1"/>
  <c r="H475" i="1"/>
  <c r="I475" i="1"/>
  <c r="J475" i="1"/>
  <c r="K475" i="1"/>
  <c r="L475" i="1"/>
  <c r="M475" i="1"/>
  <c r="N475" i="1"/>
  <c r="O475" i="1"/>
  <c r="B476" i="1"/>
  <c r="C476" i="1"/>
  <c r="E476" i="1" s="1"/>
  <c r="F476" i="1"/>
  <c r="G476" i="1"/>
  <c r="H476" i="1"/>
  <c r="I476" i="1"/>
  <c r="J476" i="1"/>
  <c r="K476" i="1"/>
  <c r="L476" i="1"/>
  <c r="M476" i="1"/>
  <c r="N476" i="1"/>
  <c r="O476" i="1"/>
  <c r="B477" i="1"/>
  <c r="C477" i="1"/>
  <c r="E477" i="1"/>
  <c r="F477" i="1"/>
  <c r="G477" i="1"/>
  <c r="H477" i="1"/>
  <c r="I477" i="1"/>
  <c r="J477" i="1"/>
  <c r="K477" i="1"/>
  <c r="L477" i="1"/>
  <c r="M477" i="1"/>
  <c r="N477" i="1"/>
  <c r="O477" i="1"/>
  <c r="B478" i="1"/>
  <c r="C478" i="1"/>
  <c r="E478" i="1" s="1"/>
  <c r="F478" i="1"/>
  <c r="G478" i="1"/>
  <c r="H478" i="1"/>
  <c r="I478" i="1"/>
  <c r="J478" i="1"/>
  <c r="K478" i="1"/>
  <c r="L478" i="1"/>
  <c r="M478" i="1"/>
  <c r="N478" i="1"/>
  <c r="O478" i="1"/>
  <c r="B479" i="1"/>
  <c r="C479" i="1"/>
  <c r="E479" i="1" s="1"/>
  <c r="F479" i="1"/>
  <c r="G479" i="1"/>
  <c r="H479" i="1"/>
  <c r="I479" i="1"/>
  <c r="J479" i="1"/>
  <c r="K479" i="1"/>
  <c r="L479" i="1"/>
  <c r="M479" i="1"/>
  <c r="N479" i="1"/>
  <c r="O479" i="1"/>
  <c r="B480" i="1"/>
  <c r="C480" i="1"/>
  <c r="E480" i="1" s="1"/>
  <c r="F480" i="1"/>
  <c r="G480" i="1"/>
  <c r="H480" i="1"/>
  <c r="I480" i="1"/>
  <c r="J480" i="1"/>
  <c r="K480" i="1"/>
  <c r="L480" i="1"/>
  <c r="M480" i="1"/>
  <c r="N480" i="1"/>
  <c r="O480" i="1"/>
  <c r="B481" i="1"/>
  <c r="C481" i="1"/>
  <c r="E481" i="1"/>
  <c r="F481" i="1"/>
  <c r="G481" i="1"/>
  <c r="H481" i="1"/>
  <c r="I481" i="1"/>
  <c r="J481" i="1"/>
  <c r="K481" i="1"/>
  <c r="L481" i="1"/>
  <c r="M481" i="1"/>
  <c r="N481" i="1"/>
  <c r="O481" i="1"/>
  <c r="B482" i="1"/>
  <c r="C482" i="1"/>
  <c r="E482" i="1" s="1"/>
  <c r="F482" i="1"/>
  <c r="G482" i="1"/>
  <c r="H482" i="1"/>
  <c r="I482" i="1"/>
  <c r="J482" i="1"/>
  <c r="K482" i="1"/>
  <c r="L482" i="1"/>
  <c r="M482" i="1"/>
  <c r="N482" i="1"/>
  <c r="O482" i="1"/>
  <c r="B483" i="1"/>
  <c r="C483" i="1"/>
  <c r="E483" i="1" s="1"/>
  <c r="F483" i="1"/>
  <c r="G483" i="1"/>
  <c r="H483" i="1"/>
  <c r="I483" i="1"/>
  <c r="J483" i="1"/>
  <c r="K483" i="1"/>
  <c r="L483" i="1"/>
  <c r="M483" i="1"/>
  <c r="N483" i="1"/>
  <c r="O483" i="1"/>
  <c r="B484" i="1"/>
  <c r="C484" i="1"/>
  <c r="E484" i="1" s="1"/>
  <c r="F484" i="1"/>
  <c r="G484" i="1"/>
  <c r="H484" i="1"/>
  <c r="I484" i="1"/>
  <c r="J484" i="1"/>
  <c r="K484" i="1"/>
  <c r="L484" i="1"/>
  <c r="M484" i="1"/>
  <c r="N484" i="1"/>
  <c r="O484" i="1"/>
  <c r="B485" i="1"/>
  <c r="C485" i="1"/>
  <c r="E485" i="1"/>
  <c r="F485" i="1"/>
  <c r="G485" i="1"/>
  <c r="H485" i="1"/>
  <c r="I485" i="1"/>
  <c r="J485" i="1"/>
  <c r="K485" i="1"/>
  <c r="L485" i="1"/>
  <c r="M485" i="1"/>
  <c r="N485" i="1"/>
  <c r="O485" i="1"/>
  <c r="B486" i="1"/>
  <c r="C486" i="1"/>
  <c r="E486" i="1" s="1"/>
  <c r="F486" i="1"/>
  <c r="G486" i="1"/>
  <c r="H486" i="1"/>
  <c r="I486" i="1"/>
  <c r="J486" i="1"/>
  <c r="K486" i="1"/>
  <c r="L486" i="1"/>
  <c r="M486" i="1"/>
  <c r="N486" i="1"/>
  <c r="O486" i="1"/>
  <c r="B487" i="1"/>
  <c r="C487" i="1"/>
  <c r="E487" i="1" s="1"/>
  <c r="F487" i="1"/>
  <c r="G487" i="1"/>
  <c r="H487" i="1"/>
  <c r="I487" i="1"/>
  <c r="J487" i="1"/>
  <c r="K487" i="1"/>
  <c r="L487" i="1"/>
  <c r="M487" i="1"/>
  <c r="N487" i="1"/>
  <c r="O487" i="1"/>
  <c r="B488" i="1"/>
  <c r="C488" i="1"/>
  <c r="E488" i="1" s="1"/>
  <c r="F488" i="1"/>
  <c r="G488" i="1"/>
  <c r="H488" i="1"/>
  <c r="I488" i="1"/>
  <c r="J488" i="1"/>
  <c r="K488" i="1"/>
  <c r="L488" i="1"/>
  <c r="M488" i="1"/>
  <c r="N488" i="1"/>
  <c r="O488" i="1"/>
  <c r="B489" i="1"/>
  <c r="C489" i="1"/>
  <c r="E489" i="1"/>
  <c r="F489" i="1"/>
  <c r="G489" i="1"/>
  <c r="H489" i="1"/>
  <c r="I489" i="1"/>
  <c r="J489" i="1"/>
  <c r="K489" i="1"/>
  <c r="L489" i="1"/>
  <c r="M489" i="1"/>
  <c r="N489" i="1"/>
  <c r="O489" i="1"/>
  <c r="B490" i="1"/>
  <c r="C490" i="1"/>
  <c r="E490" i="1" s="1"/>
  <c r="F490" i="1"/>
  <c r="G490" i="1"/>
  <c r="H490" i="1"/>
  <c r="I490" i="1"/>
  <c r="J490" i="1"/>
  <c r="K490" i="1"/>
  <c r="L490" i="1"/>
  <c r="M490" i="1"/>
  <c r="N490" i="1"/>
  <c r="O490" i="1"/>
  <c r="B491" i="1"/>
  <c r="C491" i="1"/>
  <c r="E491" i="1" s="1"/>
  <c r="F491" i="1"/>
  <c r="G491" i="1"/>
  <c r="H491" i="1"/>
  <c r="I491" i="1"/>
  <c r="J491" i="1"/>
  <c r="K491" i="1"/>
  <c r="L491" i="1"/>
  <c r="M491" i="1"/>
  <c r="N491" i="1"/>
  <c r="O491" i="1"/>
  <c r="B492" i="1"/>
  <c r="C492" i="1"/>
  <c r="E492" i="1" s="1"/>
  <c r="F492" i="1"/>
  <c r="G492" i="1"/>
  <c r="H492" i="1"/>
  <c r="I492" i="1"/>
  <c r="J492" i="1"/>
  <c r="K492" i="1"/>
  <c r="L492" i="1"/>
  <c r="M492" i="1"/>
  <c r="N492" i="1"/>
  <c r="O492" i="1"/>
  <c r="B493" i="1"/>
  <c r="C493" i="1"/>
  <c r="E493" i="1"/>
  <c r="F493" i="1"/>
  <c r="G493" i="1"/>
  <c r="H493" i="1"/>
  <c r="I493" i="1"/>
  <c r="J493" i="1"/>
  <c r="K493" i="1"/>
  <c r="L493" i="1"/>
  <c r="M493" i="1"/>
  <c r="N493" i="1"/>
  <c r="O493" i="1"/>
  <c r="B494" i="1"/>
  <c r="C494" i="1"/>
  <c r="E494" i="1" s="1"/>
  <c r="F494" i="1"/>
  <c r="G494" i="1"/>
  <c r="H494" i="1"/>
  <c r="I494" i="1"/>
  <c r="J494" i="1"/>
  <c r="K494" i="1"/>
  <c r="L494" i="1"/>
  <c r="M494" i="1"/>
  <c r="N494" i="1"/>
  <c r="O494" i="1"/>
  <c r="B495" i="1"/>
  <c r="C495" i="1"/>
  <c r="E495" i="1" s="1"/>
  <c r="F495" i="1"/>
  <c r="G495" i="1"/>
  <c r="H495" i="1"/>
  <c r="I495" i="1"/>
  <c r="J495" i="1"/>
  <c r="K495" i="1"/>
  <c r="L495" i="1"/>
  <c r="M495" i="1"/>
  <c r="N495" i="1"/>
  <c r="O495" i="1"/>
  <c r="B496" i="1"/>
  <c r="C496" i="1"/>
  <c r="E496" i="1" s="1"/>
  <c r="F496" i="1"/>
  <c r="G496" i="1"/>
  <c r="H496" i="1"/>
  <c r="I496" i="1"/>
  <c r="J496" i="1"/>
  <c r="K496" i="1"/>
  <c r="L496" i="1"/>
  <c r="M496" i="1"/>
  <c r="N496" i="1"/>
  <c r="O496" i="1"/>
  <c r="B497" i="1"/>
  <c r="C497" i="1"/>
  <c r="E497" i="1"/>
  <c r="F497" i="1"/>
  <c r="G497" i="1"/>
  <c r="H497" i="1"/>
  <c r="I497" i="1"/>
  <c r="J497" i="1"/>
  <c r="K497" i="1"/>
  <c r="L497" i="1"/>
  <c r="M497" i="1"/>
  <c r="N497" i="1"/>
  <c r="O497" i="1"/>
  <c r="B498" i="1"/>
  <c r="C498" i="1"/>
  <c r="E498" i="1" s="1"/>
  <c r="F498" i="1"/>
  <c r="G498" i="1"/>
  <c r="H498" i="1"/>
  <c r="I498" i="1"/>
  <c r="J498" i="1"/>
  <c r="K498" i="1"/>
  <c r="L498" i="1"/>
  <c r="M498" i="1"/>
  <c r="N498" i="1"/>
  <c r="O498" i="1"/>
  <c r="B499" i="1"/>
  <c r="C499" i="1"/>
  <c r="E499" i="1" s="1"/>
  <c r="F499" i="1"/>
  <c r="G499" i="1"/>
  <c r="H499" i="1"/>
  <c r="I499" i="1"/>
  <c r="J499" i="1"/>
  <c r="K499" i="1"/>
  <c r="L499" i="1"/>
  <c r="M499" i="1"/>
  <c r="N499" i="1"/>
  <c r="O499" i="1"/>
  <c r="B500" i="1"/>
  <c r="C500" i="1"/>
  <c r="E500" i="1" s="1"/>
  <c r="F500" i="1"/>
  <c r="G500" i="1"/>
  <c r="H500" i="1"/>
  <c r="I500" i="1"/>
  <c r="J500" i="1"/>
  <c r="K500" i="1"/>
  <c r="L500" i="1"/>
  <c r="M500" i="1"/>
  <c r="N500" i="1"/>
  <c r="O500" i="1"/>
  <c r="E117" i="1"/>
  <c r="E107" i="1"/>
  <c r="E115" i="1"/>
  <c r="E113" i="1"/>
  <c r="E23" i="13" s="1"/>
  <c r="E111" i="1"/>
  <c r="E95" i="1"/>
  <c r="E87" i="1"/>
  <c r="E91" i="1"/>
  <c r="E109" i="1"/>
  <c r="E105" i="1"/>
  <c r="E89" i="1"/>
  <c r="E93" i="1"/>
  <c r="E101" i="1"/>
  <c r="E99" i="1"/>
  <c r="E103" i="1"/>
  <c r="E85" i="1"/>
  <c r="E83" i="1"/>
  <c r="E81" i="1"/>
  <c r="E79" i="1"/>
  <c r="E77" i="1"/>
  <c r="E75" i="1"/>
  <c r="E71" i="1"/>
  <c r="E59" i="1"/>
  <c r="E67" i="1"/>
  <c r="E65" i="1"/>
  <c r="E73" i="1"/>
  <c r="E63" i="1"/>
  <c r="E69" i="1"/>
  <c r="E57" i="1"/>
  <c r="C302" i="13"/>
  <c r="C302" i="12"/>
  <c r="D302" i="12"/>
  <c r="F302" i="12"/>
  <c r="H302" i="12"/>
  <c r="C172" i="9"/>
  <c r="C301" i="7"/>
  <c r="C301" i="6"/>
  <c r="H301" i="6" s="1"/>
  <c r="E301" i="1"/>
  <c r="E302" i="12"/>
  <c r="H301" i="13"/>
  <c r="N171" i="9"/>
  <c r="B301" i="13"/>
  <c r="B300" i="6"/>
  <c r="G300" i="13"/>
  <c r="M170" i="9"/>
  <c r="F170" i="9"/>
  <c r="K170" i="9" s="1"/>
  <c r="F299" i="7"/>
  <c r="C298" i="13"/>
  <c r="C298" i="12"/>
  <c r="G298" i="12"/>
  <c r="F298" i="12"/>
  <c r="H298" i="12"/>
  <c r="C168" i="9"/>
  <c r="C297" i="6"/>
  <c r="H297" i="13"/>
  <c r="N167" i="9"/>
  <c r="B297" i="13"/>
  <c r="B296" i="6"/>
  <c r="G296" i="13"/>
  <c r="M166" i="9"/>
  <c r="F296" i="13"/>
  <c r="F166" i="9"/>
  <c r="K166" i="9" s="1"/>
  <c r="F295" i="7"/>
  <c r="F295" i="6"/>
  <c r="C294" i="12"/>
  <c r="G294" i="12"/>
  <c r="D294" i="12"/>
  <c r="H294" i="12"/>
  <c r="C164" i="9"/>
  <c r="C293" i="7"/>
  <c r="C293" i="6"/>
  <c r="H293" i="6" s="1"/>
  <c r="L293" i="6" s="1"/>
  <c r="H293" i="13"/>
  <c r="N163" i="9"/>
  <c r="B293" i="13"/>
  <c r="B292" i="6"/>
  <c r="G292" i="13"/>
  <c r="M162" i="9"/>
  <c r="F292" i="13"/>
  <c r="F162" i="9"/>
  <c r="K162" i="9" s="1"/>
  <c r="F291" i="7"/>
  <c r="F291" i="6"/>
  <c r="C290" i="13"/>
  <c r="C290" i="12"/>
  <c r="G290" i="12"/>
  <c r="D290" i="12"/>
  <c r="F290" i="12"/>
  <c r="H290" i="12"/>
  <c r="C160" i="9"/>
  <c r="C289" i="7"/>
  <c r="C289" i="6"/>
  <c r="H289" i="6" s="1"/>
  <c r="E289" i="1"/>
  <c r="H289" i="13"/>
  <c r="N159" i="9"/>
  <c r="B289" i="13"/>
  <c r="B288" i="6"/>
  <c r="G288" i="13"/>
  <c r="M158" i="9"/>
  <c r="F288" i="13"/>
  <c r="F158" i="9"/>
  <c r="K158" i="9" s="1"/>
  <c r="F287" i="7"/>
  <c r="F287" i="6"/>
  <c r="E286" i="13"/>
  <c r="E156" i="9"/>
  <c r="E285" i="6"/>
  <c r="E282" i="13"/>
  <c r="E152" i="9"/>
  <c r="E278" i="13"/>
  <c r="E148" i="9"/>
  <c r="E277" i="6"/>
  <c r="E144" i="9"/>
  <c r="E273" i="6"/>
  <c r="E270" i="13"/>
  <c r="E140" i="9"/>
  <c r="E269" i="6"/>
  <c r="E266" i="13"/>
  <c r="E136" i="9"/>
  <c r="E262" i="13"/>
  <c r="E132" i="9"/>
  <c r="E261" i="6"/>
  <c r="E128" i="9"/>
  <c r="E257" i="6"/>
  <c r="E254" i="13"/>
  <c r="E124" i="9"/>
  <c r="E253" i="6"/>
  <c r="E250" i="13"/>
  <c r="E120" i="9"/>
  <c r="E246" i="13"/>
  <c r="E116" i="9"/>
  <c r="E245" i="6"/>
  <c r="E112" i="9"/>
  <c r="E241" i="6"/>
  <c r="E238" i="13"/>
  <c r="E108" i="9"/>
  <c r="E237" i="6"/>
  <c r="E234" i="13"/>
  <c r="E104" i="9"/>
  <c r="E233" i="6"/>
  <c r="E230" i="13"/>
  <c r="E100" i="9"/>
  <c r="E229" i="6"/>
  <c r="E226" i="13"/>
  <c r="E96" i="9"/>
  <c r="E225" i="6"/>
  <c r="E222" i="13"/>
  <c r="E92" i="9"/>
  <c r="E221" i="6"/>
  <c r="E218" i="13"/>
  <c r="E88" i="9"/>
  <c r="E217" i="6"/>
  <c r="E214" i="13"/>
  <c r="E84" i="9"/>
  <c r="E213" i="6"/>
  <c r="E210" i="13"/>
  <c r="E80" i="9"/>
  <c r="E209" i="6"/>
  <c r="E206" i="13"/>
  <c r="E76" i="9"/>
  <c r="E205" i="6"/>
  <c r="E202" i="13"/>
  <c r="E72" i="9"/>
  <c r="E201" i="6"/>
  <c r="E198" i="13"/>
  <c r="E68" i="9"/>
  <c r="E197" i="6"/>
  <c r="E194" i="13"/>
  <c r="E64" i="9"/>
  <c r="E193" i="6"/>
  <c r="E190" i="13"/>
  <c r="E60" i="9"/>
  <c r="E189" i="6"/>
  <c r="E186" i="13"/>
  <c r="E56" i="9"/>
  <c r="E185" i="6"/>
  <c r="E182" i="13"/>
  <c r="E52" i="9"/>
  <c r="E181" i="6"/>
  <c r="E178" i="13"/>
  <c r="E48" i="9"/>
  <c r="E177" i="6"/>
  <c r="E174" i="13"/>
  <c r="E44" i="9"/>
  <c r="E173" i="6"/>
  <c r="E170" i="13"/>
  <c r="E40" i="9"/>
  <c r="E169" i="6"/>
  <c r="E166" i="13"/>
  <c r="E36" i="9"/>
  <c r="E165" i="6"/>
  <c r="E162" i="13"/>
  <c r="E32" i="9"/>
  <c r="E161" i="6"/>
  <c r="E158" i="13"/>
  <c r="E28" i="9"/>
  <c r="E157" i="6"/>
  <c r="E154" i="13"/>
  <c r="E24" i="9"/>
  <c r="E153" i="6"/>
  <c r="E150" i="13"/>
  <c r="E20" i="9"/>
  <c r="E149" i="6"/>
  <c r="H303" i="13"/>
  <c r="N173" i="9"/>
  <c r="E303" i="13"/>
  <c r="E173" i="9"/>
  <c r="E302" i="6"/>
  <c r="B303" i="13"/>
  <c r="G302" i="13"/>
  <c r="M172" i="9"/>
  <c r="F302" i="13"/>
  <c r="F172" i="9"/>
  <c r="K172" i="9" s="1"/>
  <c r="F301" i="7"/>
  <c r="F301" i="6"/>
  <c r="C300" i="13"/>
  <c r="C300" i="12"/>
  <c r="G300" i="12"/>
  <c r="D300" i="12"/>
  <c r="H300" i="12"/>
  <c r="C170" i="9"/>
  <c r="C299" i="7"/>
  <c r="C299" i="6"/>
  <c r="H299" i="6" s="1"/>
  <c r="E299" i="1"/>
  <c r="E300" i="12" s="1"/>
  <c r="H299" i="13"/>
  <c r="N169" i="9"/>
  <c r="E299" i="13"/>
  <c r="E169" i="9"/>
  <c r="E298" i="6"/>
  <c r="B299" i="13"/>
  <c r="B298" i="6"/>
  <c r="M168" i="9"/>
  <c r="F298" i="13"/>
  <c r="F168" i="9"/>
  <c r="K168" i="9" s="1"/>
  <c r="F297" i="7"/>
  <c r="F297" i="6"/>
  <c r="C296" i="13"/>
  <c r="C296" i="12"/>
  <c r="G296" i="12"/>
  <c r="D296" i="12"/>
  <c r="F296" i="12"/>
  <c r="H296" i="12"/>
  <c r="C166" i="9"/>
  <c r="B166" i="9" s="1"/>
  <c r="C295" i="7"/>
  <c r="C295" i="6"/>
  <c r="H295" i="6" s="1"/>
  <c r="E295" i="1"/>
  <c r="H295" i="13"/>
  <c r="N165" i="9"/>
  <c r="E295" i="13"/>
  <c r="E165" i="9"/>
  <c r="E294" i="6"/>
  <c r="B295" i="13"/>
  <c r="B294" i="6"/>
  <c r="G294" i="13"/>
  <c r="M164" i="9"/>
  <c r="F294" i="13"/>
  <c r="F164" i="9"/>
  <c r="K164" i="9" s="1"/>
  <c r="F293" i="7"/>
  <c r="F293" i="6"/>
  <c r="C292" i="13"/>
  <c r="C292" i="12"/>
  <c r="G292" i="12"/>
  <c r="D292" i="12"/>
  <c r="F292" i="12"/>
  <c r="H292" i="12"/>
  <c r="C162" i="9"/>
  <c r="C291" i="7"/>
  <c r="C291" i="6"/>
  <c r="H291" i="6" s="1"/>
  <c r="E291" i="1"/>
  <c r="E292" i="12"/>
  <c r="H291" i="13"/>
  <c r="N161" i="9"/>
  <c r="E161" i="9"/>
  <c r="E290" i="6"/>
  <c r="B291" i="13"/>
  <c r="B290" i="6"/>
  <c r="G290" i="13"/>
  <c r="M160" i="9"/>
  <c r="F290" i="13"/>
  <c r="F160" i="9"/>
  <c r="K160" i="9" s="1"/>
  <c r="F289" i="7"/>
  <c r="F289" i="6"/>
  <c r="C288" i="13"/>
  <c r="C288" i="12"/>
  <c r="G288" i="12"/>
  <c r="D288" i="12"/>
  <c r="F288" i="12"/>
  <c r="H288" i="12"/>
  <c r="C158" i="9"/>
  <c r="C287" i="7"/>
  <c r="C287" i="6"/>
  <c r="H287" i="6" s="1"/>
  <c r="E287" i="1"/>
  <c r="H287" i="13"/>
  <c r="N157" i="9"/>
  <c r="E284" i="13"/>
  <c r="E154" i="9"/>
  <c r="E283" i="6"/>
  <c r="E280" i="13"/>
  <c r="E150" i="9"/>
  <c r="E279" i="6"/>
  <c r="E276" i="13"/>
  <c r="E146" i="9"/>
  <c r="E275" i="6"/>
  <c r="E272" i="13"/>
  <c r="E142" i="9"/>
  <c r="E271" i="6"/>
  <c r="E268" i="13"/>
  <c r="E138" i="9"/>
  <c r="E267" i="6"/>
  <c r="E264" i="13"/>
  <c r="E134" i="9"/>
  <c r="E263" i="6"/>
  <c r="E260" i="13"/>
  <c r="E130" i="9"/>
  <c r="E259" i="6"/>
  <c r="E256" i="13"/>
  <c r="E126" i="9"/>
  <c r="E255" i="6"/>
  <c r="E252" i="13"/>
  <c r="E122" i="9"/>
  <c r="E251" i="6"/>
  <c r="E248" i="13"/>
  <c r="E118" i="9"/>
  <c r="E247" i="6"/>
  <c r="E244" i="13"/>
  <c r="E114" i="9"/>
  <c r="E243" i="6"/>
  <c r="E240" i="13"/>
  <c r="E110" i="9"/>
  <c r="E239" i="6"/>
  <c r="E236" i="13"/>
  <c r="E106" i="9"/>
  <c r="E235" i="6"/>
  <c r="E232" i="13"/>
  <c r="E102" i="9"/>
  <c r="E231" i="6"/>
  <c r="E228" i="13"/>
  <c r="E98" i="9"/>
  <c r="E227" i="6"/>
  <c r="E224" i="13"/>
  <c r="E94" i="9"/>
  <c r="E223" i="6"/>
  <c r="E220" i="13"/>
  <c r="E90" i="9"/>
  <c r="E219" i="6"/>
  <c r="E216" i="13"/>
  <c r="E86" i="9"/>
  <c r="E215" i="6"/>
  <c r="E212" i="13"/>
  <c r="E82" i="9"/>
  <c r="E211" i="6"/>
  <c r="E208" i="13"/>
  <c r="E78" i="9"/>
  <c r="E207" i="6"/>
  <c r="E204" i="13"/>
  <c r="E74" i="9"/>
  <c r="E203" i="6"/>
  <c r="E200" i="13"/>
  <c r="E70" i="9"/>
  <c r="E199" i="6"/>
  <c r="E196" i="13"/>
  <c r="E66" i="9"/>
  <c r="E195" i="6"/>
  <c r="E192" i="13"/>
  <c r="E62" i="9"/>
  <c r="E191" i="6"/>
  <c r="E188" i="13"/>
  <c r="E58" i="9"/>
  <c r="E187" i="6"/>
  <c r="E184" i="13"/>
  <c r="E54" i="9"/>
  <c r="E183" i="6"/>
  <c r="E180" i="13"/>
  <c r="E50" i="9"/>
  <c r="E179" i="6"/>
  <c r="E176" i="13"/>
  <c r="E46" i="9"/>
  <c r="E175" i="6"/>
  <c r="E172" i="13"/>
  <c r="E42" i="9"/>
  <c r="E171" i="6"/>
  <c r="E168" i="13"/>
  <c r="E38" i="9"/>
  <c r="E167" i="6"/>
  <c r="E164" i="13"/>
  <c r="E34" i="9"/>
  <c r="E163" i="6"/>
  <c r="E160" i="13"/>
  <c r="E30" i="9"/>
  <c r="E159" i="6"/>
  <c r="E156" i="13"/>
  <c r="E26" i="9"/>
  <c r="E155" i="6"/>
  <c r="E152" i="13"/>
  <c r="E22" i="9"/>
  <c r="E151" i="6"/>
  <c r="E148" i="13"/>
  <c r="E18" i="9"/>
  <c r="E147" i="6"/>
  <c r="G303" i="13"/>
  <c r="M173" i="9"/>
  <c r="F303" i="13"/>
  <c r="F302" i="6"/>
  <c r="F302" i="7"/>
  <c r="C303" i="13"/>
  <c r="D303" i="12"/>
  <c r="F303" i="12"/>
  <c r="H303" i="12"/>
  <c r="C303" i="12"/>
  <c r="E303" i="12"/>
  <c r="G303" i="12"/>
  <c r="C173" i="9"/>
  <c r="C302" i="7"/>
  <c r="H302" i="7" s="1"/>
  <c r="C302" i="6"/>
  <c r="H302" i="6" s="1"/>
  <c r="H302" i="13"/>
  <c r="N172" i="9"/>
  <c r="B302" i="13"/>
  <c r="B301" i="6"/>
  <c r="M171" i="9"/>
  <c r="F301" i="13"/>
  <c r="F171" i="9"/>
  <c r="K171" i="9" s="1"/>
  <c r="F300" i="6"/>
  <c r="F300" i="7"/>
  <c r="C301" i="13"/>
  <c r="D301" i="12"/>
  <c r="F301" i="12"/>
  <c r="H301" i="12"/>
  <c r="C301" i="12"/>
  <c r="C171" i="9"/>
  <c r="C300" i="7"/>
  <c r="H300" i="7" s="1"/>
  <c r="C300" i="6"/>
  <c r="H300" i="6" s="1"/>
  <c r="H300" i="13"/>
  <c r="N170" i="9"/>
  <c r="B300" i="13"/>
  <c r="B299" i="6"/>
  <c r="G299" i="13"/>
  <c r="M169" i="9"/>
  <c r="F299" i="13"/>
  <c r="F169" i="9"/>
  <c r="K169" i="9" s="1"/>
  <c r="F298" i="6"/>
  <c r="F298" i="7"/>
  <c r="C299" i="13"/>
  <c r="D299" i="12"/>
  <c r="F299" i="12"/>
  <c r="H299" i="12"/>
  <c r="C299" i="12"/>
  <c r="E299" i="12"/>
  <c r="G299" i="12"/>
  <c r="C169" i="9"/>
  <c r="C298" i="7"/>
  <c r="H298" i="7" s="1"/>
  <c r="C298" i="6"/>
  <c r="H298" i="6" s="1"/>
  <c r="H298" i="13"/>
  <c r="N168" i="9"/>
  <c r="B298" i="13"/>
  <c r="B297" i="6"/>
  <c r="G297" i="13"/>
  <c r="M167" i="9"/>
  <c r="F297" i="13"/>
  <c r="F167" i="9"/>
  <c r="K167" i="9" s="1"/>
  <c r="F296" i="6"/>
  <c r="F296" i="7"/>
  <c r="C297" i="13"/>
  <c r="D297" i="12"/>
  <c r="F297" i="12"/>
  <c r="H297" i="12"/>
  <c r="C297" i="12"/>
  <c r="G297" i="12"/>
  <c r="C167" i="9"/>
  <c r="C296" i="7"/>
  <c r="H296" i="7" s="1"/>
  <c r="C296" i="6"/>
  <c r="H296" i="6" s="1"/>
  <c r="H296" i="13"/>
  <c r="N166" i="9"/>
  <c r="B296" i="13"/>
  <c r="B295" i="6"/>
  <c r="G295" i="13"/>
  <c r="M165" i="9"/>
  <c r="F295" i="13"/>
  <c r="F165" i="9"/>
  <c r="K165" i="9" s="1"/>
  <c r="F294" i="6"/>
  <c r="F294" i="7"/>
  <c r="C295" i="13"/>
  <c r="D295" i="12"/>
  <c r="F295" i="12"/>
  <c r="H295" i="12"/>
  <c r="C295" i="12"/>
  <c r="E295" i="12"/>
  <c r="G295" i="12"/>
  <c r="C165" i="9"/>
  <c r="C294" i="7"/>
  <c r="H294" i="7" s="1"/>
  <c r="C294" i="6"/>
  <c r="H294" i="6" s="1"/>
  <c r="H294" i="13"/>
  <c r="N164" i="9"/>
  <c r="B294" i="13"/>
  <c r="B293" i="6"/>
  <c r="G293" i="13"/>
  <c r="M163" i="9"/>
  <c r="F293" i="13"/>
  <c r="F163" i="9"/>
  <c r="K163" i="9" s="1"/>
  <c r="F292" i="6"/>
  <c r="F292" i="7"/>
  <c r="C293" i="13"/>
  <c r="D293" i="12"/>
  <c r="F293" i="12"/>
  <c r="C293" i="12"/>
  <c r="G293" i="12"/>
  <c r="C163" i="9"/>
  <c r="C292" i="7"/>
  <c r="H292" i="7" s="1"/>
  <c r="C292" i="6"/>
  <c r="H292" i="6" s="1"/>
  <c r="H292" i="13"/>
  <c r="N162" i="9"/>
  <c r="B292" i="13"/>
  <c r="B291" i="6"/>
  <c r="M161" i="9"/>
  <c r="F291" i="13"/>
  <c r="F161" i="9"/>
  <c r="K161" i="9" s="1"/>
  <c r="F290" i="6"/>
  <c r="F290" i="7"/>
  <c r="C291" i="13"/>
  <c r="F291" i="12"/>
  <c r="H291" i="12"/>
  <c r="C291" i="12"/>
  <c r="G291" i="12"/>
  <c r="C161" i="9"/>
  <c r="L161" i="9" s="1"/>
  <c r="C290" i="7"/>
  <c r="H290" i="7" s="1"/>
  <c r="C290" i="6"/>
  <c r="H290" i="6" s="1"/>
  <c r="H290" i="13"/>
  <c r="B290" i="13"/>
  <c r="B289" i="6"/>
  <c r="G289" i="13"/>
  <c r="M159" i="9"/>
  <c r="F289" i="13"/>
  <c r="F159" i="9"/>
  <c r="K159" i="9" s="1"/>
  <c r="F288" i="7"/>
  <c r="C289" i="13"/>
  <c r="D289" i="12"/>
  <c r="H289" i="12"/>
  <c r="C289" i="12"/>
  <c r="G289" i="12"/>
  <c r="C159" i="9"/>
  <c r="C288" i="7"/>
  <c r="H288" i="7" s="1"/>
  <c r="C288" i="6"/>
  <c r="H288" i="6" s="1"/>
  <c r="H288" i="13"/>
  <c r="N158" i="9"/>
  <c r="B287" i="6"/>
  <c r="G287" i="13"/>
  <c r="M157" i="9"/>
  <c r="F287" i="13"/>
  <c r="F157" i="9"/>
  <c r="K157" i="9" s="1"/>
  <c r="F286" i="6"/>
  <c r="F286" i="7"/>
  <c r="C287" i="13"/>
  <c r="D287" i="12"/>
  <c r="F287" i="12"/>
  <c r="H287" i="12"/>
  <c r="C287" i="12"/>
  <c r="E287" i="12"/>
  <c r="G287" i="12"/>
  <c r="C157" i="9"/>
  <c r="C286" i="7"/>
  <c r="H286" i="7" s="1"/>
  <c r="C286" i="6"/>
  <c r="H286" i="6" s="1"/>
  <c r="H286" i="13"/>
  <c r="N156" i="9"/>
  <c r="B286" i="13"/>
  <c r="B285" i="6"/>
  <c r="G285" i="13"/>
  <c r="M155" i="9"/>
  <c r="F285" i="13"/>
  <c r="F155" i="9"/>
  <c r="K155" i="9" s="1"/>
  <c r="F284" i="6"/>
  <c r="F284" i="7"/>
  <c r="C285" i="13"/>
  <c r="D285" i="12"/>
  <c r="F285" i="12"/>
  <c r="H285" i="12"/>
  <c r="C285" i="12"/>
  <c r="E285" i="12"/>
  <c r="G285" i="12"/>
  <c r="C155" i="9"/>
  <c r="C284" i="7"/>
  <c r="H284" i="7" s="1"/>
  <c r="C284" i="6"/>
  <c r="H284" i="6" s="1"/>
  <c r="H284" i="13"/>
  <c r="N154" i="9"/>
  <c r="B284" i="13"/>
  <c r="B283" i="6"/>
  <c r="G283" i="13"/>
  <c r="M153" i="9"/>
  <c r="F283" i="13"/>
  <c r="F153" i="9"/>
  <c r="K153" i="9" s="1"/>
  <c r="F282" i="6"/>
  <c r="F282" i="7"/>
  <c r="C283" i="13"/>
  <c r="D283" i="12"/>
  <c r="F283" i="12"/>
  <c r="H283" i="12"/>
  <c r="C283" i="12"/>
  <c r="E283" i="12"/>
  <c r="G283" i="12"/>
  <c r="C153" i="9"/>
  <c r="C282" i="7"/>
  <c r="H282" i="7" s="1"/>
  <c r="C282" i="6"/>
  <c r="H282" i="6" s="1"/>
  <c r="H282" i="13"/>
  <c r="N152" i="9"/>
  <c r="B282" i="13"/>
  <c r="B281" i="6"/>
  <c r="G281" i="13"/>
  <c r="M151" i="9"/>
  <c r="F281" i="13"/>
  <c r="F151" i="9"/>
  <c r="K151" i="9" s="1"/>
  <c r="F280" i="6"/>
  <c r="F280" i="7"/>
  <c r="C281" i="13"/>
  <c r="D281" i="12"/>
  <c r="F281" i="12"/>
  <c r="H281" i="12"/>
  <c r="C281" i="12"/>
  <c r="E281" i="12"/>
  <c r="G281" i="12"/>
  <c r="C151" i="9"/>
  <c r="C280" i="7"/>
  <c r="H280" i="7" s="1"/>
  <c r="C280" i="6"/>
  <c r="H280" i="6" s="1"/>
  <c r="H280" i="13"/>
  <c r="N150" i="9"/>
  <c r="B280" i="13"/>
  <c r="B279" i="6"/>
  <c r="G279" i="13"/>
  <c r="M149" i="9"/>
  <c r="F279" i="13"/>
  <c r="F149" i="9"/>
  <c r="K149" i="9" s="1"/>
  <c r="F278" i="6"/>
  <c r="F278" i="7"/>
  <c r="C279" i="13"/>
  <c r="D279" i="12"/>
  <c r="F279" i="12"/>
  <c r="H279" i="12"/>
  <c r="C279" i="12"/>
  <c r="E279" i="12"/>
  <c r="G279" i="12"/>
  <c r="C149" i="9"/>
  <c r="C278" i="7"/>
  <c r="H278" i="7" s="1"/>
  <c r="C278" i="6"/>
  <c r="H278" i="6" s="1"/>
  <c r="H278" i="13"/>
  <c r="N148" i="9"/>
  <c r="B278" i="13"/>
  <c r="B277" i="6"/>
  <c r="G277" i="13"/>
  <c r="M147" i="9"/>
  <c r="F277" i="13"/>
  <c r="F147" i="9"/>
  <c r="K147" i="9" s="1"/>
  <c r="F276" i="6"/>
  <c r="F276" i="7"/>
  <c r="C277" i="13"/>
  <c r="D277" i="12"/>
  <c r="F277" i="12"/>
  <c r="H277" i="12"/>
  <c r="C277" i="12"/>
  <c r="E277" i="12"/>
  <c r="G277" i="12"/>
  <c r="C147" i="9"/>
  <c r="C276" i="7"/>
  <c r="H276" i="7" s="1"/>
  <c r="C276" i="6"/>
  <c r="H276" i="6" s="1"/>
  <c r="H276" i="13"/>
  <c r="N146" i="9"/>
  <c r="B276" i="13"/>
  <c r="B275" i="6"/>
  <c r="G275" i="13"/>
  <c r="M145" i="9"/>
  <c r="F275" i="13"/>
  <c r="F145" i="9"/>
  <c r="K145" i="9" s="1"/>
  <c r="F274" i="6"/>
  <c r="F274" i="7"/>
  <c r="C275" i="13"/>
  <c r="D275" i="12"/>
  <c r="F275" i="12"/>
  <c r="H275" i="12"/>
  <c r="C275" i="12"/>
  <c r="E275" i="12"/>
  <c r="G275" i="12"/>
  <c r="C145" i="9"/>
  <c r="C274" i="7"/>
  <c r="H274" i="7" s="1"/>
  <c r="C274" i="6"/>
  <c r="H274" i="6" s="1"/>
  <c r="H274" i="13"/>
  <c r="N144" i="9"/>
  <c r="B274" i="13"/>
  <c r="B273" i="6"/>
  <c r="G273" i="13"/>
  <c r="M143" i="9"/>
  <c r="F273" i="13"/>
  <c r="F143" i="9"/>
  <c r="K143" i="9" s="1"/>
  <c r="F272" i="6"/>
  <c r="F272" i="7"/>
  <c r="C273" i="13"/>
  <c r="D273" i="12"/>
  <c r="F273" i="12"/>
  <c r="H273" i="12"/>
  <c r="C273" i="12"/>
  <c r="E273" i="12"/>
  <c r="G273" i="12"/>
  <c r="C143" i="9"/>
  <c r="C272" i="7"/>
  <c r="H272" i="7" s="1"/>
  <c r="C272" i="6"/>
  <c r="H272" i="6" s="1"/>
  <c r="H272" i="13"/>
  <c r="N142" i="9"/>
  <c r="B272" i="13"/>
  <c r="B271" i="6"/>
  <c r="G271" i="13"/>
  <c r="M141" i="9"/>
  <c r="F271" i="13"/>
  <c r="F141" i="9"/>
  <c r="K141" i="9" s="1"/>
  <c r="F270" i="6"/>
  <c r="F270" i="7"/>
  <c r="C271" i="13"/>
  <c r="D271" i="12"/>
  <c r="F271" i="12"/>
  <c r="H271" i="12"/>
  <c r="C271" i="12"/>
  <c r="E271" i="12"/>
  <c r="G271" i="12"/>
  <c r="C141" i="9"/>
  <c r="C270" i="7"/>
  <c r="H270" i="7" s="1"/>
  <c r="C270" i="6"/>
  <c r="H270" i="6" s="1"/>
  <c r="H270" i="13"/>
  <c r="N140" i="9"/>
  <c r="B270" i="13"/>
  <c r="B269" i="6"/>
  <c r="G269" i="13"/>
  <c r="M139" i="9"/>
  <c r="F269" i="13"/>
  <c r="F139" i="9"/>
  <c r="K139" i="9" s="1"/>
  <c r="F268" i="6"/>
  <c r="F268" i="7"/>
  <c r="C269" i="13"/>
  <c r="D269" i="12"/>
  <c r="F269" i="12"/>
  <c r="H269" i="12"/>
  <c r="C269" i="12"/>
  <c r="E269" i="12"/>
  <c r="G269" i="12"/>
  <c r="C139" i="9"/>
  <c r="C268" i="7"/>
  <c r="H268" i="7" s="1"/>
  <c r="C268" i="6"/>
  <c r="H268" i="6" s="1"/>
  <c r="H268" i="13"/>
  <c r="N138" i="9"/>
  <c r="B268" i="13"/>
  <c r="B267" i="6"/>
  <c r="G267" i="13"/>
  <c r="M137" i="9"/>
  <c r="F267" i="13"/>
  <c r="F137" i="9"/>
  <c r="K137" i="9" s="1"/>
  <c r="F266" i="6"/>
  <c r="F266" i="7"/>
  <c r="C267" i="13"/>
  <c r="D267" i="12"/>
  <c r="F267" i="12"/>
  <c r="H267" i="12"/>
  <c r="C267" i="12"/>
  <c r="E267" i="12"/>
  <c r="G267" i="12"/>
  <c r="C137" i="9"/>
  <c r="C266" i="7"/>
  <c r="H266" i="7" s="1"/>
  <c r="C266" i="6"/>
  <c r="H266" i="6" s="1"/>
  <c r="H266" i="13"/>
  <c r="N136" i="9"/>
  <c r="B266" i="13"/>
  <c r="B265" i="6"/>
  <c r="G265" i="13"/>
  <c r="M135" i="9"/>
  <c r="F265" i="13"/>
  <c r="F135" i="9"/>
  <c r="K135" i="9" s="1"/>
  <c r="F264" i="6"/>
  <c r="F264" i="7"/>
  <c r="C265" i="13"/>
  <c r="D265" i="12"/>
  <c r="F265" i="12"/>
  <c r="H265" i="12"/>
  <c r="C265" i="12"/>
  <c r="E265" i="12"/>
  <c r="G265" i="12"/>
  <c r="C135" i="9"/>
  <c r="C264" i="7"/>
  <c r="H264" i="7" s="1"/>
  <c r="C264" i="6"/>
  <c r="H264" i="6" s="1"/>
  <c r="H264" i="13"/>
  <c r="N134" i="9"/>
  <c r="B264" i="13"/>
  <c r="B263" i="6"/>
  <c r="G263" i="13"/>
  <c r="M133" i="9"/>
  <c r="F263" i="13"/>
  <c r="F133" i="9"/>
  <c r="K133" i="9" s="1"/>
  <c r="F262" i="6"/>
  <c r="F262" i="7"/>
  <c r="C263" i="13"/>
  <c r="D263" i="12"/>
  <c r="F263" i="12"/>
  <c r="H263" i="12"/>
  <c r="C263" i="12"/>
  <c r="E263" i="12"/>
  <c r="G263" i="12"/>
  <c r="C133" i="9"/>
  <c r="C262" i="7"/>
  <c r="H262" i="7" s="1"/>
  <c r="C262" i="6"/>
  <c r="H262" i="6" s="1"/>
  <c r="H262" i="13"/>
  <c r="N132" i="9"/>
  <c r="B262" i="13"/>
  <c r="B261" i="6"/>
  <c r="G261" i="13"/>
  <c r="M131" i="9"/>
  <c r="F261" i="13"/>
  <c r="F131" i="9"/>
  <c r="K131" i="9" s="1"/>
  <c r="F260" i="6"/>
  <c r="F260" i="7"/>
  <c r="C261" i="13"/>
  <c r="D261" i="12"/>
  <c r="F261" i="12"/>
  <c r="H261" i="12"/>
  <c r="C261" i="12"/>
  <c r="E261" i="12"/>
  <c r="G261" i="12"/>
  <c r="C131" i="9"/>
  <c r="C260" i="7"/>
  <c r="H260" i="7" s="1"/>
  <c r="C260" i="6"/>
  <c r="H260" i="6" s="1"/>
  <c r="H260" i="13"/>
  <c r="N130" i="9"/>
  <c r="B260" i="13"/>
  <c r="B259" i="6"/>
  <c r="G259" i="13"/>
  <c r="M129" i="9"/>
  <c r="F259" i="13"/>
  <c r="F129" i="9"/>
  <c r="K129" i="9" s="1"/>
  <c r="F258" i="6"/>
  <c r="F258" i="7"/>
  <c r="C259" i="13"/>
  <c r="D259" i="12"/>
  <c r="F259" i="12"/>
  <c r="H259" i="12"/>
  <c r="C259" i="12"/>
  <c r="E259" i="12"/>
  <c r="G259" i="12"/>
  <c r="C129" i="9"/>
  <c r="C258" i="7"/>
  <c r="H258" i="7" s="1"/>
  <c r="C258" i="6"/>
  <c r="H258" i="6" s="1"/>
  <c r="H258" i="13"/>
  <c r="N128" i="9"/>
  <c r="B258" i="13"/>
  <c r="B257" i="6"/>
  <c r="G257" i="13"/>
  <c r="M127" i="9"/>
  <c r="F257" i="13"/>
  <c r="F127" i="9"/>
  <c r="K127" i="9" s="1"/>
  <c r="F256" i="6"/>
  <c r="F256" i="7"/>
  <c r="C257" i="13"/>
  <c r="D257" i="12"/>
  <c r="F257" i="12"/>
  <c r="H257" i="12"/>
  <c r="C257" i="12"/>
  <c r="E257" i="12"/>
  <c r="G257" i="12"/>
  <c r="C127" i="9"/>
  <c r="C256" i="7"/>
  <c r="H256" i="7" s="1"/>
  <c r="C256" i="6"/>
  <c r="H256" i="6" s="1"/>
  <c r="H256" i="13"/>
  <c r="N126" i="9"/>
  <c r="B256" i="13"/>
  <c r="B255" i="6"/>
  <c r="G255" i="13"/>
  <c r="M125" i="9"/>
  <c r="F255" i="13"/>
  <c r="F125" i="9"/>
  <c r="K125" i="9" s="1"/>
  <c r="F254" i="6"/>
  <c r="F254" i="7"/>
  <c r="C255" i="13"/>
  <c r="D255" i="12"/>
  <c r="F255" i="12"/>
  <c r="H255" i="12"/>
  <c r="C255" i="12"/>
  <c r="E255" i="12"/>
  <c r="G255" i="12"/>
  <c r="C125" i="9"/>
  <c r="C254" i="7"/>
  <c r="H254" i="7" s="1"/>
  <c r="C254" i="6"/>
  <c r="H254" i="6" s="1"/>
  <c r="H254" i="13"/>
  <c r="N124" i="9"/>
  <c r="B254" i="13"/>
  <c r="B253" i="6"/>
  <c r="G253" i="13"/>
  <c r="M123" i="9"/>
  <c r="F253" i="13"/>
  <c r="F123" i="9"/>
  <c r="K123" i="9" s="1"/>
  <c r="F252" i="6"/>
  <c r="F252" i="7"/>
  <c r="C253" i="13"/>
  <c r="D253" i="12"/>
  <c r="F253" i="12"/>
  <c r="H253" i="12"/>
  <c r="C253" i="12"/>
  <c r="E253" i="12"/>
  <c r="G253" i="12"/>
  <c r="C123" i="9"/>
  <c r="C252" i="7"/>
  <c r="H252" i="7" s="1"/>
  <c r="C252" i="6"/>
  <c r="H252" i="6" s="1"/>
  <c r="H252" i="13"/>
  <c r="N122" i="9"/>
  <c r="B252" i="13"/>
  <c r="B251" i="6"/>
  <c r="G251" i="13"/>
  <c r="M121" i="9"/>
  <c r="F251" i="13"/>
  <c r="F121" i="9"/>
  <c r="K121" i="9" s="1"/>
  <c r="F250" i="6"/>
  <c r="F250" i="7"/>
  <c r="C251" i="13"/>
  <c r="D251" i="12"/>
  <c r="F251" i="12"/>
  <c r="H251" i="12"/>
  <c r="C251" i="12"/>
  <c r="E251" i="12"/>
  <c r="G251" i="12"/>
  <c r="C121" i="9"/>
  <c r="C250" i="7"/>
  <c r="H250" i="7" s="1"/>
  <c r="C250" i="6"/>
  <c r="H250" i="6" s="1"/>
  <c r="H250" i="13"/>
  <c r="N120" i="9"/>
  <c r="B250" i="13"/>
  <c r="B249" i="6"/>
  <c r="G249" i="13"/>
  <c r="M119" i="9"/>
  <c r="F249" i="13"/>
  <c r="F119" i="9"/>
  <c r="K119" i="9" s="1"/>
  <c r="F248" i="6"/>
  <c r="F248" i="7"/>
  <c r="C249" i="13"/>
  <c r="D249" i="12"/>
  <c r="F249" i="12"/>
  <c r="H249" i="12"/>
  <c r="C249" i="12"/>
  <c r="E249" i="12"/>
  <c r="G249" i="12"/>
  <c r="C119" i="9"/>
  <c r="C248" i="7"/>
  <c r="H248" i="7" s="1"/>
  <c r="C248" i="6"/>
  <c r="H248" i="6" s="1"/>
  <c r="H248" i="13"/>
  <c r="N118" i="9"/>
  <c r="B248" i="13"/>
  <c r="B247" i="6"/>
  <c r="G247" i="13"/>
  <c r="M117" i="9"/>
  <c r="F247" i="13"/>
  <c r="F117" i="9"/>
  <c r="K117" i="9" s="1"/>
  <c r="F246" i="6"/>
  <c r="F246" i="7"/>
  <c r="C247" i="13"/>
  <c r="D247" i="12"/>
  <c r="F247" i="12"/>
  <c r="H247" i="12"/>
  <c r="C247" i="12"/>
  <c r="E247" i="12"/>
  <c r="G247" i="12"/>
  <c r="C117" i="9"/>
  <c r="C246" i="7"/>
  <c r="H246" i="7" s="1"/>
  <c r="C246" i="6"/>
  <c r="H246" i="6" s="1"/>
  <c r="H246" i="13"/>
  <c r="N116" i="9"/>
  <c r="B246" i="13"/>
  <c r="B245" i="6"/>
  <c r="G245" i="13"/>
  <c r="M115" i="9"/>
  <c r="F245" i="13"/>
  <c r="F115" i="9"/>
  <c r="K115" i="9" s="1"/>
  <c r="F244" i="6"/>
  <c r="F244" i="7"/>
  <c r="C245" i="13"/>
  <c r="D245" i="12"/>
  <c r="F245" i="12"/>
  <c r="H245" i="12"/>
  <c r="C245" i="12"/>
  <c r="E245" i="12"/>
  <c r="G245" i="12"/>
  <c r="C115" i="9"/>
  <c r="C244" i="7"/>
  <c r="H244" i="7" s="1"/>
  <c r="C244" i="6"/>
  <c r="H244" i="6" s="1"/>
  <c r="H244" i="13"/>
  <c r="N114" i="9"/>
  <c r="B244" i="13"/>
  <c r="B243" i="6"/>
  <c r="G243" i="13"/>
  <c r="M113" i="9"/>
  <c r="F243" i="13"/>
  <c r="F113" i="9"/>
  <c r="K113" i="9" s="1"/>
  <c r="F242" i="6"/>
  <c r="F242" i="7"/>
  <c r="C243" i="13"/>
  <c r="D243" i="12"/>
  <c r="F243" i="12"/>
  <c r="H243" i="12"/>
  <c r="C243" i="12"/>
  <c r="E243" i="12"/>
  <c r="G243" i="12"/>
  <c r="C113" i="9"/>
  <c r="C242" i="7"/>
  <c r="H242" i="7" s="1"/>
  <c r="C242" i="6"/>
  <c r="H242" i="6" s="1"/>
  <c r="H242" i="13"/>
  <c r="N112" i="9"/>
  <c r="B242" i="13"/>
  <c r="B241" i="6"/>
  <c r="G241" i="13"/>
  <c r="M111" i="9"/>
  <c r="F241" i="13"/>
  <c r="F111" i="9"/>
  <c r="K111" i="9" s="1"/>
  <c r="F240" i="6"/>
  <c r="F240" i="7"/>
  <c r="C241" i="13"/>
  <c r="D241" i="12"/>
  <c r="F241" i="12"/>
  <c r="H241" i="12"/>
  <c r="C241" i="12"/>
  <c r="E241" i="12"/>
  <c r="G241" i="12"/>
  <c r="C111" i="9"/>
  <c r="C240" i="7"/>
  <c r="H240" i="7" s="1"/>
  <c r="C240" i="6"/>
  <c r="H240" i="6" s="1"/>
  <c r="H240" i="13"/>
  <c r="N110" i="9"/>
  <c r="B240" i="13"/>
  <c r="B239" i="6"/>
  <c r="G239" i="13"/>
  <c r="M109" i="9"/>
  <c r="F239" i="13"/>
  <c r="F109" i="9"/>
  <c r="K109" i="9" s="1"/>
  <c r="F238" i="6"/>
  <c r="F238" i="7"/>
  <c r="C239" i="13"/>
  <c r="D239" i="12"/>
  <c r="F239" i="12"/>
  <c r="H239" i="12"/>
  <c r="C239" i="12"/>
  <c r="E239" i="12"/>
  <c r="G239" i="12"/>
  <c r="C109" i="9"/>
  <c r="C238" i="7"/>
  <c r="H238" i="7" s="1"/>
  <c r="C238" i="6"/>
  <c r="H238" i="6" s="1"/>
  <c r="H238" i="13"/>
  <c r="N108" i="9"/>
  <c r="B238" i="13"/>
  <c r="B237" i="6"/>
  <c r="G237" i="13"/>
  <c r="M107" i="9"/>
  <c r="F237" i="13"/>
  <c r="F107" i="9"/>
  <c r="K107" i="9" s="1"/>
  <c r="F236" i="6"/>
  <c r="F236" i="7"/>
  <c r="C237" i="13"/>
  <c r="D237" i="12"/>
  <c r="F237" i="12"/>
  <c r="H237" i="12"/>
  <c r="C237" i="12"/>
  <c r="E237" i="12"/>
  <c r="G237" i="12"/>
  <c r="C107" i="9"/>
  <c r="C236" i="7"/>
  <c r="H236" i="7" s="1"/>
  <c r="C236" i="6"/>
  <c r="H236" i="6" s="1"/>
  <c r="H236" i="13"/>
  <c r="N106" i="9"/>
  <c r="B236" i="13"/>
  <c r="B235" i="6"/>
  <c r="G235" i="13"/>
  <c r="M105" i="9"/>
  <c r="F235" i="13"/>
  <c r="F105" i="9"/>
  <c r="K105" i="9" s="1"/>
  <c r="F234" i="6"/>
  <c r="F234" i="7"/>
  <c r="C235" i="13"/>
  <c r="D235" i="12"/>
  <c r="F235" i="12"/>
  <c r="H235" i="12"/>
  <c r="C235" i="12"/>
  <c r="E235" i="12"/>
  <c r="G235" i="12"/>
  <c r="C105" i="9"/>
  <c r="C234" i="7"/>
  <c r="H234" i="7" s="1"/>
  <c r="C234" i="6"/>
  <c r="H234" i="6" s="1"/>
  <c r="H234" i="13"/>
  <c r="N104" i="9"/>
  <c r="B234" i="13"/>
  <c r="B233" i="6"/>
  <c r="G233" i="13"/>
  <c r="M103" i="9"/>
  <c r="F233" i="13"/>
  <c r="F103" i="9"/>
  <c r="K103" i="9" s="1"/>
  <c r="F232" i="6"/>
  <c r="F232" i="7"/>
  <c r="C233" i="13"/>
  <c r="D233" i="12"/>
  <c r="F233" i="12"/>
  <c r="H233" i="12"/>
  <c r="C233" i="12"/>
  <c r="E233" i="12"/>
  <c r="G233" i="12"/>
  <c r="C103" i="9"/>
  <c r="C232" i="7"/>
  <c r="H232" i="7" s="1"/>
  <c r="C232" i="6"/>
  <c r="H232" i="6" s="1"/>
  <c r="H232" i="13"/>
  <c r="N102" i="9"/>
  <c r="B232" i="13"/>
  <c r="B231" i="6"/>
  <c r="G231" i="13"/>
  <c r="M101" i="9"/>
  <c r="F231" i="13"/>
  <c r="F101" i="9"/>
  <c r="K101" i="9" s="1"/>
  <c r="F230" i="6"/>
  <c r="F230" i="7"/>
  <c r="C231" i="13"/>
  <c r="D231" i="12"/>
  <c r="F231" i="12"/>
  <c r="H231" i="12"/>
  <c r="C231" i="12"/>
  <c r="E231" i="12"/>
  <c r="G231" i="12"/>
  <c r="C101" i="9"/>
  <c r="C230" i="7"/>
  <c r="H230" i="7" s="1"/>
  <c r="C230" i="6"/>
  <c r="H230" i="6" s="1"/>
  <c r="H230" i="13"/>
  <c r="N100" i="9"/>
  <c r="B230" i="13"/>
  <c r="B229" i="6"/>
  <c r="G229" i="13"/>
  <c r="M99" i="9"/>
  <c r="F229" i="13"/>
  <c r="F99" i="9"/>
  <c r="K99" i="9" s="1"/>
  <c r="F228" i="6"/>
  <c r="F228" i="7"/>
  <c r="C229" i="13"/>
  <c r="D229" i="12"/>
  <c r="F229" i="12"/>
  <c r="H229" i="12"/>
  <c r="C229" i="12"/>
  <c r="E229" i="12"/>
  <c r="G229" i="12"/>
  <c r="C99" i="9"/>
  <c r="C228" i="7"/>
  <c r="H228" i="7" s="1"/>
  <c r="C228" i="6"/>
  <c r="H228" i="6" s="1"/>
  <c r="H228" i="13"/>
  <c r="N98" i="9"/>
  <c r="B228" i="13"/>
  <c r="B227" i="6"/>
  <c r="G227" i="13"/>
  <c r="M97" i="9"/>
  <c r="F227" i="13"/>
  <c r="F97" i="9"/>
  <c r="K97" i="9" s="1"/>
  <c r="F226" i="6"/>
  <c r="F226" i="7"/>
  <c r="C227" i="13"/>
  <c r="D227" i="12"/>
  <c r="F227" i="12"/>
  <c r="H227" i="12"/>
  <c r="C227" i="12"/>
  <c r="E227" i="12"/>
  <c r="G227" i="12"/>
  <c r="C97" i="9"/>
  <c r="C226" i="7"/>
  <c r="H226" i="7" s="1"/>
  <c r="C226" i="6"/>
  <c r="H226" i="6" s="1"/>
  <c r="H226" i="13"/>
  <c r="N96" i="9"/>
  <c r="B226" i="13"/>
  <c r="B225" i="6"/>
  <c r="G225" i="13"/>
  <c r="M95" i="9"/>
  <c r="F225" i="13"/>
  <c r="F95" i="9"/>
  <c r="K95" i="9" s="1"/>
  <c r="F224" i="6"/>
  <c r="F224" i="7"/>
  <c r="C225" i="13"/>
  <c r="D225" i="12"/>
  <c r="F225" i="12"/>
  <c r="H225" i="12"/>
  <c r="C225" i="12"/>
  <c r="E225" i="12"/>
  <c r="G225" i="12"/>
  <c r="C95" i="9"/>
  <c r="C224" i="7"/>
  <c r="H224" i="7" s="1"/>
  <c r="C224" i="6"/>
  <c r="H224" i="6" s="1"/>
  <c r="H224" i="13"/>
  <c r="N94" i="9"/>
  <c r="B224" i="13"/>
  <c r="B223" i="6"/>
  <c r="G223" i="13"/>
  <c r="M93" i="9"/>
  <c r="F223" i="13"/>
  <c r="F93" i="9"/>
  <c r="K93" i="9" s="1"/>
  <c r="F222" i="6"/>
  <c r="F222" i="7"/>
  <c r="C223" i="13"/>
  <c r="D223" i="12"/>
  <c r="F223" i="12"/>
  <c r="H223" i="12"/>
  <c r="C223" i="12"/>
  <c r="E223" i="12"/>
  <c r="G223" i="12"/>
  <c r="C93" i="9"/>
  <c r="C222" i="7"/>
  <c r="H222" i="7" s="1"/>
  <c r="C222" i="6"/>
  <c r="H222" i="6" s="1"/>
  <c r="H222" i="13"/>
  <c r="N92" i="9"/>
  <c r="B222" i="13"/>
  <c r="B221" i="6"/>
  <c r="G221" i="13"/>
  <c r="M91" i="9"/>
  <c r="F221" i="13"/>
  <c r="F91" i="9"/>
  <c r="K91" i="9" s="1"/>
  <c r="F220" i="6"/>
  <c r="F220" i="7"/>
  <c r="C221" i="13"/>
  <c r="D221" i="12"/>
  <c r="F221" i="12"/>
  <c r="H221" i="12"/>
  <c r="C221" i="12"/>
  <c r="E221" i="12"/>
  <c r="G221" i="12"/>
  <c r="C91" i="9"/>
  <c r="C220" i="7"/>
  <c r="H220" i="7" s="1"/>
  <c r="C220" i="6"/>
  <c r="H220" i="6" s="1"/>
  <c r="H220" i="13"/>
  <c r="N90" i="9"/>
  <c r="B220" i="13"/>
  <c r="B219" i="6"/>
  <c r="G219" i="13"/>
  <c r="M89" i="9"/>
  <c r="F219" i="13"/>
  <c r="F89" i="9"/>
  <c r="K89" i="9" s="1"/>
  <c r="F218" i="6"/>
  <c r="F218" i="7"/>
  <c r="C219" i="13"/>
  <c r="D219" i="12"/>
  <c r="F219" i="12"/>
  <c r="H219" i="12"/>
  <c r="C219" i="12"/>
  <c r="E219" i="12"/>
  <c r="G219" i="12"/>
  <c r="C89" i="9"/>
  <c r="C218" i="7"/>
  <c r="H218" i="7" s="1"/>
  <c r="C218" i="6"/>
  <c r="H218" i="6" s="1"/>
  <c r="H218" i="13"/>
  <c r="N88" i="9"/>
  <c r="B218" i="13"/>
  <c r="B217" i="6"/>
  <c r="G217" i="13"/>
  <c r="M87" i="9"/>
  <c r="F217" i="13"/>
  <c r="F87" i="9"/>
  <c r="K87" i="9" s="1"/>
  <c r="F216" i="6"/>
  <c r="F216" i="7"/>
  <c r="C217" i="13"/>
  <c r="D217" i="12"/>
  <c r="F217" i="12"/>
  <c r="H217" i="12"/>
  <c r="C217" i="12"/>
  <c r="E217" i="12"/>
  <c r="G217" i="12"/>
  <c r="C87" i="9"/>
  <c r="C216" i="7"/>
  <c r="H216" i="7" s="1"/>
  <c r="C216" i="6"/>
  <c r="H216" i="6" s="1"/>
  <c r="H216" i="13"/>
  <c r="N86" i="9"/>
  <c r="B216" i="13"/>
  <c r="B215" i="6"/>
  <c r="G215" i="13"/>
  <c r="M85" i="9"/>
  <c r="F215" i="13"/>
  <c r="F85" i="9"/>
  <c r="K85" i="9" s="1"/>
  <c r="F214" i="6"/>
  <c r="F214" i="7"/>
  <c r="C215" i="13"/>
  <c r="D215" i="12"/>
  <c r="F215" i="12"/>
  <c r="H215" i="12"/>
  <c r="C215" i="12"/>
  <c r="E215" i="12"/>
  <c r="G215" i="12"/>
  <c r="C85" i="9"/>
  <c r="C214" i="7"/>
  <c r="H214" i="7" s="1"/>
  <c r="C214" i="6"/>
  <c r="H214" i="6" s="1"/>
  <c r="H214" i="13"/>
  <c r="N84" i="9"/>
  <c r="B214" i="13"/>
  <c r="B213" i="6"/>
  <c r="G213" i="13"/>
  <c r="M83" i="9"/>
  <c r="F213" i="13"/>
  <c r="F83" i="9"/>
  <c r="K83" i="9" s="1"/>
  <c r="F212" i="6"/>
  <c r="F212" i="7"/>
  <c r="C213" i="13"/>
  <c r="D213" i="12"/>
  <c r="F213" i="12"/>
  <c r="H213" i="12"/>
  <c r="C213" i="12"/>
  <c r="E213" i="12"/>
  <c r="G213" i="12"/>
  <c r="C83" i="9"/>
  <c r="C212" i="7"/>
  <c r="H212" i="7" s="1"/>
  <c r="C212" i="6"/>
  <c r="H212" i="6" s="1"/>
  <c r="H212" i="13"/>
  <c r="N82" i="9"/>
  <c r="B212" i="13"/>
  <c r="B211" i="6"/>
  <c r="G211" i="13"/>
  <c r="M81" i="9"/>
  <c r="F211" i="13"/>
  <c r="F81" i="9"/>
  <c r="K81" i="9" s="1"/>
  <c r="F210" i="6"/>
  <c r="F210" i="7"/>
  <c r="C211" i="13"/>
  <c r="D211" i="12"/>
  <c r="F211" i="12"/>
  <c r="H211" i="12"/>
  <c r="C211" i="12"/>
  <c r="E211" i="12"/>
  <c r="G211" i="12"/>
  <c r="C81" i="9"/>
  <c r="C210" i="7"/>
  <c r="H210" i="7" s="1"/>
  <c r="C210" i="6"/>
  <c r="H210" i="6" s="1"/>
  <c r="H210" i="13"/>
  <c r="N80" i="9"/>
  <c r="B210" i="13"/>
  <c r="B209" i="6"/>
  <c r="G209" i="13"/>
  <c r="M79" i="9"/>
  <c r="F209" i="13"/>
  <c r="F79" i="9"/>
  <c r="K79" i="9" s="1"/>
  <c r="F208" i="6"/>
  <c r="F208" i="7"/>
  <c r="C209" i="13"/>
  <c r="D209" i="12"/>
  <c r="F209" i="12"/>
  <c r="H209" i="12"/>
  <c r="C209" i="12"/>
  <c r="E209" i="12"/>
  <c r="G209" i="12"/>
  <c r="C79" i="9"/>
  <c r="C208" i="7"/>
  <c r="H208" i="7" s="1"/>
  <c r="C208" i="6"/>
  <c r="H208" i="6" s="1"/>
  <c r="H208" i="13"/>
  <c r="N78" i="9"/>
  <c r="B208" i="13"/>
  <c r="B207" i="6"/>
  <c r="G207" i="13"/>
  <c r="M77" i="9"/>
  <c r="F207" i="13"/>
  <c r="F77" i="9"/>
  <c r="K77" i="9" s="1"/>
  <c r="F206" i="6"/>
  <c r="F206" i="7"/>
  <c r="C207" i="13"/>
  <c r="D207" i="12"/>
  <c r="F207" i="12"/>
  <c r="H207" i="12"/>
  <c r="C207" i="12"/>
  <c r="E207" i="12"/>
  <c r="G207" i="12"/>
  <c r="C77" i="9"/>
  <c r="C206" i="7"/>
  <c r="H206" i="7" s="1"/>
  <c r="C206" i="6"/>
  <c r="H206" i="6" s="1"/>
  <c r="H206" i="13"/>
  <c r="N76" i="9"/>
  <c r="B206" i="13"/>
  <c r="B205" i="6"/>
  <c r="G205" i="13"/>
  <c r="M75" i="9"/>
  <c r="F205" i="13"/>
  <c r="F75" i="9"/>
  <c r="K75" i="9" s="1"/>
  <c r="F204" i="6"/>
  <c r="F204" i="7"/>
  <c r="C205" i="13"/>
  <c r="D205" i="12"/>
  <c r="F205" i="12"/>
  <c r="H205" i="12"/>
  <c r="C205" i="12"/>
  <c r="E205" i="12"/>
  <c r="G205" i="12"/>
  <c r="C75" i="9"/>
  <c r="C204" i="7"/>
  <c r="H204" i="7" s="1"/>
  <c r="C204" i="6"/>
  <c r="H204" i="6" s="1"/>
  <c r="H204" i="13"/>
  <c r="N74" i="9"/>
  <c r="B204" i="13"/>
  <c r="B203" i="6"/>
  <c r="G203" i="13"/>
  <c r="M73" i="9"/>
  <c r="F203" i="13"/>
  <c r="F73" i="9"/>
  <c r="K73" i="9" s="1"/>
  <c r="F202" i="6"/>
  <c r="F202" i="7"/>
  <c r="C203" i="13"/>
  <c r="D203" i="12"/>
  <c r="F203" i="12"/>
  <c r="H203" i="12"/>
  <c r="C203" i="12"/>
  <c r="E203" i="12"/>
  <c r="G203" i="12"/>
  <c r="C73" i="9"/>
  <c r="C202" i="7"/>
  <c r="H202" i="7" s="1"/>
  <c r="C202" i="6"/>
  <c r="H202" i="6" s="1"/>
  <c r="H202" i="13"/>
  <c r="N72" i="9"/>
  <c r="B202" i="13"/>
  <c r="B201" i="6"/>
  <c r="G201" i="13"/>
  <c r="M71" i="9"/>
  <c r="F201" i="13"/>
  <c r="F71" i="9"/>
  <c r="K71" i="9" s="1"/>
  <c r="F200" i="6"/>
  <c r="F200" i="7"/>
  <c r="C201" i="13"/>
  <c r="D201" i="12"/>
  <c r="F201" i="12"/>
  <c r="H201" i="12"/>
  <c r="C201" i="12"/>
  <c r="E201" i="12"/>
  <c r="G201" i="12"/>
  <c r="C71" i="9"/>
  <c r="C200" i="7"/>
  <c r="H200" i="7" s="1"/>
  <c r="C200" i="6"/>
  <c r="H200" i="6" s="1"/>
  <c r="H200" i="13"/>
  <c r="N70" i="9"/>
  <c r="B200" i="13"/>
  <c r="B199" i="6"/>
  <c r="G199" i="13"/>
  <c r="M69" i="9"/>
  <c r="F199" i="13"/>
  <c r="F69" i="9"/>
  <c r="K69" i="9" s="1"/>
  <c r="F198" i="6"/>
  <c r="F198" i="7"/>
  <c r="C199" i="13"/>
  <c r="D199" i="12"/>
  <c r="F199" i="12"/>
  <c r="H199" i="12"/>
  <c r="C199" i="12"/>
  <c r="E199" i="12"/>
  <c r="G199" i="12"/>
  <c r="C69" i="9"/>
  <c r="C198" i="7"/>
  <c r="H198" i="7" s="1"/>
  <c r="C198" i="6"/>
  <c r="H198" i="6" s="1"/>
  <c r="H198" i="13"/>
  <c r="N68" i="9"/>
  <c r="B198" i="13"/>
  <c r="B197" i="6"/>
  <c r="G197" i="13"/>
  <c r="M67" i="9"/>
  <c r="F197" i="13"/>
  <c r="F67" i="9"/>
  <c r="K67" i="9" s="1"/>
  <c r="F196" i="6"/>
  <c r="F196" i="7"/>
  <c r="C197" i="13"/>
  <c r="D197" i="12"/>
  <c r="F197" i="12"/>
  <c r="H197" i="12"/>
  <c r="C197" i="12"/>
  <c r="E197" i="12"/>
  <c r="G197" i="12"/>
  <c r="C67" i="9"/>
  <c r="C196" i="7"/>
  <c r="H196" i="7" s="1"/>
  <c r="C196" i="6"/>
  <c r="H196" i="6" s="1"/>
  <c r="H196" i="13"/>
  <c r="N66" i="9"/>
  <c r="B196" i="13"/>
  <c r="B195" i="6"/>
  <c r="G195" i="13"/>
  <c r="M65" i="9"/>
  <c r="F195" i="13"/>
  <c r="F65" i="9"/>
  <c r="K65" i="9" s="1"/>
  <c r="F194" i="6"/>
  <c r="F194" i="7"/>
  <c r="C195" i="13"/>
  <c r="D195" i="12"/>
  <c r="F195" i="12"/>
  <c r="H195" i="12"/>
  <c r="C195" i="12"/>
  <c r="E195" i="12"/>
  <c r="G195" i="12"/>
  <c r="C65" i="9"/>
  <c r="C194" i="7"/>
  <c r="H194" i="7" s="1"/>
  <c r="C194" i="6"/>
  <c r="H194" i="6" s="1"/>
  <c r="H194" i="13"/>
  <c r="N64" i="9"/>
  <c r="B194" i="13"/>
  <c r="B193" i="6"/>
  <c r="G193" i="13"/>
  <c r="M63" i="9"/>
  <c r="F193" i="13"/>
  <c r="F63" i="9"/>
  <c r="K63" i="9" s="1"/>
  <c r="F192" i="6"/>
  <c r="F192" i="7"/>
  <c r="C193" i="13"/>
  <c r="D193" i="12"/>
  <c r="F193" i="12"/>
  <c r="H193" i="12"/>
  <c r="C193" i="12"/>
  <c r="E193" i="12"/>
  <c r="G193" i="12"/>
  <c r="C63" i="9"/>
  <c r="C192" i="7"/>
  <c r="H192" i="7" s="1"/>
  <c r="C192" i="6"/>
  <c r="H192" i="6" s="1"/>
  <c r="H192" i="13"/>
  <c r="N62" i="9"/>
  <c r="B192" i="13"/>
  <c r="B191" i="6"/>
  <c r="G191" i="13"/>
  <c r="M61" i="9"/>
  <c r="F191" i="13"/>
  <c r="F61" i="9"/>
  <c r="K61" i="9" s="1"/>
  <c r="F190" i="6"/>
  <c r="F190" i="7"/>
  <c r="C191" i="13"/>
  <c r="D191" i="12"/>
  <c r="F191" i="12"/>
  <c r="H191" i="12"/>
  <c r="C191" i="12"/>
  <c r="E191" i="12"/>
  <c r="G191" i="12"/>
  <c r="C61" i="9"/>
  <c r="C190" i="7"/>
  <c r="H190" i="7" s="1"/>
  <c r="C190" i="6"/>
  <c r="H190" i="6" s="1"/>
  <c r="H190" i="13"/>
  <c r="N60" i="9"/>
  <c r="B190" i="13"/>
  <c r="B189" i="6"/>
  <c r="G189" i="13"/>
  <c r="M59" i="9"/>
  <c r="F189" i="13"/>
  <c r="F59" i="9"/>
  <c r="K59" i="9" s="1"/>
  <c r="F188" i="6"/>
  <c r="F188" i="7"/>
  <c r="C189" i="13"/>
  <c r="D189" i="12"/>
  <c r="F189" i="12"/>
  <c r="H189" i="12"/>
  <c r="C189" i="12"/>
  <c r="E189" i="12"/>
  <c r="G189" i="12"/>
  <c r="C59" i="9"/>
  <c r="C188" i="7"/>
  <c r="H188" i="7" s="1"/>
  <c r="C188" i="6"/>
  <c r="H188" i="6" s="1"/>
  <c r="H188" i="13"/>
  <c r="N58" i="9"/>
  <c r="B188" i="13"/>
  <c r="B187" i="6"/>
  <c r="G187" i="13"/>
  <c r="M57" i="9"/>
  <c r="F187" i="13"/>
  <c r="F57" i="9"/>
  <c r="K57" i="9" s="1"/>
  <c r="F186" i="6"/>
  <c r="F186" i="7"/>
  <c r="C187" i="13"/>
  <c r="D187" i="12"/>
  <c r="F187" i="12"/>
  <c r="H187" i="12"/>
  <c r="C187" i="12"/>
  <c r="E187" i="12"/>
  <c r="G187" i="12"/>
  <c r="C57" i="9"/>
  <c r="C186" i="7"/>
  <c r="H186" i="7" s="1"/>
  <c r="C186" i="6"/>
  <c r="H186" i="6" s="1"/>
  <c r="H186" i="13"/>
  <c r="N56" i="9"/>
  <c r="B186" i="13"/>
  <c r="B185" i="6"/>
  <c r="G185" i="13"/>
  <c r="M55" i="9"/>
  <c r="F185" i="13"/>
  <c r="F55" i="9"/>
  <c r="K55" i="9" s="1"/>
  <c r="F184" i="6"/>
  <c r="F184" i="7"/>
  <c r="C185" i="13"/>
  <c r="D185" i="12"/>
  <c r="F185" i="12"/>
  <c r="H185" i="12"/>
  <c r="C185" i="12"/>
  <c r="E185" i="12"/>
  <c r="G185" i="12"/>
  <c r="C55" i="9"/>
  <c r="C184" i="7"/>
  <c r="H184" i="7" s="1"/>
  <c r="C184" i="6"/>
  <c r="H184" i="6" s="1"/>
  <c r="H184" i="13"/>
  <c r="N54" i="9"/>
  <c r="B184" i="13"/>
  <c r="B183" i="6"/>
  <c r="G183" i="13"/>
  <c r="M53" i="9"/>
  <c r="F183" i="13"/>
  <c r="F53" i="9"/>
  <c r="K53" i="9" s="1"/>
  <c r="F182" i="6"/>
  <c r="F182" i="7"/>
  <c r="C183" i="13"/>
  <c r="D183" i="12"/>
  <c r="F183" i="12"/>
  <c r="H183" i="12"/>
  <c r="C183" i="12"/>
  <c r="E183" i="12"/>
  <c r="G183" i="12"/>
  <c r="C53" i="9"/>
  <c r="C182" i="7"/>
  <c r="H182" i="7" s="1"/>
  <c r="C182" i="6"/>
  <c r="H182" i="6" s="1"/>
  <c r="H182" i="13"/>
  <c r="N52" i="9"/>
  <c r="B182" i="13"/>
  <c r="B181" i="6"/>
  <c r="G181" i="13"/>
  <c r="M51" i="9"/>
  <c r="F181" i="13"/>
  <c r="F51" i="9"/>
  <c r="K51" i="9" s="1"/>
  <c r="F180" i="6"/>
  <c r="F180" i="7"/>
  <c r="C181" i="13"/>
  <c r="D181" i="12"/>
  <c r="F181" i="12"/>
  <c r="H181" i="12"/>
  <c r="C181" i="12"/>
  <c r="E181" i="12"/>
  <c r="G181" i="12"/>
  <c r="C51" i="9"/>
  <c r="C180" i="7"/>
  <c r="H180" i="7" s="1"/>
  <c r="C180" i="6"/>
  <c r="H180" i="6" s="1"/>
  <c r="H180" i="13"/>
  <c r="N50" i="9"/>
  <c r="B180" i="13"/>
  <c r="B179" i="6"/>
  <c r="G179" i="13"/>
  <c r="M49" i="9"/>
  <c r="F179" i="13"/>
  <c r="F49" i="9"/>
  <c r="K49" i="9" s="1"/>
  <c r="F178" i="6"/>
  <c r="F178" i="7"/>
  <c r="C179" i="13"/>
  <c r="D179" i="12"/>
  <c r="F179" i="12"/>
  <c r="H179" i="12"/>
  <c r="C179" i="12"/>
  <c r="E179" i="12"/>
  <c r="G179" i="12"/>
  <c r="C49" i="9"/>
  <c r="C178" i="7"/>
  <c r="H178" i="7" s="1"/>
  <c r="C178" i="6"/>
  <c r="H178" i="6" s="1"/>
  <c r="H178" i="13"/>
  <c r="N48" i="9"/>
  <c r="B178" i="13"/>
  <c r="B177" i="6"/>
  <c r="G177" i="13"/>
  <c r="M47" i="9"/>
  <c r="F177" i="13"/>
  <c r="F47" i="9"/>
  <c r="K47" i="9" s="1"/>
  <c r="F176" i="6"/>
  <c r="F176" i="7"/>
  <c r="C177" i="13"/>
  <c r="D177" i="12"/>
  <c r="F177" i="12"/>
  <c r="H177" i="12"/>
  <c r="C177" i="12"/>
  <c r="E177" i="12"/>
  <c r="G177" i="12"/>
  <c r="C47" i="9"/>
  <c r="C176" i="7"/>
  <c r="H176" i="7" s="1"/>
  <c r="C176" i="6"/>
  <c r="H176" i="6" s="1"/>
  <c r="H176" i="13"/>
  <c r="N46" i="9"/>
  <c r="B176" i="13"/>
  <c r="B175" i="6"/>
  <c r="G175" i="13"/>
  <c r="M45" i="9"/>
  <c r="F175" i="13"/>
  <c r="F45" i="9"/>
  <c r="K45" i="9" s="1"/>
  <c r="F174" i="6"/>
  <c r="F174" i="7"/>
  <c r="C175" i="13"/>
  <c r="D175" i="12"/>
  <c r="F175" i="12"/>
  <c r="H175" i="12"/>
  <c r="C175" i="12"/>
  <c r="E175" i="12"/>
  <c r="G175" i="12"/>
  <c r="C45" i="9"/>
  <c r="L45" i="9" s="1"/>
  <c r="C174" i="7"/>
  <c r="H174" i="7" s="1"/>
  <c r="C174" i="6"/>
  <c r="H174" i="6" s="1"/>
  <c r="H174" i="13"/>
  <c r="N44" i="9"/>
  <c r="B174" i="13"/>
  <c r="B173" i="6"/>
  <c r="G173" i="13"/>
  <c r="M43" i="9"/>
  <c r="F173" i="13"/>
  <c r="F43" i="9"/>
  <c r="K43" i="9" s="1"/>
  <c r="F172" i="6"/>
  <c r="F172" i="7"/>
  <c r="C173" i="13"/>
  <c r="D173" i="12"/>
  <c r="F173" i="12"/>
  <c r="H173" i="12"/>
  <c r="C173" i="12"/>
  <c r="E173" i="12"/>
  <c r="G173" i="12"/>
  <c r="C43" i="9"/>
  <c r="C172" i="7"/>
  <c r="H172" i="7" s="1"/>
  <c r="C172" i="6"/>
  <c r="H172" i="6" s="1"/>
  <c r="H172" i="13"/>
  <c r="N42" i="9"/>
  <c r="B172" i="13"/>
  <c r="B171" i="6"/>
  <c r="G171" i="13"/>
  <c r="M41" i="9"/>
  <c r="F171" i="13"/>
  <c r="F41" i="9"/>
  <c r="K41" i="9" s="1"/>
  <c r="F170" i="6"/>
  <c r="F170" i="7"/>
  <c r="C171" i="13"/>
  <c r="D171" i="12"/>
  <c r="F171" i="12"/>
  <c r="H171" i="12"/>
  <c r="C171" i="12"/>
  <c r="E171" i="12"/>
  <c r="G171" i="12"/>
  <c r="C41" i="9"/>
  <c r="L41" i="9" s="1"/>
  <c r="C170" i="7"/>
  <c r="H170" i="7" s="1"/>
  <c r="C170" i="6"/>
  <c r="H170" i="6" s="1"/>
  <c r="H170" i="13"/>
  <c r="N40" i="9"/>
  <c r="B170" i="13"/>
  <c r="B169" i="6"/>
  <c r="G169" i="13"/>
  <c r="M39" i="9"/>
  <c r="F169" i="13"/>
  <c r="F39" i="9"/>
  <c r="K39" i="9" s="1"/>
  <c r="F168" i="6"/>
  <c r="F168" i="7"/>
  <c r="C169" i="13"/>
  <c r="D169" i="12"/>
  <c r="F169" i="12"/>
  <c r="H169" i="12"/>
  <c r="C169" i="12"/>
  <c r="E169" i="12"/>
  <c r="G169" i="12"/>
  <c r="C39" i="9"/>
  <c r="C168" i="7"/>
  <c r="H168" i="7" s="1"/>
  <c r="C168" i="6"/>
  <c r="H168" i="6" s="1"/>
  <c r="H168" i="13"/>
  <c r="N38" i="9"/>
  <c r="B168" i="13"/>
  <c r="B167" i="6"/>
  <c r="G167" i="13"/>
  <c r="M37" i="9"/>
  <c r="F167" i="13"/>
  <c r="F37" i="9"/>
  <c r="K37" i="9" s="1"/>
  <c r="F166" i="6"/>
  <c r="F166" i="7"/>
  <c r="C167" i="13"/>
  <c r="D167" i="12"/>
  <c r="F167" i="12"/>
  <c r="H167" i="12"/>
  <c r="C167" i="12"/>
  <c r="E167" i="12"/>
  <c r="G167" i="12"/>
  <c r="C37" i="9"/>
  <c r="L37" i="9" s="1"/>
  <c r="C166" i="7"/>
  <c r="H166" i="7" s="1"/>
  <c r="C166" i="6"/>
  <c r="H166" i="6" s="1"/>
  <c r="J166" i="6" s="1"/>
  <c r="H166" i="13"/>
  <c r="N36" i="9"/>
  <c r="B166" i="13"/>
  <c r="B165" i="6"/>
  <c r="G165" i="13"/>
  <c r="M35" i="9"/>
  <c r="F165" i="13"/>
  <c r="F35" i="9"/>
  <c r="K35" i="9" s="1"/>
  <c r="F164" i="6"/>
  <c r="F164" i="7"/>
  <c r="C165" i="13"/>
  <c r="D165" i="12"/>
  <c r="F165" i="12"/>
  <c r="H165" i="12"/>
  <c r="C165" i="12"/>
  <c r="E165" i="12"/>
  <c r="G165" i="12"/>
  <c r="C35" i="9"/>
  <c r="C164" i="7"/>
  <c r="H164" i="7" s="1"/>
  <c r="C164" i="6"/>
  <c r="H164" i="6" s="1"/>
  <c r="H164" i="13"/>
  <c r="N34" i="9"/>
  <c r="B164" i="13"/>
  <c r="B163" i="6"/>
  <c r="G163" i="13"/>
  <c r="M33" i="9"/>
  <c r="F163" i="13"/>
  <c r="F33" i="9"/>
  <c r="K33" i="9" s="1"/>
  <c r="F162" i="6"/>
  <c r="F162" i="7"/>
  <c r="C163" i="13"/>
  <c r="D163" i="12"/>
  <c r="F163" i="12"/>
  <c r="H163" i="12"/>
  <c r="C163" i="12"/>
  <c r="E163" i="12"/>
  <c r="G163" i="12"/>
  <c r="C33" i="9"/>
  <c r="L33" i="9" s="1"/>
  <c r="C162" i="7"/>
  <c r="H162" i="7" s="1"/>
  <c r="C162" i="6"/>
  <c r="H162" i="6" s="1"/>
  <c r="L162" i="6" s="1"/>
  <c r="H162" i="13"/>
  <c r="N32" i="9"/>
  <c r="B162" i="13"/>
  <c r="B161" i="6"/>
  <c r="G161" i="13"/>
  <c r="M31" i="9"/>
  <c r="F161" i="13"/>
  <c r="F31" i="9"/>
  <c r="K31" i="9" s="1"/>
  <c r="F160" i="6"/>
  <c r="F160" i="7"/>
  <c r="C161" i="13"/>
  <c r="D161" i="12"/>
  <c r="F161" i="12"/>
  <c r="H161" i="12"/>
  <c r="C161" i="12"/>
  <c r="E161" i="12"/>
  <c r="G161" i="12"/>
  <c r="C31" i="9"/>
  <c r="C160" i="7"/>
  <c r="H160" i="7" s="1"/>
  <c r="C160" i="6"/>
  <c r="H160" i="6" s="1"/>
  <c r="H160" i="13"/>
  <c r="N30" i="9"/>
  <c r="B160" i="13"/>
  <c r="B159" i="6"/>
  <c r="G159" i="13"/>
  <c r="M29" i="9"/>
  <c r="F159" i="13"/>
  <c r="F29" i="9"/>
  <c r="K29" i="9" s="1"/>
  <c r="F158" i="6"/>
  <c r="F158" i="7"/>
  <c r="C159" i="13"/>
  <c r="C159" i="12"/>
  <c r="E159" i="12"/>
  <c r="F159" i="12"/>
  <c r="H159" i="12"/>
  <c r="D159" i="12"/>
  <c r="G159" i="12"/>
  <c r="C29" i="9"/>
  <c r="L29" i="9" s="1"/>
  <c r="C158" i="7"/>
  <c r="H158" i="7" s="1"/>
  <c r="C158" i="6"/>
  <c r="H158" i="6" s="1"/>
  <c r="H158" i="13"/>
  <c r="N28" i="9"/>
  <c r="B158" i="13"/>
  <c r="B157" i="6"/>
  <c r="G157" i="13"/>
  <c r="M27" i="9"/>
  <c r="F157" i="13"/>
  <c r="F27" i="9"/>
  <c r="K27" i="9" s="1"/>
  <c r="F156" i="6"/>
  <c r="F156" i="7"/>
  <c r="C157" i="13"/>
  <c r="C157" i="12"/>
  <c r="E157" i="12"/>
  <c r="G157" i="12"/>
  <c r="D157" i="12"/>
  <c r="H157" i="12"/>
  <c r="F157" i="12"/>
  <c r="C27" i="9"/>
  <c r="C156" i="7"/>
  <c r="H156" i="7" s="1"/>
  <c r="C156" i="6"/>
  <c r="H156" i="6" s="1"/>
  <c r="H156" i="13"/>
  <c r="N26" i="9"/>
  <c r="B156" i="13"/>
  <c r="B155" i="6"/>
  <c r="G155" i="13"/>
  <c r="M25" i="9"/>
  <c r="F155" i="13"/>
  <c r="F25" i="9"/>
  <c r="K25" i="9" s="1"/>
  <c r="F154" i="6"/>
  <c r="F154" i="7"/>
  <c r="C155" i="13"/>
  <c r="C155" i="12"/>
  <c r="E155" i="12"/>
  <c r="G155" i="12"/>
  <c r="D155" i="12"/>
  <c r="F155" i="12"/>
  <c r="H155" i="12"/>
  <c r="C25" i="9"/>
  <c r="L25" i="9" s="1"/>
  <c r="C154" i="7"/>
  <c r="H154" i="7" s="1"/>
  <c r="C154" i="6"/>
  <c r="H154" i="6" s="1"/>
  <c r="J154" i="6" s="1"/>
  <c r="H154" i="13"/>
  <c r="N24" i="9"/>
  <c r="B154" i="13"/>
  <c r="B153" i="6"/>
  <c r="G153" i="13"/>
  <c r="M23" i="9"/>
  <c r="F153" i="13"/>
  <c r="F23" i="9"/>
  <c r="K23" i="9" s="1"/>
  <c r="F152" i="6"/>
  <c r="F152" i="7"/>
  <c r="C153" i="13"/>
  <c r="C153" i="12"/>
  <c r="E153" i="12"/>
  <c r="G153" i="12"/>
  <c r="D153" i="12"/>
  <c r="F153" i="12"/>
  <c r="H153" i="12"/>
  <c r="C23" i="9"/>
  <c r="C152" i="7"/>
  <c r="H152" i="7" s="1"/>
  <c r="C152" i="6"/>
  <c r="H152" i="6" s="1"/>
  <c r="H152" i="13"/>
  <c r="N22" i="9"/>
  <c r="B152" i="13"/>
  <c r="B151" i="6"/>
  <c r="G151" i="13"/>
  <c r="M21" i="9"/>
  <c r="F151" i="13"/>
  <c r="F21" i="9"/>
  <c r="K21" i="9" s="1"/>
  <c r="F150" i="6"/>
  <c r="F150" i="7"/>
  <c r="C151" i="13"/>
  <c r="C151" i="12"/>
  <c r="E151" i="12"/>
  <c r="G151" i="12"/>
  <c r="D151" i="12"/>
  <c r="F151" i="12"/>
  <c r="H151" i="12"/>
  <c r="C21" i="9"/>
  <c r="L21" i="9" s="1"/>
  <c r="C150" i="7"/>
  <c r="H150" i="7" s="1"/>
  <c r="C150" i="6"/>
  <c r="H150" i="6" s="1"/>
  <c r="L150" i="6" s="1"/>
  <c r="H150" i="13"/>
  <c r="N20" i="9"/>
  <c r="B150" i="13"/>
  <c r="B149" i="6"/>
  <c r="G149" i="13"/>
  <c r="M19" i="9"/>
  <c r="F149" i="13"/>
  <c r="F19" i="9"/>
  <c r="K19" i="9" s="1"/>
  <c r="F148" i="6"/>
  <c r="F148" i="7"/>
  <c r="C149" i="13"/>
  <c r="C149" i="12"/>
  <c r="E149" i="12"/>
  <c r="G149" i="12"/>
  <c r="D149" i="12"/>
  <c r="F149" i="12"/>
  <c r="H149" i="12"/>
  <c r="C19" i="9"/>
  <c r="C148" i="7"/>
  <c r="H148" i="7" s="1"/>
  <c r="C148" i="6"/>
  <c r="H148" i="6" s="1"/>
  <c r="H148" i="13"/>
  <c r="N18" i="9"/>
  <c r="B148" i="13"/>
  <c r="B147" i="6"/>
  <c r="G147" i="13"/>
  <c r="M17" i="9"/>
  <c r="F147" i="13"/>
  <c r="F17" i="9"/>
  <c r="K17" i="9" s="1"/>
  <c r="F146" i="6"/>
  <c r="F146" i="7"/>
  <c r="C147" i="13"/>
  <c r="C147" i="12"/>
  <c r="E147" i="12"/>
  <c r="G147" i="12"/>
  <c r="D147" i="12"/>
  <c r="F147" i="12"/>
  <c r="H147" i="12"/>
  <c r="C17" i="9"/>
  <c r="L17" i="9" s="1"/>
  <c r="C146" i="7"/>
  <c r="H146" i="7" s="1"/>
  <c r="C146" i="6"/>
  <c r="H146" i="6" s="1"/>
  <c r="K146" i="6" s="1"/>
  <c r="H146" i="13"/>
  <c r="N16" i="9"/>
  <c r="B146" i="13"/>
  <c r="B145" i="6"/>
  <c r="G145" i="13"/>
  <c r="M15" i="9"/>
  <c r="F145" i="13"/>
  <c r="F15" i="9"/>
  <c r="K15" i="9" s="1"/>
  <c r="F144" i="6"/>
  <c r="F144" i="7"/>
  <c r="C145" i="13"/>
  <c r="C145" i="12"/>
  <c r="E145" i="12"/>
  <c r="G145" i="12"/>
  <c r="D145" i="12"/>
  <c r="F145" i="12"/>
  <c r="H145" i="12"/>
  <c r="C15" i="9"/>
  <c r="C144" i="7"/>
  <c r="H144" i="7" s="1"/>
  <c r="C144" i="6"/>
  <c r="H144" i="6" s="1"/>
  <c r="H144" i="13"/>
  <c r="N14" i="9"/>
  <c r="B144" i="13"/>
  <c r="B143" i="6"/>
  <c r="G143" i="13"/>
  <c r="M13" i="9"/>
  <c r="F143" i="13"/>
  <c r="F13" i="9"/>
  <c r="K13" i="9" s="1"/>
  <c r="F142" i="6"/>
  <c r="F142" i="7"/>
  <c r="C143" i="13"/>
  <c r="C143" i="12"/>
  <c r="E143" i="12"/>
  <c r="G143" i="12"/>
  <c r="D143" i="12"/>
  <c r="F143" i="12"/>
  <c r="H143" i="12"/>
  <c r="C13" i="9"/>
  <c r="L13" i="9" s="1"/>
  <c r="C142" i="7"/>
  <c r="H142" i="7" s="1"/>
  <c r="C142" i="6"/>
  <c r="H142" i="6" s="1"/>
  <c r="L142" i="6" s="1"/>
  <c r="H142" i="13"/>
  <c r="N12" i="9"/>
  <c r="B142" i="13"/>
  <c r="B141" i="6"/>
  <c r="G141" i="13"/>
  <c r="M11" i="9"/>
  <c r="F141" i="13"/>
  <c r="F11" i="9"/>
  <c r="K11" i="9" s="1"/>
  <c r="F140" i="6"/>
  <c r="F140" i="7"/>
  <c r="C141" i="13"/>
  <c r="C141" i="12"/>
  <c r="E141" i="12"/>
  <c r="G141" i="12"/>
  <c r="D141" i="12"/>
  <c r="F141" i="12"/>
  <c r="H141" i="12"/>
  <c r="C11" i="9"/>
  <c r="C140" i="7"/>
  <c r="H140" i="7" s="1"/>
  <c r="C140" i="6"/>
  <c r="H140" i="6" s="1"/>
  <c r="H140" i="13"/>
  <c r="N10" i="9"/>
  <c r="B140" i="13"/>
  <c r="B139" i="6"/>
  <c r="G90" i="13"/>
  <c r="M300" i="9"/>
  <c r="F90" i="13"/>
  <c r="F300" i="9"/>
  <c r="K300" i="9" s="1"/>
  <c r="F138" i="6"/>
  <c r="F89" i="7"/>
  <c r="C90" i="13"/>
  <c r="C139" i="12"/>
  <c r="G139" i="12"/>
  <c r="D139" i="12"/>
  <c r="F139" i="12"/>
  <c r="H139" i="12"/>
  <c r="C300" i="9"/>
  <c r="C89" i="7"/>
  <c r="H89" i="7" s="1"/>
  <c r="E89" i="7"/>
  <c r="C138" i="6"/>
  <c r="H138" i="6" s="1"/>
  <c r="J138" i="6" s="1"/>
  <c r="H16" i="13"/>
  <c r="N221" i="9"/>
  <c r="B16" i="13"/>
  <c r="B137" i="6"/>
  <c r="G120" i="13"/>
  <c r="M302" i="9"/>
  <c r="F120" i="13"/>
  <c r="F302" i="9"/>
  <c r="K302" i="9" s="1"/>
  <c r="F101" i="6"/>
  <c r="F119" i="7"/>
  <c r="C120" i="13"/>
  <c r="C102" i="12"/>
  <c r="G102" i="12"/>
  <c r="D102" i="12"/>
  <c r="F102" i="12"/>
  <c r="H102" i="12"/>
  <c r="C302" i="9"/>
  <c r="C119" i="7"/>
  <c r="H119" i="7" s="1"/>
  <c r="E119" i="7"/>
  <c r="C101" i="6"/>
  <c r="H101" i="6" s="1"/>
  <c r="H121" i="13"/>
  <c r="N301" i="9"/>
  <c r="B121" i="13"/>
  <c r="B104" i="6"/>
  <c r="G34" i="13"/>
  <c r="M237" i="9"/>
  <c r="F34" i="13"/>
  <c r="F237" i="9"/>
  <c r="K237" i="9" s="1"/>
  <c r="F24" i="6"/>
  <c r="F33" i="7"/>
  <c r="C34" i="13"/>
  <c r="C25" i="12"/>
  <c r="G25" i="12"/>
  <c r="D25" i="12"/>
  <c r="F25" i="12"/>
  <c r="H25" i="12"/>
  <c r="C237" i="9"/>
  <c r="C33" i="7"/>
  <c r="E33" i="7" s="1"/>
  <c r="C24" i="6"/>
  <c r="H24" i="6" s="1"/>
  <c r="H105" i="13"/>
  <c r="N299" i="9"/>
  <c r="B105" i="13"/>
  <c r="B136" i="6"/>
  <c r="G92" i="13"/>
  <c r="M297" i="9"/>
  <c r="F92" i="13"/>
  <c r="F297" i="9"/>
  <c r="K297" i="9" s="1"/>
  <c r="F64" i="6"/>
  <c r="F91" i="7"/>
  <c r="C92" i="13"/>
  <c r="C65" i="12"/>
  <c r="G65" i="12"/>
  <c r="D65" i="12"/>
  <c r="F65" i="12"/>
  <c r="H65" i="12"/>
  <c r="C297" i="9"/>
  <c r="C91" i="7"/>
  <c r="E91" i="7" s="1"/>
  <c r="C64" i="6"/>
  <c r="H64" i="6" s="1"/>
  <c r="H28" i="13"/>
  <c r="N199" i="9"/>
  <c r="B28" i="13"/>
  <c r="B22" i="6"/>
  <c r="G30" i="13"/>
  <c r="M190" i="9"/>
  <c r="F30" i="13"/>
  <c r="F190" i="9"/>
  <c r="K190" i="9" s="1"/>
  <c r="F23" i="6"/>
  <c r="F29" i="7"/>
  <c r="C30" i="13"/>
  <c r="C24" i="12"/>
  <c r="G24" i="12"/>
  <c r="D24" i="12"/>
  <c r="F24" i="12"/>
  <c r="H24" i="12"/>
  <c r="C190" i="9"/>
  <c r="B190" i="9" s="1"/>
  <c r="C29" i="7"/>
  <c r="E29" i="7" s="1"/>
  <c r="C23" i="6"/>
  <c r="H23" i="6" s="1"/>
  <c r="H42" i="13"/>
  <c r="N200" i="9"/>
  <c r="B42" i="13"/>
  <c r="B31" i="6"/>
  <c r="G43" i="13"/>
  <c r="M201" i="9"/>
  <c r="F43" i="13"/>
  <c r="F201" i="9"/>
  <c r="K201" i="9" s="1"/>
  <c r="F33" i="6"/>
  <c r="F42" i="7"/>
  <c r="C21" i="13"/>
  <c r="C14" i="12"/>
  <c r="G14" i="12"/>
  <c r="D14" i="12"/>
  <c r="F14" i="12"/>
  <c r="H14" i="12"/>
  <c r="C212" i="9"/>
  <c r="C20" i="7"/>
  <c r="E20" i="7" s="1"/>
  <c r="E126" i="1"/>
  <c r="C13" i="6"/>
  <c r="H13" i="6" s="1"/>
  <c r="H15" i="13"/>
  <c r="B15" i="13"/>
  <c r="B12" i="6"/>
  <c r="G26" i="13"/>
  <c r="M198" i="9"/>
  <c r="F26" i="13"/>
  <c r="F198" i="9"/>
  <c r="K198" i="9" s="1"/>
  <c r="F20" i="6"/>
  <c r="F25" i="7"/>
  <c r="C67" i="13"/>
  <c r="C60" i="12"/>
  <c r="G60" i="12"/>
  <c r="D60" i="12"/>
  <c r="F60" i="12"/>
  <c r="H60" i="12"/>
  <c r="C250" i="9"/>
  <c r="C66" i="7"/>
  <c r="E66" i="7" s="1"/>
  <c r="E122" i="1"/>
  <c r="C59" i="6"/>
  <c r="H59" i="6" s="1"/>
  <c r="H13" i="13"/>
  <c r="N229" i="9"/>
  <c r="B13" i="13"/>
  <c r="B9" i="6"/>
  <c r="G54" i="13"/>
  <c r="M186" i="9"/>
  <c r="F54" i="13"/>
  <c r="F186" i="9"/>
  <c r="K186" i="9" s="1"/>
  <c r="F134" i="6"/>
  <c r="F53" i="7"/>
  <c r="C14" i="13"/>
  <c r="C9" i="12"/>
  <c r="G9" i="12"/>
  <c r="D9" i="12"/>
  <c r="F9" i="12"/>
  <c r="H9" i="12"/>
  <c r="C232" i="9"/>
  <c r="C13" i="7"/>
  <c r="E13" i="7" s="1"/>
  <c r="E118" i="1"/>
  <c r="C8" i="6"/>
  <c r="H8" i="6" s="1"/>
  <c r="H12" i="13"/>
  <c r="N224" i="9"/>
  <c r="E12" i="13"/>
  <c r="E224" i="9"/>
  <c r="E10" i="6"/>
  <c r="B12" i="13"/>
  <c r="B10" i="6"/>
  <c r="G56" i="13"/>
  <c r="M196" i="9"/>
  <c r="F56" i="13"/>
  <c r="F196" i="9"/>
  <c r="K196" i="9" s="1"/>
  <c r="F40" i="6"/>
  <c r="F55" i="7"/>
  <c r="C57" i="13"/>
  <c r="C134" i="12"/>
  <c r="G134" i="12"/>
  <c r="D134" i="12"/>
  <c r="F134" i="12"/>
  <c r="C188" i="9"/>
  <c r="H188" i="9" s="1"/>
  <c r="C56" i="7"/>
  <c r="E56" i="7" s="1"/>
  <c r="E114" i="1"/>
  <c r="C133" i="6"/>
  <c r="H133" i="6" s="1"/>
  <c r="H23" i="13"/>
  <c r="N208" i="9"/>
  <c r="E208" i="9"/>
  <c r="B23" i="13"/>
  <c r="B16" i="6"/>
  <c r="G27" i="13"/>
  <c r="M195" i="9"/>
  <c r="F27" i="13"/>
  <c r="F195" i="9"/>
  <c r="K195" i="9" s="1"/>
  <c r="F21" i="6"/>
  <c r="F26" i="7"/>
  <c r="C38" i="13"/>
  <c r="C29" i="12"/>
  <c r="G29" i="12"/>
  <c r="D29" i="12"/>
  <c r="F29" i="12"/>
  <c r="H29" i="12"/>
  <c r="C189" i="9"/>
  <c r="C37" i="7"/>
  <c r="H37" i="7" s="1"/>
  <c r="E110" i="1"/>
  <c r="C28" i="6"/>
  <c r="H28" i="6" s="1"/>
  <c r="H46" i="13"/>
  <c r="N177" i="9"/>
  <c r="E46" i="13"/>
  <c r="E177" i="9"/>
  <c r="E35" i="6"/>
  <c r="B46" i="13"/>
  <c r="B35" i="6"/>
  <c r="G20" i="13"/>
  <c r="M227" i="9"/>
  <c r="F20" i="13"/>
  <c r="F227" i="9"/>
  <c r="K227" i="9" s="1"/>
  <c r="F132" i="6"/>
  <c r="F19" i="7"/>
  <c r="C25" i="13"/>
  <c r="C20" i="12"/>
  <c r="G20" i="12"/>
  <c r="D20" i="12"/>
  <c r="F20" i="12"/>
  <c r="H20" i="12"/>
  <c r="C222" i="9"/>
  <c r="B222" i="9" s="1"/>
  <c r="C24" i="7"/>
  <c r="E24" i="7" s="1"/>
  <c r="E106" i="1"/>
  <c r="C19" i="6"/>
  <c r="H19" i="6" s="1"/>
  <c r="H22" i="13"/>
  <c r="N226" i="9"/>
  <c r="E22" i="13"/>
  <c r="E226" i="9"/>
  <c r="E15" i="6"/>
  <c r="B22" i="13"/>
  <c r="B15" i="6"/>
  <c r="G24" i="13"/>
  <c r="M228" i="9"/>
  <c r="F24" i="13"/>
  <c r="F228" i="9"/>
  <c r="K228" i="9" s="1"/>
  <c r="F18" i="6"/>
  <c r="F23" i="7"/>
  <c r="E287" i="13"/>
  <c r="E157" i="9"/>
  <c r="E286" i="6"/>
  <c r="B287" i="13"/>
  <c r="B286" i="6"/>
  <c r="G286" i="13"/>
  <c r="M156" i="9"/>
  <c r="F286" i="13"/>
  <c r="F156" i="9"/>
  <c r="K156" i="9" s="1"/>
  <c r="F285" i="7"/>
  <c r="F285" i="6"/>
  <c r="C286" i="13"/>
  <c r="C286" i="12"/>
  <c r="E286" i="12"/>
  <c r="G286" i="12"/>
  <c r="D286" i="12"/>
  <c r="F286" i="12"/>
  <c r="H286" i="12"/>
  <c r="C156" i="9"/>
  <c r="C285" i="7"/>
  <c r="H285" i="7" s="1"/>
  <c r="C285" i="6"/>
  <c r="H285" i="6" s="1"/>
  <c r="L285" i="6" s="1"/>
  <c r="H285" i="13"/>
  <c r="N155" i="9"/>
  <c r="E285" i="13"/>
  <c r="E155" i="9"/>
  <c r="E284" i="6"/>
  <c r="B285" i="13"/>
  <c r="B284" i="6"/>
  <c r="G284" i="13"/>
  <c r="M154" i="9"/>
  <c r="F284" i="13"/>
  <c r="F154" i="9"/>
  <c r="K154" i="9" s="1"/>
  <c r="F283" i="7"/>
  <c r="F283" i="6"/>
  <c r="C284" i="13"/>
  <c r="C284" i="12"/>
  <c r="E284" i="12"/>
  <c r="G284" i="12"/>
  <c r="D284" i="12"/>
  <c r="F284" i="12"/>
  <c r="H284" i="12"/>
  <c r="C154" i="9"/>
  <c r="C283" i="7"/>
  <c r="H283" i="7" s="1"/>
  <c r="C283" i="6"/>
  <c r="H283" i="6" s="1"/>
  <c r="H283" i="13"/>
  <c r="N153" i="9"/>
  <c r="E283" i="13"/>
  <c r="E153" i="9"/>
  <c r="E282" i="6"/>
  <c r="B283" i="13"/>
  <c r="B282" i="6"/>
  <c r="G282" i="13"/>
  <c r="M152" i="9"/>
  <c r="F282" i="13"/>
  <c r="F152" i="9"/>
  <c r="K152" i="9" s="1"/>
  <c r="F281" i="7"/>
  <c r="F281" i="6"/>
  <c r="C282" i="13"/>
  <c r="C282" i="12"/>
  <c r="E282" i="12"/>
  <c r="G282" i="12"/>
  <c r="D282" i="12"/>
  <c r="F282" i="12"/>
  <c r="H282" i="12"/>
  <c r="C152" i="9"/>
  <c r="C281" i="7"/>
  <c r="H281" i="7" s="1"/>
  <c r="C281" i="6"/>
  <c r="H281" i="6" s="1"/>
  <c r="H281" i="13"/>
  <c r="N151" i="9"/>
  <c r="E281" i="13"/>
  <c r="E151" i="9"/>
  <c r="E280" i="6"/>
  <c r="B281" i="13"/>
  <c r="B280" i="6"/>
  <c r="G280" i="13"/>
  <c r="M150" i="9"/>
  <c r="F280" i="13"/>
  <c r="F150" i="9"/>
  <c r="K150" i="9" s="1"/>
  <c r="F279" i="7"/>
  <c r="F279" i="6"/>
  <c r="C280" i="13"/>
  <c r="C280" i="12"/>
  <c r="E280" i="12"/>
  <c r="G280" i="12"/>
  <c r="D280" i="12"/>
  <c r="F280" i="12"/>
  <c r="H280" i="12"/>
  <c r="C150" i="9"/>
  <c r="B150" i="9" s="1"/>
  <c r="C279" i="7"/>
  <c r="H279" i="7" s="1"/>
  <c r="C279" i="6"/>
  <c r="H279" i="6" s="1"/>
  <c r="H279" i="13"/>
  <c r="N149" i="9"/>
  <c r="E279" i="13"/>
  <c r="E149" i="9"/>
  <c r="E278" i="6"/>
  <c r="B279" i="13"/>
  <c r="B278" i="6"/>
  <c r="G278" i="13"/>
  <c r="M148" i="9"/>
  <c r="F278" i="13"/>
  <c r="F148" i="9"/>
  <c r="K148" i="9" s="1"/>
  <c r="F277" i="7"/>
  <c r="F277" i="6"/>
  <c r="C278" i="13"/>
  <c r="C278" i="12"/>
  <c r="E278" i="12"/>
  <c r="G278" i="12"/>
  <c r="D278" i="12"/>
  <c r="F278" i="12"/>
  <c r="H278" i="12"/>
  <c r="C148" i="9"/>
  <c r="C277" i="7"/>
  <c r="H277" i="7" s="1"/>
  <c r="C277" i="6"/>
  <c r="H277" i="6" s="1"/>
  <c r="L277" i="6" s="1"/>
  <c r="H277" i="13"/>
  <c r="N147" i="9"/>
  <c r="E277" i="13"/>
  <c r="E147" i="9"/>
  <c r="E276" i="6"/>
  <c r="B277" i="13"/>
  <c r="B276" i="6"/>
  <c r="G276" i="13"/>
  <c r="M146" i="9"/>
  <c r="F276" i="13"/>
  <c r="F146" i="9"/>
  <c r="K146" i="9" s="1"/>
  <c r="F275" i="7"/>
  <c r="F275" i="6"/>
  <c r="C276" i="13"/>
  <c r="C276" i="12"/>
  <c r="E276" i="12"/>
  <c r="G276" i="12"/>
  <c r="D276" i="12"/>
  <c r="F276" i="12"/>
  <c r="H276" i="12"/>
  <c r="C146" i="9"/>
  <c r="C275" i="7"/>
  <c r="H275" i="7" s="1"/>
  <c r="C275" i="6"/>
  <c r="H275" i="6" s="1"/>
  <c r="H275" i="13"/>
  <c r="N145" i="9"/>
  <c r="E275" i="13"/>
  <c r="E145" i="9"/>
  <c r="E274" i="6"/>
  <c r="B275" i="13"/>
  <c r="B274" i="6"/>
  <c r="G274" i="13"/>
  <c r="M144" i="9"/>
  <c r="F274" i="13"/>
  <c r="F144" i="9"/>
  <c r="K144" i="9" s="1"/>
  <c r="F273" i="7"/>
  <c r="F273" i="6"/>
  <c r="C274" i="13"/>
  <c r="C274" i="12"/>
  <c r="E274" i="12"/>
  <c r="G274" i="12"/>
  <c r="D274" i="12"/>
  <c r="F274" i="12"/>
  <c r="H274" i="12"/>
  <c r="C144" i="9"/>
  <c r="C273" i="7"/>
  <c r="H273" i="7" s="1"/>
  <c r="C273" i="6"/>
  <c r="H273" i="6" s="1"/>
  <c r="H273" i="13"/>
  <c r="N143" i="9"/>
  <c r="E273" i="13"/>
  <c r="E143" i="9"/>
  <c r="E272" i="6"/>
  <c r="B273" i="13"/>
  <c r="B272" i="6"/>
  <c r="G272" i="13"/>
  <c r="M142" i="9"/>
  <c r="F272" i="13"/>
  <c r="F142" i="9"/>
  <c r="K142" i="9" s="1"/>
  <c r="F271" i="7"/>
  <c r="F271" i="6"/>
  <c r="C272" i="13"/>
  <c r="C272" i="12"/>
  <c r="E272" i="12"/>
  <c r="G272" i="12"/>
  <c r="D272" i="12"/>
  <c r="F272" i="12"/>
  <c r="H272" i="12"/>
  <c r="C142" i="9"/>
  <c r="B142" i="9" s="1"/>
  <c r="C271" i="7"/>
  <c r="H271" i="7" s="1"/>
  <c r="C271" i="6"/>
  <c r="H271" i="6" s="1"/>
  <c r="H271" i="13"/>
  <c r="N141" i="9"/>
  <c r="E271" i="13"/>
  <c r="E141" i="9"/>
  <c r="E270" i="6"/>
  <c r="B271" i="13"/>
  <c r="B270" i="6"/>
  <c r="G270" i="13"/>
  <c r="M140" i="9"/>
  <c r="F270" i="13"/>
  <c r="F140" i="9"/>
  <c r="K140" i="9" s="1"/>
  <c r="F269" i="7"/>
  <c r="F269" i="6"/>
  <c r="C270" i="13"/>
  <c r="C270" i="12"/>
  <c r="E270" i="12"/>
  <c r="G270" i="12"/>
  <c r="D270" i="12"/>
  <c r="F270" i="12"/>
  <c r="H270" i="12"/>
  <c r="C140" i="9"/>
  <c r="C269" i="7"/>
  <c r="H269" i="7" s="1"/>
  <c r="C269" i="6"/>
  <c r="H269" i="6" s="1"/>
  <c r="L269" i="6" s="1"/>
  <c r="H269" i="13"/>
  <c r="N139" i="9"/>
  <c r="E269" i="13"/>
  <c r="E139" i="9"/>
  <c r="E268" i="6"/>
  <c r="B269" i="13"/>
  <c r="B268" i="6"/>
  <c r="G268" i="13"/>
  <c r="M138" i="9"/>
  <c r="F268" i="13"/>
  <c r="F138" i="9"/>
  <c r="K138" i="9" s="1"/>
  <c r="F267" i="7"/>
  <c r="F267" i="6"/>
  <c r="C268" i="13"/>
  <c r="C268" i="12"/>
  <c r="E268" i="12"/>
  <c r="G268" i="12"/>
  <c r="D268" i="12"/>
  <c r="F268" i="12"/>
  <c r="H268" i="12"/>
  <c r="C138" i="9"/>
  <c r="C267" i="7"/>
  <c r="H267" i="7" s="1"/>
  <c r="C267" i="6"/>
  <c r="H267" i="6" s="1"/>
  <c r="H267" i="13"/>
  <c r="N137" i="9"/>
  <c r="E267" i="13"/>
  <c r="E137" i="9"/>
  <c r="E266" i="6"/>
  <c r="B267" i="13"/>
  <c r="B266" i="6"/>
  <c r="G266" i="13"/>
  <c r="M136" i="9"/>
  <c r="F266" i="13"/>
  <c r="F136" i="9"/>
  <c r="K136" i="9" s="1"/>
  <c r="F265" i="7"/>
  <c r="F265" i="6"/>
  <c r="C266" i="13"/>
  <c r="C266" i="12"/>
  <c r="E266" i="12"/>
  <c r="G266" i="12"/>
  <c r="D266" i="12"/>
  <c r="F266" i="12"/>
  <c r="H266" i="12"/>
  <c r="C136" i="9"/>
  <c r="C265" i="7"/>
  <c r="H265" i="7" s="1"/>
  <c r="C265" i="6"/>
  <c r="H265" i="6" s="1"/>
  <c r="H265" i="13"/>
  <c r="N135" i="9"/>
  <c r="E265" i="13"/>
  <c r="E135" i="9"/>
  <c r="E264" i="6"/>
  <c r="B265" i="13"/>
  <c r="B264" i="6"/>
  <c r="G264" i="13"/>
  <c r="M134" i="9"/>
  <c r="F264" i="13"/>
  <c r="F134" i="9"/>
  <c r="K134" i="9" s="1"/>
  <c r="F263" i="7"/>
  <c r="F263" i="6"/>
  <c r="C264" i="13"/>
  <c r="C264" i="12"/>
  <c r="E264" i="12"/>
  <c r="G264" i="12"/>
  <c r="D264" i="12"/>
  <c r="F264" i="12"/>
  <c r="H264" i="12"/>
  <c r="C134" i="9"/>
  <c r="C263" i="7"/>
  <c r="H263" i="7" s="1"/>
  <c r="C263" i="6"/>
  <c r="H263" i="6" s="1"/>
  <c r="H263" i="13"/>
  <c r="N133" i="9"/>
  <c r="E263" i="13"/>
  <c r="E133" i="9"/>
  <c r="E262" i="6"/>
  <c r="B263" i="13"/>
  <c r="B262" i="6"/>
  <c r="G262" i="13"/>
  <c r="M132" i="9"/>
  <c r="F262" i="13"/>
  <c r="F132" i="9"/>
  <c r="K132" i="9" s="1"/>
  <c r="F261" i="7"/>
  <c r="F261" i="6"/>
  <c r="C262" i="13"/>
  <c r="C262" i="12"/>
  <c r="E262" i="12"/>
  <c r="G262" i="12"/>
  <c r="D262" i="12"/>
  <c r="F262" i="12"/>
  <c r="H262" i="12"/>
  <c r="C132" i="9"/>
  <c r="C261" i="7"/>
  <c r="H261" i="7" s="1"/>
  <c r="C261" i="6"/>
  <c r="H261" i="6" s="1"/>
  <c r="L261" i="6" s="1"/>
  <c r="H261" i="13"/>
  <c r="N131" i="9"/>
  <c r="E261" i="13"/>
  <c r="E131" i="9"/>
  <c r="E260" i="6"/>
  <c r="B261" i="13"/>
  <c r="B260" i="6"/>
  <c r="G260" i="13"/>
  <c r="M130" i="9"/>
  <c r="F260" i="13"/>
  <c r="F130" i="9"/>
  <c r="K130" i="9" s="1"/>
  <c r="F259" i="7"/>
  <c r="F259" i="6"/>
  <c r="C260" i="13"/>
  <c r="C260" i="12"/>
  <c r="E260" i="12"/>
  <c r="G260" i="12"/>
  <c r="D260" i="12"/>
  <c r="F260" i="12"/>
  <c r="H260" i="12"/>
  <c r="C130" i="9"/>
  <c r="C259" i="7"/>
  <c r="H259" i="7" s="1"/>
  <c r="C259" i="6"/>
  <c r="H259" i="6" s="1"/>
  <c r="H259" i="13"/>
  <c r="N129" i="9"/>
  <c r="E259" i="13"/>
  <c r="E129" i="9"/>
  <c r="E258" i="6"/>
  <c r="B259" i="13"/>
  <c r="B258" i="6"/>
  <c r="G258" i="13"/>
  <c r="M128" i="9"/>
  <c r="F258" i="13"/>
  <c r="F128" i="9"/>
  <c r="K128" i="9" s="1"/>
  <c r="F257" i="7"/>
  <c r="F257" i="6"/>
  <c r="C258" i="13"/>
  <c r="C258" i="12"/>
  <c r="E258" i="12"/>
  <c r="G258" i="12"/>
  <c r="D258" i="12"/>
  <c r="F258" i="12"/>
  <c r="H258" i="12"/>
  <c r="C128" i="9"/>
  <c r="C257" i="7"/>
  <c r="H257" i="7" s="1"/>
  <c r="C257" i="6"/>
  <c r="H257" i="6" s="1"/>
  <c r="H257" i="13"/>
  <c r="N127" i="9"/>
  <c r="E257" i="13"/>
  <c r="E127" i="9"/>
  <c r="E256" i="6"/>
  <c r="B257" i="13"/>
  <c r="B256" i="6"/>
  <c r="G256" i="13"/>
  <c r="M126" i="9"/>
  <c r="F256" i="13"/>
  <c r="F126" i="9"/>
  <c r="K126" i="9" s="1"/>
  <c r="F255" i="7"/>
  <c r="F255" i="6"/>
  <c r="C256" i="13"/>
  <c r="C256" i="12"/>
  <c r="E256" i="12"/>
  <c r="G256" i="12"/>
  <c r="D256" i="12"/>
  <c r="F256" i="12"/>
  <c r="H256" i="12"/>
  <c r="C126" i="9"/>
  <c r="B126" i="9" s="1"/>
  <c r="C255" i="7"/>
  <c r="H255" i="7" s="1"/>
  <c r="C255" i="6"/>
  <c r="H255" i="6" s="1"/>
  <c r="H255" i="13"/>
  <c r="N125" i="9"/>
  <c r="E255" i="13"/>
  <c r="E125" i="9"/>
  <c r="E254" i="6"/>
  <c r="B255" i="13"/>
  <c r="B254" i="6"/>
  <c r="G254" i="13"/>
  <c r="M124" i="9"/>
  <c r="F254" i="13"/>
  <c r="F124" i="9"/>
  <c r="K124" i="9" s="1"/>
  <c r="F253" i="7"/>
  <c r="F253" i="6"/>
  <c r="C254" i="13"/>
  <c r="C254" i="12"/>
  <c r="E254" i="12"/>
  <c r="G254" i="12"/>
  <c r="D254" i="12"/>
  <c r="F254" i="12"/>
  <c r="H254" i="12"/>
  <c r="C124" i="9"/>
  <c r="C253" i="7"/>
  <c r="H253" i="7" s="1"/>
  <c r="C253" i="6"/>
  <c r="H253" i="6" s="1"/>
  <c r="L253" i="6" s="1"/>
  <c r="H253" i="13"/>
  <c r="N123" i="9"/>
  <c r="E253" i="13"/>
  <c r="E123" i="9"/>
  <c r="E252" i="6"/>
  <c r="B253" i="13"/>
  <c r="B252" i="6"/>
  <c r="G252" i="13"/>
  <c r="M122" i="9"/>
  <c r="F252" i="13"/>
  <c r="F122" i="9"/>
  <c r="K122" i="9" s="1"/>
  <c r="F251" i="7"/>
  <c r="F251" i="6"/>
  <c r="C252" i="13"/>
  <c r="C252" i="12"/>
  <c r="E252" i="12"/>
  <c r="G252" i="12"/>
  <c r="D252" i="12"/>
  <c r="F252" i="12"/>
  <c r="H252" i="12"/>
  <c r="C122" i="9"/>
  <c r="C251" i="7"/>
  <c r="H251" i="7" s="1"/>
  <c r="C251" i="6"/>
  <c r="H251" i="6" s="1"/>
  <c r="H251" i="13"/>
  <c r="N121" i="9"/>
  <c r="E251" i="13"/>
  <c r="E121" i="9"/>
  <c r="E250" i="6"/>
  <c r="B251" i="13"/>
  <c r="B250" i="6"/>
  <c r="G250" i="13"/>
  <c r="M120" i="9"/>
  <c r="F250" i="13"/>
  <c r="F120" i="9"/>
  <c r="K120" i="9" s="1"/>
  <c r="F249" i="7"/>
  <c r="F249" i="6"/>
  <c r="C250" i="13"/>
  <c r="C250" i="12"/>
  <c r="E250" i="12"/>
  <c r="G250" i="12"/>
  <c r="D250" i="12"/>
  <c r="F250" i="12"/>
  <c r="H250" i="12"/>
  <c r="C120" i="9"/>
  <c r="C249" i="7"/>
  <c r="H249" i="7" s="1"/>
  <c r="C249" i="6"/>
  <c r="H249" i="6" s="1"/>
  <c r="H249" i="13"/>
  <c r="N119" i="9"/>
  <c r="E249" i="13"/>
  <c r="E119" i="9"/>
  <c r="E248" i="6"/>
  <c r="B249" i="13"/>
  <c r="B248" i="6"/>
  <c r="G248" i="13"/>
  <c r="M118" i="9"/>
  <c r="F248" i="13"/>
  <c r="F118" i="9"/>
  <c r="K118" i="9" s="1"/>
  <c r="F247" i="7"/>
  <c r="F247" i="6"/>
  <c r="C248" i="13"/>
  <c r="C248" i="12"/>
  <c r="E248" i="12"/>
  <c r="G248" i="12"/>
  <c r="D248" i="12"/>
  <c r="F248" i="12"/>
  <c r="H248" i="12"/>
  <c r="C118" i="9"/>
  <c r="C247" i="7"/>
  <c r="H247" i="7" s="1"/>
  <c r="C247" i="6"/>
  <c r="H247" i="6" s="1"/>
  <c r="H247" i="13"/>
  <c r="N117" i="9"/>
  <c r="E247" i="13"/>
  <c r="E117" i="9"/>
  <c r="E246" i="6"/>
  <c r="B247" i="13"/>
  <c r="B246" i="6"/>
  <c r="G246" i="13"/>
  <c r="M116" i="9"/>
  <c r="F246" i="13"/>
  <c r="F116" i="9"/>
  <c r="K116" i="9" s="1"/>
  <c r="F245" i="7"/>
  <c r="F245" i="6"/>
  <c r="C246" i="13"/>
  <c r="C246" i="12"/>
  <c r="E246" i="12"/>
  <c r="G246" i="12"/>
  <c r="D246" i="12"/>
  <c r="F246" i="12"/>
  <c r="H246" i="12"/>
  <c r="C116" i="9"/>
  <c r="C245" i="7"/>
  <c r="H245" i="7" s="1"/>
  <c r="C245" i="6"/>
  <c r="H245" i="6" s="1"/>
  <c r="L245" i="6" s="1"/>
  <c r="H245" i="13"/>
  <c r="N115" i="9"/>
  <c r="E245" i="13"/>
  <c r="E115" i="9"/>
  <c r="E244" i="6"/>
  <c r="B245" i="13"/>
  <c r="B244" i="6"/>
  <c r="G244" i="13"/>
  <c r="M114" i="9"/>
  <c r="F244" i="13"/>
  <c r="F114" i="9"/>
  <c r="K114" i="9" s="1"/>
  <c r="F243" i="7"/>
  <c r="F243" i="6"/>
  <c r="C244" i="13"/>
  <c r="C244" i="12"/>
  <c r="E244" i="12"/>
  <c r="G244" i="12"/>
  <c r="D244" i="12"/>
  <c r="F244" i="12"/>
  <c r="H244" i="12"/>
  <c r="C114" i="9"/>
  <c r="C243" i="7"/>
  <c r="H243" i="7" s="1"/>
  <c r="C243" i="6"/>
  <c r="H243" i="6" s="1"/>
  <c r="H243" i="13"/>
  <c r="N113" i="9"/>
  <c r="E243" i="13"/>
  <c r="E113" i="9"/>
  <c r="E242" i="6"/>
  <c r="B243" i="13"/>
  <c r="B242" i="6"/>
  <c r="G242" i="13"/>
  <c r="M112" i="9"/>
  <c r="F242" i="13"/>
  <c r="F112" i="9"/>
  <c r="K112" i="9" s="1"/>
  <c r="F241" i="7"/>
  <c r="F241" i="6"/>
  <c r="C242" i="13"/>
  <c r="C242" i="12"/>
  <c r="E242" i="12"/>
  <c r="G242" i="12"/>
  <c r="D242" i="12"/>
  <c r="F242" i="12"/>
  <c r="H242" i="12"/>
  <c r="C112" i="9"/>
  <c r="C241" i="7"/>
  <c r="H241" i="7" s="1"/>
  <c r="C241" i="6"/>
  <c r="H241" i="6" s="1"/>
  <c r="H241" i="13"/>
  <c r="N111" i="9"/>
  <c r="E241" i="13"/>
  <c r="E111" i="9"/>
  <c r="E240" i="6"/>
  <c r="B241" i="13"/>
  <c r="B240" i="6"/>
  <c r="G240" i="13"/>
  <c r="M110" i="9"/>
  <c r="F240" i="13"/>
  <c r="F110" i="9"/>
  <c r="K110" i="9" s="1"/>
  <c r="F239" i="7"/>
  <c r="F239" i="6"/>
  <c r="C240" i="13"/>
  <c r="C240" i="12"/>
  <c r="E240" i="12"/>
  <c r="G240" i="12"/>
  <c r="D240" i="12"/>
  <c r="F240" i="12"/>
  <c r="H240" i="12"/>
  <c r="C110" i="9"/>
  <c r="L110" i="9" s="1"/>
  <c r="C239" i="7"/>
  <c r="H239" i="7" s="1"/>
  <c r="C239" i="6"/>
  <c r="H239" i="6" s="1"/>
  <c r="H239" i="13"/>
  <c r="N109" i="9"/>
  <c r="E239" i="13"/>
  <c r="E109" i="9"/>
  <c r="E238" i="6"/>
  <c r="B239" i="13"/>
  <c r="B238" i="6"/>
  <c r="G238" i="13"/>
  <c r="M108" i="9"/>
  <c r="F238" i="13"/>
  <c r="F108" i="9"/>
  <c r="K108" i="9" s="1"/>
  <c r="F237" i="7"/>
  <c r="F237" i="6"/>
  <c r="C238" i="13"/>
  <c r="C238" i="12"/>
  <c r="E238" i="12"/>
  <c r="G238" i="12"/>
  <c r="D238" i="12"/>
  <c r="F238" i="12"/>
  <c r="H238" i="12"/>
  <c r="C108" i="9"/>
  <c r="C237" i="7"/>
  <c r="H237" i="7" s="1"/>
  <c r="C237" i="6"/>
  <c r="H237" i="6" s="1"/>
  <c r="L237" i="6" s="1"/>
  <c r="H237" i="13"/>
  <c r="N107" i="9"/>
  <c r="E237" i="13"/>
  <c r="E107" i="9"/>
  <c r="E236" i="6"/>
  <c r="B237" i="13"/>
  <c r="B236" i="6"/>
  <c r="G236" i="13"/>
  <c r="M106" i="9"/>
  <c r="F236" i="13"/>
  <c r="F106" i="9"/>
  <c r="K106" i="9" s="1"/>
  <c r="F235" i="7"/>
  <c r="F235" i="6"/>
  <c r="C236" i="13"/>
  <c r="C236" i="12"/>
  <c r="E236" i="12"/>
  <c r="G236" i="12"/>
  <c r="D236" i="12"/>
  <c r="F236" i="12"/>
  <c r="H236" i="12"/>
  <c r="C106" i="9"/>
  <c r="C235" i="7"/>
  <c r="H235" i="7" s="1"/>
  <c r="C235" i="6"/>
  <c r="H235" i="6" s="1"/>
  <c r="H235" i="13"/>
  <c r="N105" i="9"/>
  <c r="E235" i="13"/>
  <c r="E105" i="9"/>
  <c r="E234" i="6"/>
  <c r="B235" i="13"/>
  <c r="B234" i="6"/>
  <c r="G234" i="13"/>
  <c r="M104" i="9"/>
  <c r="F234" i="13"/>
  <c r="F104" i="9"/>
  <c r="K104" i="9" s="1"/>
  <c r="F233" i="7"/>
  <c r="F233" i="6"/>
  <c r="C234" i="13"/>
  <c r="C234" i="12"/>
  <c r="E234" i="12"/>
  <c r="G234" i="12"/>
  <c r="D234" i="12"/>
  <c r="F234" i="12"/>
  <c r="H234" i="12"/>
  <c r="C104" i="9"/>
  <c r="C233" i="7"/>
  <c r="H233" i="7" s="1"/>
  <c r="C233" i="6"/>
  <c r="H233" i="6" s="1"/>
  <c r="H233" i="13"/>
  <c r="N103" i="9"/>
  <c r="E233" i="13"/>
  <c r="E103" i="9"/>
  <c r="E232" i="6"/>
  <c r="B233" i="13"/>
  <c r="B232" i="6"/>
  <c r="G232" i="13"/>
  <c r="M102" i="9"/>
  <c r="F232" i="13"/>
  <c r="F102" i="9"/>
  <c r="K102" i="9" s="1"/>
  <c r="F231" i="7"/>
  <c r="F231" i="6"/>
  <c r="C232" i="13"/>
  <c r="C232" i="12"/>
  <c r="E232" i="12"/>
  <c r="G232" i="12"/>
  <c r="D232" i="12"/>
  <c r="F232" i="12"/>
  <c r="H232" i="12"/>
  <c r="C102" i="9"/>
  <c r="B102" i="9" s="1"/>
  <c r="C231" i="7"/>
  <c r="H231" i="7" s="1"/>
  <c r="C231" i="6"/>
  <c r="H231" i="6" s="1"/>
  <c r="H231" i="13"/>
  <c r="N101" i="9"/>
  <c r="E231" i="13"/>
  <c r="E101" i="9"/>
  <c r="E230" i="6"/>
  <c r="B231" i="13"/>
  <c r="B230" i="6"/>
  <c r="G230" i="13"/>
  <c r="M100" i="9"/>
  <c r="F230" i="13"/>
  <c r="F100" i="9"/>
  <c r="K100" i="9" s="1"/>
  <c r="F229" i="7"/>
  <c r="F229" i="6"/>
  <c r="C230" i="13"/>
  <c r="C230" i="12"/>
  <c r="E230" i="12"/>
  <c r="G230" i="12"/>
  <c r="D230" i="12"/>
  <c r="F230" i="12"/>
  <c r="H230" i="12"/>
  <c r="C100" i="9"/>
  <c r="C229" i="7"/>
  <c r="H229" i="7" s="1"/>
  <c r="C229" i="6"/>
  <c r="H229" i="6" s="1"/>
  <c r="L229" i="6" s="1"/>
  <c r="H229" i="13"/>
  <c r="N99" i="9"/>
  <c r="E229" i="13"/>
  <c r="E99" i="9"/>
  <c r="E228" i="6"/>
  <c r="B229" i="13"/>
  <c r="B228" i="6"/>
  <c r="G228" i="13"/>
  <c r="M98" i="9"/>
  <c r="F228" i="13"/>
  <c r="F98" i="9"/>
  <c r="K98" i="9" s="1"/>
  <c r="F227" i="7"/>
  <c r="F227" i="6"/>
  <c r="C228" i="13"/>
  <c r="C228" i="12"/>
  <c r="E228" i="12"/>
  <c r="G228" i="12"/>
  <c r="D228" i="12"/>
  <c r="F228" i="12"/>
  <c r="H228" i="12"/>
  <c r="C98" i="9"/>
  <c r="C227" i="7"/>
  <c r="H227" i="7" s="1"/>
  <c r="C227" i="6"/>
  <c r="H227" i="6" s="1"/>
  <c r="H227" i="13"/>
  <c r="N97" i="9"/>
  <c r="E227" i="13"/>
  <c r="E97" i="9"/>
  <c r="E226" i="6"/>
  <c r="B227" i="13"/>
  <c r="B226" i="6"/>
  <c r="G226" i="13"/>
  <c r="M96" i="9"/>
  <c r="F226" i="13"/>
  <c r="F96" i="9"/>
  <c r="K96" i="9" s="1"/>
  <c r="F225" i="7"/>
  <c r="F225" i="6"/>
  <c r="C226" i="13"/>
  <c r="C226" i="12"/>
  <c r="E226" i="12"/>
  <c r="G226" i="12"/>
  <c r="D226" i="12"/>
  <c r="F226" i="12"/>
  <c r="H226" i="12"/>
  <c r="C96" i="9"/>
  <c r="C225" i="7"/>
  <c r="H225" i="7" s="1"/>
  <c r="C225" i="6"/>
  <c r="H225" i="6" s="1"/>
  <c r="H225" i="13"/>
  <c r="N95" i="9"/>
  <c r="E225" i="13"/>
  <c r="E95" i="9"/>
  <c r="E224" i="6"/>
  <c r="B225" i="13"/>
  <c r="B224" i="6"/>
  <c r="G224" i="13"/>
  <c r="M94" i="9"/>
  <c r="F224" i="13"/>
  <c r="F94" i="9"/>
  <c r="K94" i="9" s="1"/>
  <c r="F223" i="7"/>
  <c r="F223" i="6"/>
  <c r="C224" i="13"/>
  <c r="C224" i="12"/>
  <c r="E224" i="12"/>
  <c r="G224" i="12"/>
  <c r="D224" i="12"/>
  <c r="F224" i="12"/>
  <c r="H224" i="12"/>
  <c r="C94" i="9"/>
  <c r="C223" i="7"/>
  <c r="H223" i="7" s="1"/>
  <c r="C223" i="6"/>
  <c r="H223" i="6" s="1"/>
  <c r="H223" i="13"/>
  <c r="N93" i="9"/>
  <c r="E223" i="13"/>
  <c r="E93" i="9"/>
  <c r="E222" i="6"/>
  <c r="B223" i="13"/>
  <c r="B222" i="6"/>
  <c r="G222" i="13"/>
  <c r="M92" i="9"/>
  <c r="F222" i="13"/>
  <c r="F92" i="9"/>
  <c r="K92" i="9" s="1"/>
  <c r="F221" i="7"/>
  <c r="F221" i="6"/>
  <c r="C222" i="13"/>
  <c r="C222" i="12"/>
  <c r="E222" i="12"/>
  <c r="G222" i="12"/>
  <c r="D222" i="12"/>
  <c r="F222" i="12"/>
  <c r="H222" i="12"/>
  <c r="C92" i="9"/>
  <c r="C221" i="7"/>
  <c r="H221" i="7" s="1"/>
  <c r="C221" i="6"/>
  <c r="H221" i="6" s="1"/>
  <c r="L221" i="6" s="1"/>
  <c r="H221" i="13"/>
  <c r="N91" i="9"/>
  <c r="E221" i="13"/>
  <c r="E91" i="9"/>
  <c r="E220" i="6"/>
  <c r="B221" i="13"/>
  <c r="B220" i="6"/>
  <c r="G220" i="13"/>
  <c r="M90" i="9"/>
  <c r="F220" i="13"/>
  <c r="F90" i="9"/>
  <c r="K90" i="9" s="1"/>
  <c r="F219" i="7"/>
  <c r="F219" i="6"/>
  <c r="C220" i="13"/>
  <c r="C220" i="12"/>
  <c r="E220" i="12"/>
  <c r="G220" i="12"/>
  <c r="D220" i="12"/>
  <c r="F220" i="12"/>
  <c r="H220" i="12"/>
  <c r="C90" i="9"/>
  <c r="C219" i="7"/>
  <c r="H219" i="7" s="1"/>
  <c r="C219" i="6"/>
  <c r="H219" i="6" s="1"/>
  <c r="H219" i="13"/>
  <c r="N89" i="9"/>
  <c r="E219" i="13"/>
  <c r="E89" i="9"/>
  <c r="E218" i="6"/>
  <c r="B219" i="13"/>
  <c r="B218" i="6"/>
  <c r="G218" i="13"/>
  <c r="M88" i="9"/>
  <c r="F218" i="13"/>
  <c r="F88" i="9"/>
  <c r="K88" i="9" s="1"/>
  <c r="F217" i="7"/>
  <c r="F217" i="6"/>
  <c r="C218" i="13"/>
  <c r="C218" i="12"/>
  <c r="E218" i="12"/>
  <c r="G218" i="12"/>
  <c r="D218" i="12"/>
  <c r="F218" i="12"/>
  <c r="H218" i="12"/>
  <c r="C88" i="9"/>
  <c r="C217" i="7"/>
  <c r="H217" i="7" s="1"/>
  <c r="C217" i="6"/>
  <c r="H217" i="6" s="1"/>
  <c r="H217" i="13"/>
  <c r="N87" i="9"/>
  <c r="E217" i="13"/>
  <c r="E87" i="9"/>
  <c r="E216" i="6"/>
  <c r="B217" i="13"/>
  <c r="B216" i="6"/>
  <c r="G216" i="13"/>
  <c r="M86" i="9"/>
  <c r="F216" i="13"/>
  <c r="F86" i="9"/>
  <c r="K86" i="9" s="1"/>
  <c r="F215" i="7"/>
  <c r="F215" i="6"/>
  <c r="C216" i="13"/>
  <c r="C216" i="12"/>
  <c r="E216" i="12"/>
  <c r="G216" i="12"/>
  <c r="D216" i="12"/>
  <c r="F216" i="12"/>
  <c r="H216" i="12"/>
  <c r="C86" i="9"/>
  <c r="B86" i="9" s="1"/>
  <c r="C215" i="7"/>
  <c r="H215" i="7" s="1"/>
  <c r="C215" i="6"/>
  <c r="H215" i="6" s="1"/>
  <c r="H215" i="13"/>
  <c r="N85" i="9"/>
  <c r="E215" i="13"/>
  <c r="E85" i="9"/>
  <c r="E214" i="6"/>
  <c r="B215" i="13"/>
  <c r="B214" i="6"/>
  <c r="G214" i="13"/>
  <c r="M84" i="9"/>
  <c r="F214" i="13"/>
  <c r="F84" i="9"/>
  <c r="K84" i="9" s="1"/>
  <c r="F213" i="7"/>
  <c r="F213" i="6"/>
  <c r="C214" i="13"/>
  <c r="C214" i="12"/>
  <c r="E214" i="12"/>
  <c r="G214" i="12"/>
  <c r="D214" i="12"/>
  <c r="F214" i="12"/>
  <c r="H214" i="12"/>
  <c r="C84" i="9"/>
  <c r="C213" i="7"/>
  <c r="H213" i="7" s="1"/>
  <c r="C213" i="6"/>
  <c r="H213" i="6" s="1"/>
  <c r="L213" i="6" s="1"/>
  <c r="H213" i="13"/>
  <c r="N83" i="9"/>
  <c r="E213" i="13"/>
  <c r="E83" i="9"/>
  <c r="E212" i="6"/>
  <c r="B213" i="13"/>
  <c r="B212" i="6"/>
  <c r="G212" i="13"/>
  <c r="M82" i="9"/>
  <c r="F212" i="13"/>
  <c r="F82" i="9"/>
  <c r="K82" i="9" s="1"/>
  <c r="F211" i="7"/>
  <c r="F211" i="6"/>
  <c r="C212" i="13"/>
  <c r="C212" i="12"/>
  <c r="E212" i="12"/>
  <c r="G212" i="12"/>
  <c r="D212" i="12"/>
  <c r="F212" i="12"/>
  <c r="H212" i="12"/>
  <c r="C82" i="9"/>
  <c r="C211" i="7"/>
  <c r="H211" i="7" s="1"/>
  <c r="C211" i="6"/>
  <c r="H211" i="6" s="1"/>
  <c r="H211" i="13"/>
  <c r="N81" i="9"/>
  <c r="E211" i="13"/>
  <c r="E81" i="9"/>
  <c r="E210" i="6"/>
  <c r="B211" i="13"/>
  <c r="B210" i="6"/>
  <c r="G210" i="13"/>
  <c r="M80" i="9"/>
  <c r="F210" i="13"/>
  <c r="F80" i="9"/>
  <c r="K80" i="9" s="1"/>
  <c r="F209" i="7"/>
  <c r="F209" i="6"/>
  <c r="C210" i="13"/>
  <c r="C210" i="12"/>
  <c r="E210" i="12"/>
  <c r="G210" i="12"/>
  <c r="D210" i="12"/>
  <c r="F210" i="12"/>
  <c r="H210" i="12"/>
  <c r="C80" i="9"/>
  <c r="C209" i="7"/>
  <c r="H209" i="7" s="1"/>
  <c r="C209" i="6"/>
  <c r="H209" i="6" s="1"/>
  <c r="H209" i="13"/>
  <c r="N79" i="9"/>
  <c r="E209" i="13"/>
  <c r="E79" i="9"/>
  <c r="E208" i="6"/>
  <c r="B209" i="13"/>
  <c r="B208" i="6"/>
  <c r="G208" i="13"/>
  <c r="M78" i="9"/>
  <c r="F208" i="13"/>
  <c r="F78" i="9"/>
  <c r="K78" i="9" s="1"/>
  <c r="F207" i="7"/>
  <c r="F207" i="6"/>
  <c r="C208" i="13"/>
  <c r="C208" i="12"/>
  <c r="E208" i="12"/>
  <c r="G208" i="12"/>
  <c r="D208" i="12"/>
  <c r="F208" i="12"/>
  <c r="H208" i="12"/>
  <c r="C78" i="9"/>
  <c r="B78" i="9" s="1"/>
  <c r="C207" i="7"/>
  <c r="H207" i="7" s="1"/>
  <c r="C207" i="6"/>
  <c r="H207" i="6" s="1"/>
  <c r="H207" i="13"/>
  <c r="N77" i="9"/>
  <c r="E207" i="13"/>
  <c r="E77" i="9"/>
  <c r="E206" i="6"/>
  <c r="B207" i="13"/>
  <c r="B206" i="6"/>
  <c r="G206" i="13"/>
  <c r="M76" i="9"/>
  <c r="F206" i="13"/>
  <c r="F76" i="9"/>
  <c r="K76" i="9" s="1"/>
  <c r="F205" i="7"/>
  <c r="F205" i="6"/>
  <c r="C206" i="13"/>
  <c r="C206" i="12"/>
  <c r="E206" i="12"/>
  <c r="G206" i="12"/>
  <c r="D206" i="12"/>
  <c r="F206" i="12"/>
  <c r="H206" i="12"/>
  <c r="C76" i="9"/>
  <c r="C205" i="7"/>
  <c r="H205" i="7" s="1"/>
  <c r="C205" i="6"/>
  <c r="H205" i="6" s="1"/>
  <c r="L205" i="6" s="1"/>
  <c r="H205" i="13"/>
  <c r="N75" i="9"/>
  <c r="E205" i="13"/>
  <c r="E75" i="9"/>
  <c r="E204" i="6"/>
  <c r="B205" i="13"/>
  <c r="B204" i="6"/>
  <c r="G204" i="13"/>
  <c r="M74" i="9"/>
  <c r="F204" i="13"/>
  <c r="F74" i="9"/>
  <c r="K74" i="9" s="1"/>
  <c r="F203" i="7"/>
  <c r="F203" i="6"/>
  <c r="C204" i="13"/>
  <c r="C204" i="12"/>
  <c r="E204" i="12"/>
  <c r="G204" i="12"/>
  <c r="D204" i="12"/>
  <c r="F204" i="12"/>
  <c r="H204" i="12"/>
  <c r="C74" i="9"/>
  <c r="C203" i="7"/>
  <c r="H203" i="7" s="1"/>
  <c r="C203" i="6"/>
  <c r="H203" i="6" s="1"/>
  <c r="H203" i="13"/>
  <c r="N73" i="9"/>
  <c r="E203" i="13"/>
  <c r="E73" i="9"/>
  <c r="E202" i="6"/>
  <c r="B203" i="13"/>
  <c r="B202" i="6"/>
  <c r="G202" i="13"/>
  <c r="M72" i="9"/>
  <c r="F202" i="13"/>
  <c r="F72" i="9"/>
  <c r="K72" i="9" s="1"/>
  <c r="F201" i="7"/>
  <c r="F201" i="6"/>
  <c r="C202" i="13"/>
  <c r="C202" i="12"/>
  <c r="E202" i="12"/>
  <c r="G202" i="12"/>
  <c r="D202" i="12"/>
  <c r="F202" i="12"/>
  <c r="H202" i="12"/>
  <c r="C72" i="9"/>
  <c r="C201" i="7"/>
  <c r="H201" i="7" s="1"/>
  <c r="C201" i="6"/>
  <c r="H201" i="6" s="1"/>
  <c r="H201" i="13"/>
  <c r="N71" i="9"/>
  <c r="E201" i="13"/>
  <c r="E71" i="9"/>
  <c r="E200" i="6"/>
  <c r="B201" i="13"/>
  <c r="B200" i="6"/>
  <c r="G200" i="13"/>
  <c r="M70" i="9"/>
  <c r="F200" i="13"/>
  <c r="F70" i="9"/>
  <c r="K70" i="9" s="1"/>
  <c r="F199" i="7"/>
  <c r="F199" i="6"/>
  <c r="C200" i="13"/>
  <c r="C200" i="12"/>
  <c r="E200" i="12"/>
  <c r="G200" i="12"/>
  <c r="D200" i="12"/>
  <c r="F200" i="12"/>
  <c r="H200" i="12"/>
  <c r="C70" i="9"/>
  <c r="L70" i="9" s="1"/>
  <c r="C199" i="7"/>
  <c r="H199" i="7" s="1"/>
  <c r="C199" i="6"/>
  <c r="H199" i="6" s="1"/>
  <c r="H199" i="13"/>
  <c r="N69" i="9"/>
  <c r="E199" i="13"/>
  <c r="E69" i="9"/>
  <c r="E198" i="6"/>
  <c r="B199" i="13"/>
  <c r="B198" i="6"/>
  <c r="G198" i="13"/>
  <c r="M68" i="9"/>
  <c r="F198" i="13"/>
  <c r="F68" i="9"/>
  <c r="K68" i="9" s="1"/>
  <c r="F197" i="7"/>
  <c r="F197" i="6"/>
  <c r="C198" i="13"/>
  <c r="C198" i="12"/>
  <c r="E198" i="12"/>
  <c r="G198" i="12"/>
  <c r="D198" i="12"/>
  <c r="F198" i="12"/>
  <c r="H198" i="12"/>
  <c r="C68" i="9"/>
  <c r="C197" i="7"/>
  <c r="H197" i="7" s="1"/>
  <c r="C197" i="6"/>
  <c r="H197" i="6" s="1"/>
  <c r="L197" i="6" s="1"/>
  <c r="H197" i="13"/>
  <c r="N67" i="9"/>
  <c r="E197" i="13"/>
  <c r="E67" i="9"/>
  <c r="E196" i="6"/>
  <c r="B197" i="13"/>
  <c r="B196" i="6"/>
  <c r="G196" i="13"/>
  <c r="M66" i="9"/>
  <c r="F196" i="13"/>
  <c r="F66" i="9"/>
  <c r="K66" i="9" s="1"/>
  <c r="F195" i="7"/>
  <c r="F195" i="6"/>
  <c r="C196" i="13"/>
  <c r="C196" i="12"/>
  <c r="E196" i="12"/>
  <c r="G196" i="12"/>
  <c r="D196" i="12"/>
  <c r="F196" i="12"/>
  <c r="H196" i="12"/>
  <c r="C66" i="9"/>
  <c r="C195" i="7"/>
  <c r="H195" i="7" s="1"/>
  <c r="C195" i="6"/>
  <c r="H195" i="6" s="1"/>
  <c r="H195" i="13"/>
  <c r="N65" i="9"/>
  <c r="E195" i="13"/>
  <c r="E65" i="9"/>
  <c r="E194" i="6"/>
  <c r="B195" i="13"/>
  <c r="B194" i="6"/>
  <c r="G194" i="13"/>
  <c r="M64" i="9"/>
  <c r="F194" i="13"/>
  <c r="F64" i="9"/>
  <c r="K64" i="9" s="1"/>
  <c r="F193" i="7"/>
  <c r="F193" i="6"/>
  <c r="C194" i="13"/>
  <c r="C194" i="12"/>
  <c r="E194" i="12"/>
  <c r="G194" i="12"/>
  <c r="D194" i="12"/>
  <c r="F194" i="12"/>
  <c r="H194" i="12"/>
  <c r="C64" i="9"/>
  <c r="C193" i="7"/>
  <c r="H193" i="7" s="1"/>
  <c r="C193" i="6"/>
  <c r="H193" i="6" s="1"/>
  <c r="L193" i="6" s="1"/>
  <c r="H193" i="13"/>
  <c r="N63" i="9"/>
  <c r="E193" i="13"/>
  <c r="E63" i="9"/>
  <c r="E192" i="6"/>
  <c r="B193" i="13"/>
  <c r="B192" i="6"/>
  <c r="G192" i="13"/>
  <c r="M62" i="9"/>
  <c r="F192" i="13"/>
  <c r="F62" i="9"/>
  <c r="K62" i="9" s="1"/>
  <c r="F191" i="7"/>
  <c r="F191" i="6"/>
  <c r="C192" i="13"/>
  <c r="C192" i="12"/>
  <c r="E192" i="12"/>
  <c r="G192" i="12"/>
  <c r="D192" i="12"/>
  <c r="F192" i="12"/>
  <c r="H192" i="12"/>
  <c r="C62" i="9"/>
  <c r="C191" i="7"/>
  <c r="H191" i="7" s="1"/>
  <c r="C191" i="6"/>
  <c r="H191" i="6" s="1"/>
  <c r="H191" i="13"/>
  <c r="N61" i="9"/>
  <c r="E191" i="13"/>
  <c r="E61" i="9"/>
  <c r="E190" i="6"/>
  <c r="B191" i="13"/>
  <c r="B190" i="6"/>
  <c r="G190" i="13"/>
  <c r="M60" i="9"/>
  <c r="F190" i="13"/>
  <c r="F60" i="9"/>
  <c r="K60" i="9" s="1"/>
  <c r="F189" i="7"/>
  <c r="F189" i="6"/>
  <c r="C190" i="13"/>
  <c r="C190" i="12"/>
  <c r="E190" i="12"/>
  <c r="G190" i="12"/>
  <c r="D190" i="12"/>
  <c r="F190" i="12"/>
  <c r="H190" i="12"/>
  <c r="C60" i="9"/>
  <c r="C189" i="7"/>
  <c r="H189" i="7" s="1"/>
  <c r="C189" i="6"/>
  <c r="H189" i="6" s="1"/>
  <c r="H189" i="13"/>
  <c r="N59" i="9"/>
  <c r="E189" i="13"/>
  <c r="E59" i="9"/>
  <c r="E188" i="6"/>
  <c r="B189" i="13"/>
  <c r="B188" i="6"/>
  <c r="G188" i="13"/>
  <c r="M58" i="9"/>
  <c r="F188" i="13"/>
  <c r="F58" i="9"/>
  <c r="K58" i="9" s="1"/>
  <c r="F187" i="7"/>
  <c r="F187" i="6"/>
  <c r="C188" i="13"/>
  <c r="C188" i="12"/>
  <c r="E188" i="12"/>
  <c r="G188" i="12"/>
  <c r="D188" i="12"/>
  <c r="F188" i="12"/>
  <c r="H188" i="12"/>
  <c r="C58" i="9"/>
  <c r="C187" i="7"/>
  <c r="H187" i="7" s="1"/>
  <c r="C187" i="6"/>
  <c r="H187" i="6" s="1"/>
  <c r="H187" i="13"/>
  <c r="N57" i="9"/>
  <c r="E187" i="13"/>
  <c r="E57" i="9"/>
  <c r="E186" i="6"/>
  <c r="B187" i="13"/>
  <c r="B186" i="6"/>
  <c r="G186" i="13"/>
  <c r="M56" i="9"/>
  <c r="F186" i="13"/>
  <c r="F56" i="9"/>
  <c r="K56" i="9" s="1"/>
  <c r="F185" i="7"/>
  <c r="F185" i="6"/>
  <c r="C186" i="13"/>
  <c r="C186" i="12"/>
  <c r="E186" i="12"/>
  <c r="G186" i="12"/>
  <c r="D186" i="12"/>
  <c r="F186" i="12"/>
  <c r="H186" i="12"/>
  <c r="C56" i="9"/>
  <c r="C185" i="7"/>
  <c r="H185" i="7" s="1"/>
  <c r="C185" i="6"/>
  <c r="H185" i="6" s="1"/>
  <c r="L185" i="6" s="1"/>
  <c r="H185" i="13"/>
  <c r="N55" i="9"/>
  <c r="E185" i="13"/>
  <c r="E55" i="9"/>
  <c r="E184" i="6"/>
  <c r="B185" i="13"/>
  <c r="B184" i="6"/>
  <c r="G184" i="13"/>
  <c r="M54" i="9"/>
  <c r="F184" i="13"/>
  <c r="F54" i="9"/>
  <c r="K54" i="9" s="1"/>
  <c r="F183" i="7"/>
  <c r="F183" i="6"/>
  <c r="C184" i="13"/>
  <c r="C184" i="12"/>
  <c r="E184" i="12"/>
  <c r="G184" i="12"/>
  <c r="D184" i="12"/>
  <c r="F184" i="12"/>
  <c r="H184" i="12"/>
  <c r="C54" i="9"/>
  <c r="C183" i="7"/>
  <c r="H183" i="7" s="1"/>
  <c r="C183" i="6"/>
  <c r="H183" i="6" s="1"/>
  <c r="H183" i="13"/>
  <c r="N53" i="9"/>
  <c r="E183" i="13"/>
  <c r="E53" i="9"/>
  <c r="E182" i="6"/>
  <c r="B183" i="13"/>
  <c r="B182" i="6"/>
  <c r="G182" i="13"/>
  <c r="M52" i="9"/>
  <c r="F182" i="13"/>
  <c r="F52" i="9"/>
  <c r="K52" i="9" s="1"/>
  <c r="F181" i="7"/>
  <c r="F181" i="6"/>
  <c r="C182" i="13"/>
  <c r="C182" i="12"/>
  <c r="E182" i="12"/>
  <c r="G182" i="12"/>
  <c r="D182" i="12"/>
  <c r="F182" i="12"/>
  <c r="H182" i="12"/>
  <c r="C52" i="9"/>
  <c r="C181" i="7"/>
  <c r="H181" i="7" s="1"/>
  <c r="C181" i="6"/>
  <c r="H181" i="6" s="1"/>
  <c r="L181" i="6" s="1"/>
  <c r="H181" i="13"/>
  <c r="N51" i="9"/>
  <c r="E181" i="13"/>
  <c r="E51" i="9"/>
  <c r="E180" i="6"/>
  <c r="B181" i="13"/>
  <c r="B180" i="6"/>
  <c r="G180" i="13"/>
  <c r="M50" i="9"/>
  <c r="F180" i="13"/>
  <c r="F50" i="9"/>
  <c r="K50" i="9" s="1"/>
  <c r="F179" i="7"/>
  <c r="F179" i="6"/>
  <c r="C180" i="13"/>
  <c r="C180" i="12"/>
  <c r="E180" i="12"/>
  <c r="G180" i="12"/>
  <c r="D180" i="12"/>
  <c r="F180" i="12"/>
  <c r="H180" i="12"/>
  <c r="C50" i="9"/>
  <c r="C179" i="7"/>
  <c r="H179" i="7" s="1"/>
  <c r="C179" i="6"/>
  <c r="H179" i="6" s="1"/>
  <c r="H179" i="13"/>
  <c r="N49" i="9"/>
  <c r="E179" i="13"/>
  <c r="E49" i="9"/>
  <c r="E178" i="6"/>
  <c r="B179" i="13"/>
  <c r="B178" i="6"/>
  <c r="G178" i="13"/>
  <c r="M48" i="9"/>
  <c r="F178" i="13"/>
  <c r="F48" i="9"/>
  <c r="K48" i="9" s="1"/>
  <c r="F177" i="7"/>
  <c r="F177" i="6"/>
  <c r="C178" i="13"/>
  <c r="C178" i="12"/>
  <c r="E178" i="12"/>
  <c r="G178" i="12"/>
  <c r="D178" i="12"/>
  <c r="F178" i="12"/>
  <c r="H178" i="12"/>
  <c r="C48" i="9"/>
  <c r="C177" i="7"/>
  <c r="H177" i="7" s="1"/>
  <c r="C177" i="6"/>
  <c r="H177" i="6" s="1"/>
  <c r="L177" i="6" s="1"/>
  <c r="H177" i="13"/>
  <c r="N47" i="9"/>
  <c r="E177" i="13"/>
  <c r="E47" i="9"/>
  <c r="E176" i="6"/>
  <c r="B177" i="13"/>
  <c r="B176" i="6"/>
  <c r="G176" i="13"/>
  <c r="M46" i="9"/>
  <c r="F176" i="13"/>
  <c r="F46" i="9"/>
  <c r="K46" i="9" s="1"/>
  <c r="F175" i="7"/>
  <c r="F175" i="6"/>
  <c r="C176" i="13"/>
  <c r="C176" i="12"/>
  <c r="E176" i="12"/>
  <c r="G176" i="12"/>
  <c r="D176" i="12"/>
  <c r="F176" i="12"/>
  <c r="H176" i="12"/>
  <c r="C46" i="9"/>
  <c r="B46" i="9" s="1"/>
  <c r="C175" i="7"/>
  <c r="H175" i="7" s="1"/>
  <c r="C175" i="6"/>
  <c r="H175" i="6" s="1"/>
  <c r="H175" i="13"/>
  <c r="N45" i="9"/>
  <c r="E175" i="13"/>
  <c r="E45" i="9"/>
  <c r="E174" i="6"/>
  <c r="B175" i="13"/>
  <c r="B174" i="6"/>
  <c r="G174" i="13"/>
  <c r="M44" i="9"/>
  <c r="F174" i="13"/>
  <c r="F44" i="9"/>
  <c r="K44" i="9" s="1"/>
  <c r="F173" i="7"/>
  <c r="F173" i="6"/>
  <c r="C174" i="13"/>
  <c r="C174" i="12"/>
  <c r="E174" i="12"/>
  <c r="G174" i="12"/>
  <c r="D174" i="12"/>
  <c r="F174" i="12"/>
  <c r="H174" i="12"/>
  <c r="C44" i="9"/>
  <c r="C173" i="7"/>
  <c r="H173" i="7" s="1"/>
  <c r="C173" i="6"/>
  <c r="H173" i="6" s="1"/>
  <c r="H173" i="13"/>
  <c r="N43" i="9"/>
  <c r="E173" i="13"/>
  <c r="E43" i="9"/>
  <c r="E172" i="6"/>
  <c r="B173" i="13"/>
  <c r="B172" i="6"/>
  <c r="G172" i="13"/>
  <c r="M42" i="9"/>
  <c r="F172" i="13"/>
  <c r="F42" i="9"/>
  <c r="K42" i="9" s="1"/>
  <c r="F171" i="7"/>
  <c r="F171" i="6"/>
  <c r="C172" i="13"/>
  <c r="C172" i="12"/>
  <c r="E172" i="12"/>
  <c r="G172" i="12"/>
  <c r="D172" i="12"/>
  <c r="F172" i="12"/>
  <c r="H172" i="12"/>
  <c r="C42" i="9"/>
  <c r="C171" i="7"/>
  <c r="H171" i="7" s="1"/>
  <c r="C171" i="6"/>
  <c r="H171" i="6" s="1"/>
  <c r="H171" i="13"/>
  <c r="N41" i="9"/>
  <c r="E171" i="13"/>
  <c r="E41" i="9"/>
  <c r="E170" i="6"/>
  <c r="B171" i="13"/>
  <c r="B170" i="6"/>
  <c r="G170" i="13"/>
  <c r="M40" i="9"/>
  <c r="F170" i="13"/>
  <c r="F40" i="9"/>
  <c r="K40" i="9" s="1"/>
  <c r="F169" i="7"/>
  <c r="F169" i="6"/>
  <c r="C170" i="13"/>
  <c r="C170" i="12"/>
  <c r="E170" i="12"/>
  <c r="G170" i="12"/>
  <c r="D170" i="12"/>
  <c r="F170" i="12"/>
  <c r="H170" i="12"/>
  <c r="C40" i="9"/>
  <c r="C169" i="7"/>
  <c r="H169" i="7" s="1"/>
  <c r="C169" i="6"/>
  <c r="H169" i="6" s="1"/>
  <c r="L169" i="6" s="1"/>
  <c r="H169" i="13"/>
  <c r="N39" i="9"/>
  <c r="E169" i="13"/>
  <c r="E39" i="9"/>
  <c r="E168" i="6"/>
  <c r="B169" i="13"/>
  <c r="B168" i="6"/>
  <c r="G168" i="13"/>
  <c r="M38" i="9"/>
  <c r="F168" i="13"/>
  <c r="F38" i="9"/>
  <c r="K38" i="9" s="1"/>
  <c r="F167" i="7"/>
  <c r="F167" i="6"/>
  <c r="C168" i="13"/>
  <c r="C168" i="12"/>
  <c r="E168" i="12"/>
  <c r="G168" i="12"/>
  <c r="D168" i="12"/>
  <c r="F168" i="12"/>
  <c r="H168" i="12"/>
  <c r="C38" i="9"/>
  <c r="B38" i="9" s="1"/>
  <c r="C167" i="7"/>
  <c r="H167" i="7" s="1"/>
  <c r="C167" i="6"/>
  <c r="H167" i="6" s="1"/>
  <c r="H167" i="13"/>
  <c r="N37" i="9"/>
  <c r="E167" i="13"/>
  <c r="E37" i="9"/>
  <c r="E166" i="6"/>
  <c r="B167" i="13"/>
  <c r="B166" i="6"/>
  <c r="G166" i="13"/>
  <c r="M36" i="9"/>
  <c r="F166" i="13"/>
  <c r="F36" i="9"/>
  <c r="K36" i="9" s="1"/>
  <c r="F165" i="7"/>
  <c r="F165" i="6"/>
  <c r="C166" i="13"/>
  <c r="C166" i="12"/>
  <c r="E166" i="12"/>
  <c r="G166" i="12"/>
  <c r="D166" i="12"/>
  <c r="F166" i="12"/>
  <c r="H166" i="12"/>
  <c r="C36" i="9"/>
  <c r="C165" i="7"/>
  <c r="H165" i="7" s="1"/>
  <c r="C165" i="6"/>
  <c r="H165" i="6" s="1"/>
  <c r="L165" i="6" s="1"/>
  <c r="H165" i="13"/>
  <c r="N35" i="9"/>
  <c r="E165" i="13"/>
  <c r="E35" i="9"/>
  <c r="E164" i="6"/>
  <c r="B165" i="13"/>
  <c r="B164" i="6"/>
  <c r="G164" i="13"/>
  <c r="M34" i="9"/>
  <c r="F164" i="13"/>
  <c r="F34" i="9"/>
  <c r="K34" i="9" s="1"/>
  <c r="F163" i="7"/>
  <c r="F163" i="6"/>
  <c r="C164" i="13"/>
  <c r="C164" i="12"/>
  <c r="E164" i="12"/>
  <c r="G164" i="12"/>
  <c r="D164" i="12"/>
  <c r="F164" i="12"/>
  <c r="H164" i="12"/>
  <c r="C34" i="9"/>
  <c r="C163" i="7"/>
  <c r="H163" i="7" s="1"/>
  <c r="C163" i="6"/>
  <c r="H163" i="6" s="1"/>
  <c r="H163" i="13"/>
  <c r="N33" i="9"/>
  <c r="E163" i="13"/>
  <c r="E33" i="9"/>
  <c r="E162" i="6"/>
  <c r="B163" i="13"/>
  <c r="B162" i="6"/>
  <c r="G162" i="13"/>
  <c r="M32" i="9"/>
  <c r="F162" i="13"/>
  <c r="F32" i="9"/>
  <c r="K32" i="9" s="1"/>
  <c r="F161" i="7"/>
  <c r="F161" i="6"/>
  <c r="C162" i="13"/>
  <c r="C162" i="12"/>
  <c r="E162" i="12"/>
  <c r="G162" i="12"/>
  <c r="D162" i="12"/>
  <c r="F162" i="12"/>
  <c r="H162" i="12"/>
  <c r="C32" i="9"/>
  <c r="C161" i="7"/>
  <c r="H161" i="7" s="1"/>
  <c r="C161" i="6"/>
  <c r="H161" i="6" s="1"/>
  <c r="L161" i="6" s="1"/>
  <c r="H161" i="13"/>
  <c r="N31" i="9"/>
  <c r="E161" i="13"/>
  <c r="E31" i="9"/>
  <c r="E160" i="6"/>
  <c r="B161" i="13"/>
  <c r="B160" i="6"/>
  <c r="G160" i="13"/>
  <c r="M30" i="9"/>
  <c r="F160" i="13"/>
  <c r="F30" i="9"/>
  <c r="K30" i="9" s="1"/>
  <c r="F159" i="7"/>
  <c r="F159" i="6"/>
  <c r="C160" i="13"/>
  <c r="C160" i="12"/>
  <c r="E160" i="12"/>
  <c r="G160" i="12"/>
  <c r="D160" i="12"/>
  <c r="F160" i="12"/>
  <c r="H160" i="12"/>
  <c r="C30" i="9"/>
  <c r="C159" i="7"/>
  <c r="H159" i="7" s="1"/>
  <c r="C159" i="6"/>
  <c r="H159" i="6" s="1"/>
  <c r="H159" i="13"/>
  <c r="N29" i="9"/>
  <c r="E159" i="13"/>
  <c r="E29" i="9"/>
  <c r="E158" i="6"/>
  <c r="B159" i="13"/>
  <c r="B158" i="6"/>
  <c r="G158" i="13"/>
  <c r="M28" i="9"/>
  <c r="F158" i="13"/>
  <c r="F28" i="9"/>
  <c r="K28" i="9" s="1"/>
  <c r="F157" i="7"/>
  <c r="F157" i="6"/>
  <c r="C158" i="13"/>
  <c r="D158" i="12"/>
  <c r="F158" i="12"/>
  <c r="H158" i="12"/>
  <c r="E158" i="12"/>
  <c r="C158" i="12"/>
  <c r="G158" i="12"/>
  <c r="C28" i="9"/>
  <c r="C157" i="7"/>
  <c r="H157" i="7" s="1"/>
  <c r="C157" i="6"/>
  <c r="H157" i="6" s="1"/>
  <c r="H157" i="13"/>
  <c r="N27" i="9"/>
  <c r="E157" i="13"/>
  <c r="E27" i="9"/>
  <c r="E156" i="6"/>
  <c r="B157" i="13"/>
  <c r="B156" i="6"/>
  <c r="G156" i="13"/>
  <c r="M26" i="9"/>
  <c r="F156" i="13"/>
  <c r="F26" i="9"/>
  <c r="K26" i="9" s="1"/>
  <c r="F155" i="7"/>
  <c r="F155" i="6"/>
  <c r="C156" i="13"/>
  <c r="D156" i="12"/>
  <c r="F156" i="12"/>
  <c r="H156" i="12"/>
  <c r="C156" i="12"/>
  <c r="E156" i="12"/>
  <c r="G156" i="12"/>
  <c r="C26" i="9"/>
  <c r="C155" i="7"/>
  <c r="H155" i="7" s="1"/>
  <c r="C155" i="6"/>
  <c r="H155" i="6" s="1"/>
  <c r="H155" i="13"/>
  <c r="N25" i="9"/>
  <c r="E155" i="13"/>
  <c r="E25" i="9"/>
  <c r="E154" i="6"/>
  <c r="B155" i="13"/>
  <c r="B154" i="6"/>
  <c r="G154" i="13"/>
  <c r="M24" i="9"/>
  <c r="F154" i="13"/>
  <c r="F24" i="9"/>
  <c r="K24" i="9" s="1"/>
  <c r="F153" i="7"/>
  <c r="F153" i="6"/>
  <c r="C154" i="13"/>
  <c r="D154" i="12"/>
  <c r="F154" i="12"/>
  <c r="H154" i="12"/>
  <c r="C154" i="12"/>
  <c r="E154" i="12"/>
  <c r="G154" i="12"/>
  <c r="C24" i="9"/>
  <c r="C153" i="7"/>
  <c r="H153" i="7" s="1"/>
  <c r="C153" i="6"/>
  <c r="H153" i="6" s="1"/>
  <c r="L153" i="6" s="1"/>
  <c r="H153" i="13"/>
  <c r="N23" i="9"/>
  <c r="E153" i="13"/>
  <c r="E23" i="9"/>
  <c r="E152" i="6"/>
  <c r="B153" i="13"/>
  <c r="B152" i="6"/>
  <c r="G152" i="13"/>
  <c r="M22" i="9"/>
  <c r="F152" i="13"/>
  <c r="F22" i="9"/>
  <c r="K22" i="9" s="1"/>
  <c r="F151" i="7"/>
  <c r="F151" i="6"/>
  <c r="C152" i="13"/>
  <c r="D152" i="12"/>
  <c r="F152" i="12"/>
  <c r="H152" i="12"/>
  <c r="C152" i="12"/>
  <c r="E152" i="12"/>
  <c r="G152" i="12"/>
  <c r="C22" i="9"/>
  <c r="C151" i="7"/>
  <c r="H151" i="7" s="1"/>
  <c r="C151" i="6"/>
  <c r="H151" i="6" s="1"/>
  <c r="H151" i="13"/>
  <c r="N21" i="9"/>
  <c r="E151" i="13"/>
  <c r="E21" i="9"/>
  <c r="E150" i="6"/>
  <c r="B151" i="13"/>
  <c r="B150" i="6"/>
  <c r="G150" i="13"/>
  <c r="M20" i="9"/>
  <c r="F150" i="13"/>
  <c r="F20" i="9"/>
  <c r="K20" i="9" s="1"/>
  <c r="F149" i="7"/>
  <c r="F149" i="6"/>
  <c r="C150" i="13"/>
  <c r="D150" i="12"/>
  <c r="F150" i="12"/>
  <c r="H150" i="12"/>
  <c r="C150" i="12"/>
  <c r="E150" i="12"/>
  <c r="G150" i="12"/>
  <c r="C20" i="9"/>
  <c r="L20" i="9" s="1"/>
  <c r="C149" i="7"/>
  <c r="H149" i="7" s="1"/>
  <c r="C149" i="6"/>
  <c r="H149" i="6" s="1"/>
  <c r="L149" i="6" s="1"/>
  <c r="H149" i="13"/>
  <c r="N19" i="9"/>
  <c r="E149" i="13"/>
  <c r="E19" i="9"/>
  <c r="E148" i="6"/>
  <c r="B149" i="13"/>
  <c r="B148" i="6"/>
  <c r="G148" i="13"/>
  <c r="M18" i="9"/>
  <c r="F148" i="13"/>
  <c r="F18" i="9"/>
  <c r="K18" i="9" s="1"/>
  <c r="F147" i="7"/>
  <c r="F147" i="6"/>
  <c r="C148" i="13"/>
  <c r="D148" i="12"/>
  <c r="F148" i="12"/>
  <c r="H148" i="12"/>
  <c r="C148" i="12"/>
  <c r="E148" i="12"/>
  <c r="G148" i="12"/>
  <c r="C18" i="9"/>
  <c r="C147" i="7"/>
  <c r="H147" i="7" s="1"/>
  <c r="C147" i="6"/>
  <c r="H147" i="6" s="1"/>
  <c r="H147" i="13"/>
  <c r="N17" i="9"/>
  <c r="E147" i="13"/>
  <c r="E17" i="9"/>
  <c r="E146" i="6"/>
  <c r="B147" i="13"/>
  <c r="B146" i="6"/>
  <c r="G146" i="13"/>
  <c r="M16" i="9"/>
  <c r="F146" i="13"/>
  <c r="F16" i="9"/>
  <c r="K16" i="9" s="1"/>
  <c r="F145" i="7"/>
  <c r="F145" i="6"/>
  <c r="C146" i="13"/>
  <c r="D146" i="12"/>
  <c r="F146" i="12"/>
  <c r="H146" i="12"/>
  <c r="C146" i="12"/>
  <c r="G146" i="12"/>
  <c r="C16" i="9"/>
  <c r="C145" i="7"/>
  <c r="H145" i="7" s="1"/>
  <c r="C145" i="6"/>
  <c r="H145" i="6" s="1"/>
  <c r="L145" i="6" s="1"/>
  <c r="H145" i="13"/>
  <c r="N15" i="9"/>
  <c r="E145" i="13"/>
  <c r="E15" i="9"/>
  <c r="E144" i="6"/>
  <c r="B145" i="13"/>
  <c r="B144" i="6"/>
  <c r="G144" i="13"/>
  <c r="M14" i="9"/>
  <c r="F144" i="13"/>
  <c r="F14" i="9"/>
  <c r="K14" i="9" s="1"/>
  <c r="F143" i="7"/>
  <c r="F143" i="6"/>
  <c r="C144" i="13"/>
  <c r="D144" i="12"/>
  <c r="F144" i="12"/>
  <c r="H144" i="12"/>
  <c r="C144" i="12"/>
  <c r="G144" i="12"/>
  <c r="C14" i="9"/>
  <c r="C143" i="7"/>
  <c r="H143" i="7" s="1"/>
  <c r="C143" i="6"/>
  <c r="H143" i="6" s="1"/>
  <c r="H143" i="13"/>
  <c r="N13" i="9"/>
  <c r="E143" i="13"/>
  <c r="E13" i="9"/>
  <c r="E142" i="6"/>
  <c r="B143" i="13"/>
  <c r="B142" i="6"/>
  <c r="G142" i="13"/>
  <c r="M12" i="9"/>
  <c r="F142" i="13"/>
  <c r="F12" i="9"/>
  <c r="K12" i="9" s="1"/>
  <c r="F141" i="7"/>
  <c r="F141" i="6"/>
  <c r="C142" i="13"/>
  <c r="D142" i="12"/>
  <c r="F142" i="12"/>
  <c r="H142" i="12"/>
  <c r="C142" i="12"/>
  <c r="G142" i="12"/>
  <c r="C12" i="9"/>
  <c r="L12" i="9" s="1"/>
  <c r="C141" i="7"/>
  <c r="H141" i="7" s="1"/>
  <c r="C141" i="6"/>
  <c r="H141" i="6" s="1"/>
  <c r="H141" i="13"/>
  <c r="N11" i="9"/>
  <c r="E141" i="13"/>
  <c r="E11" i="9"/>
  <c r="E140" i="6"/>
  <c r="B141" i="13"/>
  <c r="B140" i="6"/>
  <c r="G140" i="13"/>
  <c r="M10" i="9"/>
  <c r="F140" i="13"/>
  <c r="F10" i="9"/>
  <c r="K10" i="9" s="1"/>
  <c r="F139" i="7"/>
  <c r="F139" i="6"/>
  <c r="C140" i="13"/>
  <c r="D140" i="12"/>
  <c r="F140" i="12"/>
  <c r="H140" i="12"/>
  <c r="C140" i="12"/>
  <c r="G140" i="12"/>
  <c r="C10" i="9"/>
  <c r="C139" i="7"/>
  <c r="H139" i="7" s="1"/>
  <c r="C139" i="6"/>
  <c r="H139" i="6" s="1"/>
  <c r="H90" i="13"/>
  <c r="N300" i="9"/>
  <c r="B90" i="13"/>
  <c r="B138" i="6"/>
  <c r="G16" i="13"/>
  <c r="M221" i="9"/>
  <c r="F16" i="13"/>
  <c r="F221" i="9"/>
  <c r="K221" i="9" s="1"/>
  <c r="F15" i="7"/>
  <c r="F137" i="6"/>
  <c r="C16" i="13"/>
  <c r="D138" i="12"/>
  <c r="F138" i="12"/>
  <c r="H138" i="12"/>
  <c r="C138" i="12"/>
  <c r="G138" i="12"/>
  <c r="C221" i="9"/>
  <c r="C15" i="7"/>
  <c r="E15" i="7" s="1"/>
  <c r="C137" i="6"/>
  <c r="H137" i="6" s="1"/>
  <c r="H120" i="13"/>
  <c r="N302" i="9"/>
  <c r="B120" i="13"/>
  <c r="B101" i="6"/>
  <c r="G121" i="13"/>
  <c r="M301" i="9"/>
  <c r="F121" i="13"/>
  <c r="F301" i="9"/>
  <c r="K301" i="9" s="1"/>
  <c r="F120" i="7"/>
  <c r="F104" i="6"/>
  <c r="C121" i="13"/>
  <c r="D105" i="12"/>
  <c r="F105" i="12"/>
  <c r="H105" i="12"/>
  <c r="C105" i="12"/>
  <c r="G105" i="12"/>
  <c r="C301" i="9"/>
  <c r="B301" i="9" s="1"/>
  <c r="C120" i="7"/>
  <c r="H120" i="7" s="1"/>
  <c r="C104" i="6"/>
  <c r="H104" i="6" s="1"/>
  <c r="H34" i="13"/>
  <c r="N237" i="9"/>
  <c r="B34" i="13"/>
  <c r="B24" i="6"/>
  <c r="G105" i="13"/>
  <c r="M299" i="9"/>
  <c r="F105" i="13"/>
  <c r="F299" i="9"/>
  <c r="K299" i="9" s="1"/>
  <c r="F104" i="7"/>
  <c r="F136" i="6"/>
  <c r="C105" i="13"/>
  <c r="D137" i="12"/>
  <c r="F137" i="12"/>
  <c r="H137" i="12"/>
  <c r="C137" i="12"/>
  <c r="G137" i="12"/>
  <c r="C299" i="9"/>
  <c r="H299" i="9" s="1"/>
  <c r="C104" i="7"/>
  <c r="C136" i="6"/>
  <c r="H136" i="6" s="1"/>
  <c r="H92" i="13"/>
  <c r="N297" i="9"/>
  <c r="B92" i="13"/>
  <c r="B64" i="6"/>
  <c r="G28" i="13"/>
  <c r="M199" i="9"/>
  <c r="F28" i="13"/>
  <c r="F199" i="9"/>
  <c r="K199" i="9" s="1"/>
  <c r="F27" i="7"/>
  <c r="F22" i="6"/>
  <c r="C28" i="13"/>
  <c r="D23" i="12"/>
  <c r="F23" i="12"/>
  <c r="H23" i="12"/>
  <c r="C23" i="12"/>
  <c r="G23" i="12"/>
  <c r="C199" i="9"/>
  <c r="C27" i="7"/>
  <c r="H27" i="7" s="1"/>
  <c r="C22" i="6"/>
  <c r="H22" i="6" s="1"/>
  <c r="H30" i="13"/>
  <c r="N190" i="9"/>
  <c r="B30" i="13"/>
  <c r="B23" i="6"/>
  <c r="C43" i="13"/>
  <c r="C34" i="12"/>
  <c r="G34" i="12"/>
  <c r="D34" i="12"/>
  <c r="F34" i="12"/>
  <c r="H34" i="12"/>
  <c r="C201" i="9"/>
  <c r="L201" i="9" s="1"/>
  <c r="C42" i="7"/>
  <c r="E42" i="7" s="1"/>
  <c r="E128" i="1"/>
  <c r="C33" i="6"/>
  <c r="H33" i="6" s="1"/>
  <c r="H100" i="13"/>
  <c r="N296" i="9"/>
  <c r="B100" i="13"/>
  <c r="B135" i="6"/>
  <c r="G21" i="13"/>
  <c r="M212" i="9"/>
  <c r="F21" i="13"/>
  <c r="F212" i="9"/>
  <c r="K212" i="9" s="1"/>
  <c r="F13" i="6"/>
  <c r="F20" i="7"/>
  <c r="C26" i="13"/>
  <c r="C21" i="12"/>
  <c r="G21" i="12"/>
  <c r="D21" i="12"/>
  <c r="F21" i="12"/>
  <c r="H21" i="12"/>
  <c r="C198" i="9"/>
  <c r="H198" i="9" s="1"/>
  <c r="C25" i="7"/>
  <c r="E25" i="7" s="1"/>
  <c r="E124" i="1"/>
  <c r="C20" i="6"/>
  <c r="H20" i="6" s="1"/>
  <c r="H41" i="13"/>
  <c r="N205" i="9"/>
  <c r="B41" i="13"/>
  <c r="B41" i="6"/>
  <c r="G67" i="13"/>
  <c r="M250" i="9"/>
  <c r="F67" i="13"/>
  <c r="F250" i="9"/>
  <c r="K250" i="9" s="1"/>
  <c r="F59" i="6"/>
  <c r="F66" i="7"/>
  <c r="C54" i="13"/>
  <c r="C135" i="12"/>
  <c r="G135" i="12"/>
  <c r="D135" i="12"/>
  <c r="F135" i="12"/>
  <c r="H135" i="12"/>
  <c r="C186" i="9"/>
  <c r="H186" i="9" s="1"/>
  <c r="C53" i="7"/>
  <c r="E53" i="7" s="1"/>
  <c r="E120" i="1"/>
  <c r="C134" i="6"/>
  <c r="H134" i="6" s="1"/>
  <c r="K134" i="6" s="1"/>
  <c r="H59" i="13"/>
  <c r="N233" i="9"/>
  <c r="B59" i="13"/>
  <c r="B45" i="6"/>
  <c r="G14" i="13"/>
  <c r="M232" i="9"/>
  <c r="F14" i="13"/>
  <c r="F232" i="9"/>
  <c r="K232" i="9" s="1"/>
  <c r="F8" i="6"/>
  <c r="F13" i="7"/>
  <c r="C56" i="13"/>
  <c r="C41" i="12"/>
  <c r="G41" i="12"/>
  <c r="D41" i="12"/>
  <c r="F41" i="12"/>
  <c r="H41" i="12"/>
  <c r="C196" i="9"/>
  <c r="B196" i="9" s="1"/>
  <c r="C55" i="7"/>
  <c r="E55" i="7" s="1"/>
  <c r="E116" i="1"/>
  <c r="C40" i="6"/>
  <c r="H40" i="6" s="1"/>
  <c r="N181" i="9"/>
  <c r="E32" i="13"/>
  <c r="E181" i="9"/>
  <c r="E32" i="6"/>
  <c r="B32" i="13"/>
  <c r="B32" i="6"/>
  <c r="G57" i="13"/>
  <c r="M188" i="9"/>
  <c r="F57" i="13"/>
  <c r="F188" i="9"/>
  <c r="K188" i="9" s="1"/>
  <c r="F133" i="6"/>
  <c r="F56" i="7"/>
  <c r="C27" i="13"/>
  <c r="C22" i="12"/>
  <c r="G22" i="12"/>
  <c r="D22" i="12"/>
  <c r="F22" i="12"/>
  <c r="H22" i="12"/>
  <c r="C195" i="9"/>
  <c r="C26" i="7"/>
  <c r="H26" i="7" s="1"/>
  <c r="E112" i="1"/>
  <c r="C21" i="6"/>
  <c r="H21" i="6" s="1"/>
  <c r="H48" i="13"/>
  <c r="N175" i="9"/>
  <c r="E48" i="13"/>
  <c r="E175" i="9"/>
  <c r="E36" i="6"/>
  <c r="B48" i="13"/>
  <c r="B36" i="6"/>
  <c r="G38" i="13"/>
  <c r="M189" i="9"/>
  <c r="F38" i="13"/>
  <c r="F189" i="9"/>
  <c r="K189" i="9" s="1"/>
  <c r="F28" i="6"/>
  <c r="F37" i="7"/>
  <c r="C20" i="13"/>
  <c r="C133" i="12"/>
  <c r="G133" i="12"/>
  <c r="D133" i="12"/>
  <c r="F133" i="12"/>
  <c r="H133" i="12"/>
  <c r="C227" i="9"/>
  <c r="C19" i="7"/>
  <c r="E108" i="1"/>
  <c r="C132" i="6"/>
  <c r="H132" i="6" s="1"/>
  <c r="H36" i="13"/>
  <c r="N207" i="9"/>
  <c r="E36" i="13"/>
  <c r="E207" i="9"/>
  <c r="E25" i="6"/>
  <c r="B36" i="13"/>
  <c r="B25" i="6"/>
  <c r="G25" i="13"/>
  <c r="M222" i="9"/>
  <c r="F25" i="13"/>
  <c r="F222" i="9"/>
  <c r="K222" i="9" s="1"/>
  <c r="F19" i="6"/>
  <c r="F24" i="7"/>
  <c r="C24" i="13"/>
  <c r="C19" i="12"/>
  <c r="G19" i="12"/>
  <c r="D19" i="12"/>
  <c r="F19" i="12"/>
  <c r="H19" i="12"/>
  <c r="C228" i="9"/>
  <c r="L228" i="9" s="1"/>
  <c r="H73" i="13"/>
  <c r="N210" i="9"/>
  <c r="E73" i="13"/>
  <c r="E210" i="9"/>
  <c r="G18" i="13"/>
  <c r="M235" i="9"/>
  <c r="F18" i="13"/>
  <c r="F235" i="9"/>
  <c r="K235" i="9" s="1"/>
  <c r="C18" i="13"/>
  <c r="C18" i="12"/>
  <c r="G18" i="12"/>
  <c r="D18" i="12"/>
  <c r="F18" i="12"/>
  <c r="H18" i="12"/>
  <c r="C235" i="9"/>
  <c r="H75" i="13"/>
  <c r="N194" i="9"/>
  <c r="E75" i="13"/>
  <c r="E194" i="9"/>
  <c r="G37" i="13"/>
  <c r="M223" i="9"/>
  <c r="F37" i="13"/>
  <c r="F223" i="9"/>
  <c r="K223" i="9" s="1"/>
  <c r="C37" i="13"/>
  <c r="C28" i="12"/>
  <c r="G28" i="12"/>
  <c r="D28" i="12"/>
  <c r="F28" i="12"/>
  <c r="H28" i="12"/>
  <c r="C223" i="9"/>
  <c r="H51" i="13"/>
  <c r="N192" i="9"/>
  <c r="E51" i="13"/>
  <c r="E192" i="9"/>
  <c r="G62" i="13"/>
  <c r="M185" i="9"/>
  <c r="F62" i="13"/>
  <c r="F185" i="9"/>
  <c r="K185" i="9" s="1"/>
  <c r="C62" i="13"/>
  <c r="C45" i="12"/>
  <c r="G45" i="12"/>
  <c r="D45" i="12"/>
  <c r="F45" i="12"/>
  <c r="H45" i="12"/>
  <c r="C185" i="9"/>
  <c r="H47" i="13"/>
  <c r="N211" i="9"/>
  <c r="G103" i="13"/>
  <c r="M251" i="9"/>
  <c r="F103" i="13"/>
  <c r="F251" i="9"/>
  <c r="K251" i="9" s="1"/>
  <c r="C103" i="13"/>
  <c r="C84" i="12"/>
  <c r="G84" i="12"/>
  <c r="D84" i="12"/>
  <c r="F84" i="12"/>
  <c r="H84" i="12"/>
  <c r="C251" i="9"/>
  <c r="H53" i="13"/>
  <c r="N225" i="9"/>
  <c r="E53" i="13"/>
  <c r="E225" i="9"/>
  <c r="G40" i="13"/>
  <c r="M234" i="9"/>
  <c r="F40" i="13"/>
  <c r="F234" i="9"/>
  <c r="K234" i="9" s="1"/>
  <c r="C40" i="13"/>
  <c r="C132" i="12"/>
  <c r="G132" i="12"/>
  <c r="D132" i="12"/>
  <c r="F132" i="12"/>
  <c r="H132" i="12"/>
  <c r="C234" i="9"/>
  <c r="B234" i="9" s="1"/>
  <c r="H45" i="13"/>
  <c r="N236" i="9"/>
  <c r="E45" i="13"/>
  <c r="E236" i="9"/>
  <c r="G58" i="13"/>
  <c r="M244" i="9"/>
  <c r="F58" i="13"/>
  <c r="F244" i="9"/>
  <c r="K244" i="9" s="1"/>
  <c r="C58" i="13"/>
  <c r="C131" i="12"/>
  <c r="G131" i="12"/>
  <c r="D131" i="12"/>
  <c r="F131" i="12"/>
  <c r="H131" i="12"/>
  <c r="C244" i="9"/>
  <c r="H127" i="13"/>
  <c r="N295" i="9"/>
  <c r="E127" i="13"/>
  <c r="E295" i="9"/>
  <c r="G64" i="13"/>
  <c r="M220" i="9"/>
  <c r="F64" i="13"/>
  <c r="F220" i="9"/>
  <c r="K220" i="9" s="1"/>
  <c r="C64" i="13"/>
  <c r="C47" i="12"/>
  <c r="G47" i="12"/>
  <c r="D47" i="12"/>
  <c r="F47" i="12"/>
  <c r="H47" i="12"/>
  <c r="C220" i="9"/>
  <c r="H55" i="13"/>
  <c r="N238" i="9"/>
  <c r="E55" i="13"/>
  <c r="E238" i="9"/>
  <c r="G63" i="13"/>
  <c r="M216" i="9"/>
  <c r="F63" i="13"/>
  <c r="F216" i="9"/>
  <c r="K216" i="9" s="1"/>
  <c r="C63" i="13"/>
  <c r="C49" i="12"/>
  <c r="G49" i="12"/>
  <c r="D49" i="12"/>
  <c r="F49" i="12"/>
  <c r="H49" i="12"/>
  <c r="C216" i="9"/>
  <c r="H70" i="13"/>
  <c r="N191" i="9"/>
  <c r="E70" i="13"/>
  <c r="E191" i="9"/>
  <c r="G69" i="13"/>
  <c r="M215" i="9"/>
  <c r="F69" i="13"/>
  <c r="F215" i="9"/>
  <c r="K215" i="9" s="1"/>
  <c r="C69" i="13"/>
  <c r="C50" i="12"/>
  <c r="G50" i="12"/>
  <c r="D50" i="12"/>
  <c r="F50" i="12"/>
  <c r="H50" i="12"/>
  <c r="C215" i="9"/>
  <c r="B215" i="9" s="1"/>
  <c r="H88" i="13"/>
  <c r="N182" i="9"/>
  <c r="E88" i="13"/>
  <c r="E182" i="9"/>
  <c r="G77" i="13"/>
  <c r="M219" i="9"/>
  <c r="F77" i="13"/>
  <c r="F219" i="9"/>
  <c r="K219" i="9" s="1"/>
  <c r="C77" i="13"/>
  <c r="C130" i="12"/>
  <c r="G130" i="12"/>
  <c r="D130" i="12"/>
  <c r="F130" i="12"/>
  <c r="H130" i="12"/>
  <c r="C219" i="9"/>
  <c r="H49" i="13"/>
  <c r="N242" i="9"/>
  <c r="E49" i="13"/>
  <c r="E242" i="9"/>
  <c r="G31" i="13"/>
  <c r="M180" i="9"/>
  <c r="F31" i="13"/>
  <c r="F180" i="9"/>
  <c r="K180" i="9" s="1"/>
  <c r="C31" i="13"/>
  <c r="C75" i="12"/>
  <c r="G75" i="12"/>
  <c r="D75" i="12"/>
  <c r="F75" i="12"/>
  <c r="H75" i="12"/>
  <c r="C180" i="9"/>
  <c r="H60" i="13"/>
  <c r="N204" i="9"/>
  <c r="E60" i="13"/>
  <c r="E204" i="9"/>
  <c r="G39" i="13"/>
  <c r="M243" i="9"/>
  <c r="F39" i="13"/>
  <c r="F243" i="9"/>
  <c r="K243" i="9" s="1"/>
  <c r="C39" i="13"/>
  <c r="C31" i="12"/>
  <c r="G31" i="12"/>
  <c r="D31" i="12"/>
  <c r="F31" i="12"/>
  <c r="H31" i="12"/>
  <c r="C243" i="9"/>
  <c r="H44" i="13"/>
  <c r="N241" i="9"/>
  <c r="E44" i="13"/>
  <c r="E241" i="9"/>
  <c r="G61" i="13"/>
  <c r="M230" i="9"/>
  <c r="F61" i="13"/>
  <c r="F230" i="9"/>
  <c r="K230" i="9" s="1"/>
  <c r="C61" i="13"/>
  <c r="C44" i="12"/>
  <c r="G44" i="12"/>
  <c r="D44" i="12"/>
  <c r="F44" i="12"/>
  <c r="H44" i="12"/>
  <c r="C230" i="9"/>
  <c r="B230" i="9" s="1"/>
  <c r="H19" i="13"/>
  <c r="N248" i="9"/>
  <c r="E19" i="13"/>
  <c r="E248" i="9"/>
  <c r="G17" i="13"/>
  <c r="M249" i="9"/>
  <c r="F17" i="13"/>
  <c r="F249" i="9"/>
  <c r="K249" i="9" s="1"/>
  <c r="C17" i="13"/>
  <c r="C12" i="12"/>
  <c r="G12" i="12"/>
  <c r="D12" i="12"/>
  <c r="F12" i="12"/>
  <c r="H12" i="12"/>
  <c r="C249" i="9"/>
  <c r="H91" i="13"/>
  <c r="N179" i="9"/>
  <c r="E91" i="13"/>
  <c r="E179" i="9"/>
  <c r="G84" i="13"/>
  <c r="M187" i="9"/>
  <c r="F84" i="13"/>
  <c r="F187" i="9"/>
  <c r="K187" i="9" s="1"/>
  <c r="C84" i="13"/>
  <c r="C70" i="12"/>
  <c r="G70" i="12"/>
  <c r="D70" i="12"/>
  <c r="F70" i="12"/>
  <c r="H70" i="12"/>
  <c r="C187" i="9"/>
  <c r="H33" i="13"/>
  <c r="N206" i="9"/>
  <c r="E33" i="13"/>
  <c r="E206" i="9"/>
  <c r="G52" i="13"/>
  <c r="M203" i="9"/>
  <c r="F52" i="13"/>
  <c r="F203" i="9"/>
  <c r="K203" i="9" s="1"/>
  <c r="C52" i="13"/>
  <c r="C64" i="12"/>
  <c r="G64" i="12"/>
  <c r="D64" i="12"/>
  <c r="F64" i="12"/>
  <c r="H64" i="12"/>
  <c r="C203" i="9"/>
  <c r="H83" i="13"/>
  <c r="N209" i="9"/>
  <c r="E83" i="13"/>
  <c r="E209" i="9"/>
  <c r="G81" i="13"/>
  <c r="M214" i="9"/>
  <c r="F81" i="13"/>
  <c r="F214" i="9"/>
  <c r="K214" i="9" s="1"/>
  <c r="C81" i="13"/>
  <c r="C56" i="12"/>
  <c r="G56" i="12"/>
  <c r="D56" i="12"/>
  <c r="F56" i="12"/>
  <c r="H56" i="12"/>
  <c r="C214" i="9"/>
  <c r="B214" i="9" s="1"/>
  <c r="H99" i="13"/>
  <c r="N183" i="9"/>
  <c r="E99" i="13"/>
  <c r="E183" i="9"/>
  <c r="G78" i="13"/>
  <c r="M231" i="9"/>
  <c r="F78" i="13"/>
  <c r="F231" i="9"/>
  <c r="K231" i="9" s="1"/>
  <c r="C78" i="13"/>
  <c r="C54" i="12"/>
  <c r="G54" i="12"/>
  <c r="D54" i="12"/>
  <c r="F54" i="12"/>
  <c r="H54" i="12"/>
  <c r="C231" i="9"/>
  <c r="H116" i="13"/>
  <c r="N245" i="9"/>
  <c r="E116" i="13"/>
  <c r="E245" i="9"/>
  <c r="G72" i="13"/>
  <c r="M193" i="9"/>
  <c r="F72" i="13"/>
  <c r="F193" i="9"/>
  <c r="K193" i="9" s="1"/>
  <c r="C72" i="13"/>
  <c r="C78" i="12"/>
  <c r="G78" i="12"/>
  <c r="D78" i="12"/>
  <c r="F78" i="12"/>
  <c r="H78" i="12"/>
  <c r="C193" i="9"/>
  <c r="H117" i="13"/>
  <c r="N184" i="9"/>
  <c r="E117" i="13"/>
  <c r="E184" i="9"/>
  <c r="G107" i="13"/>
  <c r="M202" i="9"/>
  <c r="F107" i="13"/>
  <c r="F202" i="9"/>
  <c r="K202" i="9" s="1"/>
  <c r="C107" i="13"/>
  <c r="C129" i="12"/>
  <c r="G129" i="12"/>
  <c r="D129" i="12"/>
  <c r="F129" i="12"/>
  <c r="H129" i="12"/>
  <c r="C202" i="9"/>
  <c r="H132" i="13"/>
  <c r="N298" i="9"/>
  <c r="E132" i="13"/>
  <c r="E298" i="9"/>
  <c r="G35" i="13"/>
  <c r="M239" i="9"/>
  <c r="F35" i="13"/>
  <c r="F239" i="9"/>
  <c r="K239" i="9" s="1"/>
  <c r="C35" i="13"/>
  <c r="C58" i="12"/>
  <c r="G58" i="12"/>
  <c r="D58" i="12"/>
  <c r="F58" i="12"/>
  <c r="H58" i="12"/>
  <c r="C239" i="9"/>
  <c r="B239" i="9" s="1"/>
  <c r="H74" i="13"/>
  <c r="N213" i="9"/>
  <c r="G115" i="13"/>
  <c r="M197" i="9"/>
  <c r="F115" i="13"/>
  <c r="F197" i="9"/>
  <c r="K197" i="9" s="1"/>
  <c r="C115" i="13"/>
  <c r="C89" i="12"/>
  <c r="G89" i="12"/>
  <c r="D89" i="12"/>
  <c r="F89" i="12"/>
  <c r="H89" i="12"/>
  <c r="C197" i="9"/>
  <c r="H96" i="13"/>
  <c r="N178" i="9"/>
  <c r="E96" i="13"/>
  <c r="E178" i="9"/>
  <c r="G4" i="13"/>
  <c r="M8" i="9"/>
  <c r="F4" i="13"/>
  <c r="F8" i="9"/>
  <c r="K8" i="9" s="1"/>
  <c r="C4" i="13"/>
  <c r="C4" i="12"/>
  <c r="G4" i="12"/>
  <c r="D4" i="12"/>
  <c r="F4" i="12"/>
  <c r="H4" i="12"/>
  <c r="C8" i="9"/>
  <c r="H118" i="13"/>
  <c r="N218" i="9"/>
  <c r="E118" i="13"/>
  <c r="E218" i="9"/>
  <c r="G89" i="13"/>
  <c r="M246" i="9"/>
  <c r="F89" i="13"/>
  <c r="F246" i="9"/>
  <c r="K246" i="9" s="1"/>
  <c r="C89" i="13"/>
  <c r="C63" i="12"/>
  <c r="G63" i="12"/>
  <c r="D63" i="12"/>
  <c r="F63" i="12"/>
  <c r="H63" i="12"/>
  <c r="C246" i="9"/>
  <c r="B246" i="9" s="1"/>
  <c r="H8" i="13"/>
  <c r="N9" i="9"/>
  <c r="G82" i="13"/>
  <c r="M252" i="9"/>
  <c r="C82" i="13"/>
  <c r="D128" i="12"/>
  <c r="G128" i="12"/>
  <c r="C128" i="12"/>
  <c r="H128" i="12"/>
  <c r="C252" i="9"/>
  <c r="B252" i="9" s="1"/>
  <c r="H138" i="13"/>
  <c r="N176" i="9"/>
  <c r="G98" i="13"/>
  <c r="M253" i="9"/>
  <c r="F98" i="13"/>
  <c r="F253" i="9"/>
  <c r="K253" i="9" s="1"/>
  <c r="C98" i="13"/>
  <c r="D74" i="12"/>
  <c r="F74" i="12"/>
  <c r="H74" i="12"/>
  <c r="C74" i="12"/>
  <c r="G74" i="12"/>
  <c r="C253" i="9"/>
  <c r="H29" i="13"/>
  <c r="N254" i="9"/>
  <c r="G130" i="13"/>
  <c r="M240" i="9"/>
  <c r="F130" i="13"/>
  <c r="F240" i="9"/>
  <c r="K240" i="9" s="1"/>
  <c r="C130" i="13"/>
  <c r="D113" i="12"/>
  <c r="F113" i="12"/>
  <c r="H113" i="12"/>
  <c r="C113" i="12"/>
  <c r="G113" i="12"/>
  <c r="C240" i="9"/>
  <c r="B240" i="9" s="1"/>
  <c r="H6" i="13"/>
  <c r="N7" i="9"/>
  <c r="G128" i="13"/>
  <c r="M247" i="9"/>
  <c r="F128" i="13"/>
  <c r="F247" i="9"/>
  <c r="K247" i="9" s="1"/>
  <c r="C128" i="13"/>
  <c r="D101" i="12"/>
  <c r="F101" i="12"/>
  <c r="H101" i="12"/>
  <c r="C101" i="12"/>
  <c r="G101" i="12"/>
  <c r="C247" i="9"/>
  <c r="B247" i="9" s="1"/>
  <c r="H50" i="13"/>
  <c r="N255" i="9"/>
  <c r="G137" i="13"/>
  <c r="M259" i="9"/>
  <c r="F137" i="13"/>
  <c r="F259" i="9"/>
  <c r="K259" i="9" s="1"/>
  <c r="C137" i="13"/>
  <c r="D112" i="12"/>
  <c r="F112" i="12"/>
  <c r="H112" i="12"/>
  <c r="C112" i="12"/>
  <c r="G112" i="12"/>
  <c r="C259" i="9"/>
  <c r="H7" i="13"/>
  <c r="N5" i="9"/>
  <c r="G79" i="13"/>
  <c r="M293" i="9"/>
  <c r="F79" i="13"/>
  <c r="F293" i="9"/>
  <c r="K293" i="9" s="1"/>
  <c r="C79" i="13"/>
  <c r="D125" i="12"/>
  <c r="F125" i="12"/>
  <c r="H125" i="12"/>
  <c r="C125" i="12"/>
  <c r="G125" i="12"/>
  <c r="C293" i="9"/>
  <c r="H76" i="13"/>
  <c r="N271" i="9"/>
  <c r="G125" i="13"/>
  <c r="M265" i="9"/>
  <c r="F125" i="13"/>
  <c r="F265" i="9"/>
  <c r="K265" i="9" s="1"/>
  <c r="C125" i="13"/>
  <c r="D104" i="12"/>
  <c r="F104" i="12"/>
  <c r="H104" i="12"/>
  <c r="C104" i="12"/>
  <c r="G104" i="12"/>
  <c r="C265" i="9"/>
  <c r="B265" i="9" s="1"/>
  <c r="H122" i="13"/>
  <c r="N289" i="9"/>
  <c r="G11" i="13"/>
  <c r="M174" i="9"/>
  <c r="F11" i="13"/>
  <c r="F174" i="9"/>
  <c r="K174" i="9" s="1"/>
  <c r="C11" i="13"/>
  <c r="D8" i="12"/>
  <c r="F8" i="12"/>
  <c r="H8" i="12"/>
  <c r="C8" i="12"/>
  <c r="G8" i="12"/>
  <c r="C174" i="9"/>
  <c r="B174" i="9" s="1"/>
  <c r="H9" i="13"/>
  <c r="N4" i="9"/>
  <c r="G123" i="13"/>
  <c r="M270" i="9"/>
  <c r="F123" i="13"/>
  <c r="F270" i="9"/>
  <c r="K270" i="9" s="1"/>
  <c r="C123" i="13"/>
  <c r="D95" i="12"/>
  <c r="F95" i="12"/>
  <c r="H95" i="12"/>
  <c r="C95" i="12"/>
  <c r="G95" i="12"/>
  <c r="C270" i="9"/>
  <c r="H66" i="13"/>
  <c r="N292" i="9"/>
  <c r="G135" i="13"/>
  <c r="M257" i="9"/>
  <c r="F135" i="13"/>
  <c r="F257" i="9"/>
  <c r="K257" i="9" s="1"/>
  <c r="C135" i="13"/>
  <c r="D117" i="12"/>
  <c r="F117" i="12"/>
  <c r="H117" i="12"/>
  <c r="C117" i="12"/>
  <c r="G117" i="12"/>
  <c r="C257" i="9"/>
  <c r="B257" i="9" s="1"/>
  <c r="H111" i="13"/>
  <c r="N275" i="9"/>
  <c r="G95" i="13"/>
  <c r="M282" i="9"/>
  <c r="F95" i="13"/>
  <c r="F282" i="9"/>
  <c r="K282" i="9" s="1"/>
  <c r="C95" i="13"/>
  <c r="D76" i="12"/>
  <c r="F76" i="12"/>
  <c r="H76" i="12"/>
  <c r="C76" i="12"/>
  <c r="G76" i="12"/>
  <c r="C282" i="9"/>
  <c r="H124" i="13"/>
  <c r="N268" i="9"/>
  <c r="G10" i="13"/>
  <c r="M3" i="9"/>
  <c r="G63" i="14" s="1"/>
  <c r="F10" i="13"/>
  <c r="F3" i="9"/>
  <c r="K3" i="9" s="1"/>
  <c r="C10" i="13"/>
  <c r="D122" i="12"/>
  <c r="F122" i="12"/>
  <c r="H122" i="12"/>
  <c r="C122" i="12"/>
  <c r="G122" i="12"/>
  <c r="C3" i="9"/>
  <c r="B3" i="9" s="1"/>
  <c r="H139" i="13"/>
  <c r="N256" i="9"/>
  <c r="G133" i="13"/>
  <c r="M263" i="9"/>
  <c r="F133" i="13"/>
  <c r="F263" i="9"/>
  <c r="K263" i="9" s="1"/>
  <c r="C133" i="13"/>
  <c r="D107" i="12"/>
  <c r="F107" i="12"/>
  <c r="H107" i="12"/>
  <c r="C107" i="12"/>
  <c r="G107" i="12"/>
  <c r="C263" i="9"/>
  <c r="H108" i="13"/>
  <c r="N291" i="9"/>
  <c r="G5" i="13"/>
  <c r="G37" i="14" s="1"/>
  <c r="M6" i="9"/>
  <c r="F5" i="13"/>
  <c r="F6" i="9"/>
  <c r="K6" i="9" s="1"/>
  <c r="C5" i="13"/>
  <c r="D5" i="12"/>
  <c r="D9" i="14" s="1"/>
  <c r="F5" i="12"/>
  <c r="H5" i="12"/>
  <c r="H9" i="14" s="1"/>
  <c r="C5" i="12"/>
  <c r="G5" i="12"/>
  <c r="G9" i="14" s="1"/>
  <c r="C6" i="9"/>
  <c r="H102" i="13"/>
  <c r="N273" i="9"/>
  <c r="G71" i="13"/>
  <c r="M290" i="9"/>
  <c r="F71" i="13"/>
  <c r="F290" i="9"/>
  <c r="K290" i="9" s="1"/>
  <c r="C71" i="13"/>
  <c r="D57" i="12"/>
  <c r="F57" i="12"/>
  <c r="H57" i="12"/>
  <c r="C57" i="12"/>
  <c r="G57" i="12"/>
  <c r="C290" i="9"/>
  <c r="H86" i="13"/>
  <c r="N288" i="9"/>
  <c r="G65" i="13"/>
  <c r="M277" i="9"/>
  <c r="F65" i="13"/>
  <c r="F277" i="9"/>
  <c r="K277" i="9" s="1"/>
  <c r="C65" i="13"/>
  <c r="D85" i="12"/>
  <c r="F85" i="12"/>
  <c r="H85" i="12"/>
  <c r="C85" i="12"/>
  <c r="G85" i="12"/>
  <c r="C277" i="9"/>
  <c r="C64" i="7"/>
  <c r="H64" i="7" s="1"/>
  <c r="H85" i="13"/>
  <c r="N283" i="9"/>
  <c r="E85" i="13"/>
  <c r="E283" i="9"/>
  <c r="G80" i="13"/>
  <c r="M280" i="9"/>
  <c r="F80" i="13"/>
  <c r="F280" i="9"/>
  <c r="K280" i="9" s="1"/>
  <c r="F79" i="7"/>
  <c r="C80" i="13"/>
  <c r="D81" i="12"/>
  <c r="F81" i="12"/>
  <c r="H81" i="12"/>
  <c r="C81" i="12"/>
  <c r="G81" i="12"/>
  <c r="C280" i="9"/>
  <c r="C79" i="7"/>
  <c r="H79" i="7" s="1"/>
  <c r="H134" i="13"/>
  <c r="N262" i="9"/>
  <c r="G97" i="13"/>
  <c r="M276" i="9"/>
  <c r="F97" i="13"/>
  <c r="F276" i="9"/>
  <c r="K276" i="9" s="1"/>
  <c r="F96" i="7"/>
  <c r="C97" i="13"/>
  <c r="D86" i="12"/>
  <c r="F86" i="12"/>
  <c r="H86" i="12"/>
  <c r="C86" i="12"/>
  <c r="G86" i="12"/>
  <c r="C276" i="9"/>
  <c r="B276" i="9" s="1"/>
  <c r="C96" i="7"/>
  <c r="H96" i="7" s="1"/>
  <c r="H109" i="13"/>
  <c r="N260" i="9"/>
  <c r="G94" i="13"/>
  <c r="M284" i="9"/>
  <c r="F94" i="13"/>
  <c r="F284" i="9"/>
  <c r="K284" i="9" s="1"/>
  <c r="F93" i="7"/>
  <c r="C94" i="13"/>
  <c r="D71" i="12"/>
  <c r="F71" i="12"/>
  <c r="H71" i="12"/>
  <c r="C71" i="12"/>
  <c r="G71" i="12"/>
  <c r="C284" i="9"/>
  <c r="B284" i="9" s="1"/>
  <c r="C93" i="7"/>
  <c r="H93" i="7" s="1"/>
  <c r="H114" i="13"/>
  <c r="N266" i="9"/>
  <c r="G129" i="13"/>
  <c r="M264" i="9"/>
  <c r="F129" i="13"/>
  <c r="F264" i="9"/>
  <c r="K264" i="9" s="1"/>
  <c r="F128" i="7"/>
  <c r="C129" i="13"/>
  <c r="D106" i="12"/>
  <c r="F106" i="12"/>
  <c r="H106" i="12"/>
  <c r="C106" i="12"/>
  <c r="G106" i="12"/>
  <c r="C264" i="9"/>
  <c r="C128" i="7"/>
  <c r="H128" i="7" s="1"/>
  <c r="H93" i="13"/>
  <c r="N286" i="9"/>
  <c r="E93" i="13"/>
  <c r="E286" i="9"/>
  <c r="G119" i="13"/>
  <c r="M269" i="9"/>
  <c r="F119" i="13"/>
  <c r="F269" i="9"/>
  <c r="K269" i="9" s="1"/>
  <c r="F118" i="7"/>
  <c r="C119" i="13"/>
  <c r="D97" i="12"/>
  <c r="F97" i="12"/>
  <c r="H97" i="12"/>
  <c r="C97" i="12"/>
  <c r="G97" i="12"/>
  <c r="C269" i="9"/>
  <c r="H269" i="9" s="1"/>
  <c r="C118" i="7"/>
  <c r="H118" i="7" s="1"/>
  <c r="H126" i="13"/>
  <c r="N267" i="9"/>
  <c r="G68" i="13"/>
  <c r="M294" i="9"/>
  <c r="F68" i="13"/>
  <c r="F294" i="9"/>
  <c r="K294" i="9" s="1"/>
  <c r="F67" i="7"/>
  <c r="C68" i="13"/>
  <c r="D48" i="12"/>
  <c r="F48" i="12"/>
  <c r="H48" i="12"/>
  <c r="C48" i="12"/>
  <c r="G48" i="12"/>
  <c r="C294" i="9"/>
  <c r="B294" i="9" s="1"/>
  <c r="C67" i="7"/>
  <c r="H67" i="7" s="1"/>
  <c r="H110" i="13"/>
  <c r="N278" i="9"/>
  <c r="G106" i="13"/>
  <c r="M285" i="9"/>
  <c r="F106" i="13"/>
  <c r="F285" i="9"/>
  <c r="K285" i="9" s="1"/>
  <c r="F105" i="7"/>
  <c r="C106" i="13"/>
  <c r="C119" i="12"/>
  <c r="G119" i="12"/>
  <c r="D119" i="12"/>
  <c r="F119" i="12"/>
  <c r="H119" i="12"/>
  <c r="C285" i="9"/>
  <c r="C105" i="7"/>
  <c r="H105" i="7" s="1"/>
  <c r="H104" i="13"/>
  <c r="N281" i="9"/>
  <c r="G87" i="13"/>
  <c r="M287" i="9"/>
  <c r="F87" i="13"/>
  <c r="F287" i="9"/>
  <c r="K287" i="9" s="1"/>
  <c r="F86" i="7"/>
  <c r="C87" i="13"/>
  <c r="C67" i="12"/>
  <c r="G67" i="12"/>
  <c r="D67" i="12"/>
  <c r="F67" i="12"/>
  <c r="H67" i="12"/>
  <c r="C287" i="9"/>
  <c r="H287" i="9" s="1"/>
  <c r="C86" i="7"/>
  <c r="H86" i="7" s="1"/>
  <c r="H112" i="13"/>
  <c r="N274" i="9"/>
  <c r="E112" i="13"/>
  <c r="E274" i="9"/>
  <c r="G113" i="13"/>
  <c r="M272" i="9"/>
  <c r="F113" i="13"/>
  <c r="F272" i="9"/>
  <c r="F112" i="7"/>
  <c r="C113" i="13"/>
  <c r="C93" i="12"/>
  <c r="G93" i="12"/>
  <c r="D93" i="12"/>
  <c r="F93" i="12"/>
  <c r="H93" i="12"/>
  <c r="C272" i="9"/>
  <c r="C112" i="7"/>
  <c r="H112" i="7" s="1"/>
  <c r="H131" i="13"/>
  <c r="N261" i="9"/>
  <c r="A21" i="24"/>
  <c r="B39" i="14"/>
  <c r="G101" i="13"/>
  <c r="M279" i="9"/>
  <c r="F101" i="13"/>
  <c r="F279" i="9"/>
  <c r="F100" i="7"/>
  <c r="C101" i="13"/>
  <c r="C82" i="12"/>
  <c r="G82" i="12"/>
  <c r="D82" i="12"/>
  <c r="F82" i="12"/>
  <c r="H82" i="12"/>
  <c r="C279" i="9"/>
  <c r="H279" i="9" s="1"/>
  <c r="C100" i="7"/>
  <c r="H100" i="7" s="1"/>
  <c r="H136" i="13"/>
  <c r="N258" i="9"/>
  <c r="E136" i="13"/>
  <c r="E258" i="9"/>
  <c r="A21" i="22"/>
  <c r="B37" i="14"/>
  <c r="B64" i="7"/>
  <c r="C31" i="6"/>
  <c r="H31" i="6" s="1"/>
  <c r="C135" i="6"/>
  <c r="H135" i="6" s="1"/>
  <c r="C12" i="6"/>
  <c r="H12" i="6" s="1"/>
  <c r="C41" i="6"/>
  <c r="H41" i="6" s="1"/>
  <c r="C9" i="6"/>
  <c r="H9" i="6" s="1"/>
  <c r="C45" i="6"/>
  <c r="H45" i="6" s="1"/>
  <c r="C10" i="6"/>
  <c r="H10" i="6" s="1"/>
  <c r="C32" i="6"/>
  <c r="H32" i="6" s="1"/>
  <c r="C16" i="6"/>
  <c r="H16" i="6" s="1"/>
  <c r="C36" i="6"/>
  <c r="H36" i="6" s="1"/>
  <c r="C35" i="6"/>
  <c r="H35" i="6" s="1"/>
  <c r="C25" i="6"/>
  <c r="H25" i="6" s="1"/>
  <c r="C15" i="6"/>
  <c r="H15" i="6" s="1"/>
  <c r="C18" i="6"/>
  <c r="H18" i="6" s="1"/>
  <c r="E51" i="6"/>
  <c r="C51" i="6"/>
  <c r="H51" i="6" s="1"/>
  <c r="C17" i="6"/>
  <c r="H17" i="6" s="1"/>
  <c r="E52" i="6"/>
  <c r="C52" i="6"/>
  <c r="H52" i="6" s="1"/>
  <c r="C27" i="6"/>
  <c r="H27" i="6" s="1"/>
  <c r="E42" i="6"/>
  <c r="C42" i="6"/>
  <c r="H42" i="6" s="1"/>
  <c r="C44" i="6"/>
  <c r="H44" i="6" s="1"/>
  <c r="L42" i="6" s="1"/>
  <c r="C39" i="6"/>
  <c r="H39" i="6" s="1"/>
  <c r="C83" i="6"/>
  <c r="H83" i="6" s="1"/>
  <c r="E71" i="6"/>
  <c r="C71" i="6"/>
  <c r="H71" i="6" s="1"/>
  <c r="C131" i="6"/>
  <c r="H131" i="6" s="1"/>
  <c r="E29" i="6"/>
  <c r="C29" i="6"/>
  <c r="H29" i="6" s="1"/>
  <c r="C130" i="6"/>
  <c r="H130" i="6" s="1"/>
  <c r="L130" i="6" s="1"/>
  <c r="E109" i="6"/>
  <c r="C109" i="6"/>
  <c r="H109" i="6" s="1"/>
  <c r="C46" i="6"/>
  <c r="H46" i="6" s="1"/>
  <c r="E38" i="6"/>
  <c r="C38" i="6"/>
  <c r="H38" i="6" s="1"/>
  <c r="C48" i="6"/>
  <c r="H48" i="6" s="1"/>
  <c r="E61" i="6"/>
  <c r="C61" i="6"/>
  <c r="H61" i="6" s="1"/>
  <c r="C49" i="6"/>
  <c r="H49" i="6" s="1"/>
  <c r="E67" i="6"/>
  <c r="C67" i="6"/>
  <c r="H67" i="6" s="1"/>
  <c r="C129" i="6"/>
  <c r="H129" i="6" s="1"/>
  <c r="K129" i="6" s="1"/>
  <c r="E34" i="6"/>
  <c r="C34" i="6"/>
  <c r="H34" i="6" s="1"/>
  <c r="C74" i="6"/>
  <c r="H74" i="6" s="1"/>
  <c r="E54" i="6"/>
  <c r="C54" i="6"/>
  <c r="H54" i="6" s="1"/>
  <c r="C30" i="6"/>
  <c r="H30" i="6" s="1"/>
  <c r="E37" i="6"/>
  <c r="C37" i="6"/>
  <c r="H37" i="6" s="1"/>
  <c r="K35" i="6" s="1"/>
  <c r="C43" i="6"/>
  <c r="H43" i="6" s="1"/>
  <c r="E14" i="6"/>
  <c r="C14" i="6"/>
  <c r="H14" i="6" s="1"/>
  <c r="C11" i="6"/>
  <c r="H11" i="6" s="1"/>
  <c r="L8" i="6" s="1"/>
  <c r="E68" i="6"/>
  <c r="C68" i="6"/>
  <c r="H68" i="6" s="1"/>
  <c r="C69" i="6"/>
  <c r="H69" i="6" s="1"/>
  <c r="E58" i="6"/>
  <c r="C58" i="6"/>
  <c r="H58" i="6" s="1"/>
  <c r="C63" i="6"/>
  <c r="H63" i="6" s="1"/>
  <c r="E60" i="6"/>
  <c r="C60" i="6"/>
  <c r="H60" i="6" s="1"/>
  <c r="J57" i="6" s="1"/>
  <c r="C55" i="6"/>
  <c r="H55" i="6" s="1"/>
  <c r="E76" i="6"/>
  <c r="C76" i="6"/>
  <c r="H76" i="6" s="1"/>
  <c r="C53" i="6"/>
  <c r="H53" i="6" s="1"/>
  <c r="E99" i="6"/>
  <c r="C99" i="6"/>
  <c r="H99" i="6" s="1"/>
  <c r="C77" i="6"/>
  <c r="H77" i="6" s="1"/>
  <c r="E89" i="6"/>
  <c r="C89" i="6"/>
  <c r="H89" i="6" s="1"/>
  <c r="C128" i="6"/>
  <c r="H128" i="6" s="1"/>
  <c r="E115" i="6"/>
  <c r="C115" i="6"/>
  <c r="H115" i="6" s="1"/>
  <c r="J115" i="6" s="1"/>
  <c r="C57" i="6"/>
  <c r="H57" i="6" s="1"/>
  <c r="C79" i="6"/>
  <c r="H79" i="6" s="1"/>
  <c r="C88" i="6"/>
  <c r="H88" i="6" s="1"/>
  <c r="E95" i="6"/>
  <c r="C95" i="6"/>
  <c r="H95" i="6" s="1"/>
  <c r="C3" i="6"/>
  <c r="H3" i="6" s="1"/>
  <c r="E90" i="6"/>
  <c r="C90" i="6"/>
  <c r="H90" i="6" s="1"/>
  <c r="L89" i="6" s="1"/>
  <c r="C62" i="6"/>
  <c r="H62" i="6" s="1"/>
  <c r="B6" i="6"/>
  <c r="C127" i="6"/>
  <c r="H127" i="6" s="1"/>
  <c r="C126" i="6"/>
  <c r="H126" i="6" s="1"/>
  <c r="C73" i="6"/>
  <c r="H73" i="6" s="1"/>
  <c r="C26" i="6"/>
  <c r="H26" i="6" s="1"/>
  <c r="C112" i="6"/>
  <c r="H112" i="6" s="1"/>
  <c r="C5" i="6"/>
  <c r="H5" i="6" s="1"/>
  <c r="C100" i="6"/>
  <c r="H100" i="6" s="1"/>
  <c r="C114" i="6"/>
  <c r="H114" i="6" s="1"/>
  <c r="C111" i="6"/>
  <c r="H111" i="6" s="1"/>
  <c r="C125" i="6"/>
  <c r="H125" i="6" s="1"/>
  <c r="C124" i="6"/>
  <c r="H124" i="6" s="1"/>
  <c r="L124" i="6" s="1"/>
  <c r="C93" i="6"/>
  <c r="H93" i="6" s="1"/>
  <c r="C103" i="6"/>
  <c r="H103" i="6" s="1"/>
  <c r="C123" i="6"/>
  <c r="H123" i="6" s="1"/>
  <c r="C7" i="6"/>
  <c r="H7" i="6" s="1"/>
  <c r="C122" i="6"/>
  <c r="H122" i="6" s="1"/>
  <c r="C94" i="6"/>
  <c r="H94" i="6" s="1"/>
  <c r="C50" i="6"/>
  <c r="H50" i="6" s="1"/>
  <c r="C116" i="6"/>
  <c r="H116" i="6" s="1"/>
  <c r="C86" i="6"/>
  <c r="H86" i="6" s="1"/>
  <c r="C75" i="6"/>
  <c r="H75" i="6" s="1"/>
  <c r="C97" i="6"/>
  <c r="H97" i="6" s="1"/>
  <c r="C121" i="6"/>
  <c r="H121" i="6" s="1"/>
  <c r="C117" i="6"/>
  <c r="H117" i="6" s="1"/>
  <c r="C106" i="6"/>
  <c r="H106" i="6" s="1"/>
  <c r="C120" i="6"/>
  <c r="H120" i="6" s="1"/>
  <c r="C4" i="6"/>
  <c r="H4" i="6" s="1"/>
  <c r="C91" i="6"/>
  <c r="H91" i="6" s="1"/>
  <c r="C56" i="6"/>
  <c r="H56" i="6" s="1"/>
  <c r="C84" i="6"/>
  <c r="H84" i="6" s="1"/>
  <c r="E72" i="6"/>
  <c r="C80" i="6"/>
  <c r="H80" i="6" s="1"/>
  <c r="C85" i="6"/>
  <c r="H85" i="6" s="1"/>
  <c r="C70" i="6"/>
  <c r="H70" i="6" s="1"/>
  <c r="L68" i="6" s="1"/>
  <c r="C105" i="6"/>
  <c r="H105" i="6" s="1"/>
  <c r="E119" i="6"/>
  <c r="C96" i="6"/>
  <c r="H96" i="6" s="1"/>
  <c r="C47" i="6"/>
  <c r="H47" i="6" s="1"/>
  <c r="C118" i="6"/>
  <c r="H118" i="6" s="1"/>
  <c r="C66" i="6"/>
  <c r="H66" i="6" s="1"/>
  <c r="E87" i="6"/>
  <c r="C92" i="6"/>
  <c r="H92" i="6" s="1"/>
  <c r="L91" i="6" s="1"/>
  <c r="C81" i="6"/>
  <c r="H81" i="6" s="1"/>
  <c r="E113" i="6"/>
  <c r="B302" i="7"/>
  <c r="B300" i="7"/>
  <c r="B298" i="7"/>
  <c r="B296" i="7"/>
  <c r="B294" i="7"/>
  <c r="B292" i="7"/>
  <c r="B290" i="7"/>
  <c r="B288" i="7"/>
  <c r="B286" i="7"/>
  <c r="B284" i="7"/>
  <c r="B282" i="7"/>
  <c r="B280" i="7"/>
  <c r="B278" i="7"/>
  <c r="B276" i="7"/>
  <c r="B274" i="7"/>
  <c r="B272" i="7"/>
  <c r="B270" i="7"/>
  <c r="B268" i="7"/>
  <c r="B266" i="7"/>
  <c r="B264" i="7"/>
  <c r="B262" i="7"/>
  <c r="B260" i="7"/>
  <c r="B258" i="7"/>
  <c r="B256" i="7"/>
  <c r="B254" i="7"/>
  <c r="B252" i="7"/>
  <c r="B250" i="7"/>
  <c r="B248" i="7"/>
  <c r="B246" i="7"/>
  <c r="B244" i="7"/>
  <c r="B242" i="7"/>
  <c r="B240" i="7"/>
  <c r="B238" i="7"/>
  <c r="B236" i="7"/>
  <c r="B234" i="7"/>
  <c r="B232" i="7"/>
  <c r="B230" i="7"/>
  <c r="B228" i="7"/>
  <c r="B226" i="7"/>
  <c r="B224" i="7"/>
  <c r="B222" i="7"/>
  <c r="B220" i="7"/>
  <c r="B218" i="7"/>
  <c r="B216" i="7"/>
  <c r="B214" i="7"/>
  <c r="B212" i="7"/>
  <c r="B210" i="7"/>
  <c r="B208" i="7"/>
  <c r="B206" i="7"/>
  <c r="B204" i="7"/>
  <c r="B202" i="7"/>
  <c r="B200" i="7"/>
  <c r="B198" i="7"/>
  <c r="B196" i="7"/>
  <c r="B194" i="7"/>
  <c r="B192" i="7"/>
  <c r="B190" i="7"/>
  <c r="B188" i="7"/>
  <c r="B186" i="7"/>
  <c r="B184" i="7"/>
  <c r="B182" i="7"/>
  <c r="B180" i="7"/>
  <c r="B178" i="7"/>
  <c r="B176" i="7"/>
  <c r="B174" i="7"/>
  <c r="B172" i="7"/>
  <c r="B170" i="7"/>
  <c r="B168" i="7"/>
  <c r="B166" i="7"/>
  <c r="B164" i="7"/>
  <c r="B162" i="7"/>
  <c r="B160" i="7"/>
  <c r="B158" i="7"/>
  <c r="B156" i="7"/>
  <c r="B154" i="7"/>
  <c r="B152" i="7"/>
  <c r="B150" i="7"/>
  <c r="B148" i="7"/>
  <c r="B146" i="7"/>
  <c r="B144" i="7"/>
  <c r="B142" i="7"/>
  <c r="B140" i="7"/>
  <c r="B89" i="7"/>
  <c r="B119" i="7"/>
  <c r="B33" i="7"/>
  <c r="B91" i="7"/>
  <c r="B29" i="7"/>
  <c r="B42" i="7"/>
  <c r="B20" i="7"/>
  <c r="B25" i="7"/>
  <c r="B66" i="7"/>
  <c r="B53" i="7"/>
  <c r="B13" i="7"/>
  <c r="B55" i="7"/>
  <c r="B56" i="7"/>
  <c r="B26" i="7"/>
  <c r="B37" i="7"/>
  <c r="B19" i="7"/>
  <c r="B24" i="7"/>
  <c r="B23" i="7"/>
  <c r="F17" i="7"/>
  <c r="B17" i="7"/>
  <c r="F36" i="7"/>
  <c r="B36" i="7"/>
  <c r="F61" i="7"/>
  <c r="B61" i="7"/>
  <c r="F102" i="7"/>
  <c r="B102" i="7"/>
  <c r="F39" i="7"/>
  <c r="B39" i="7"/>
  <c r="F57" i="7"/>
  <c r="B57" i="7"/>
  <c r="F63" i="7"/>
  <c r="B63" i="7"/>
  <c r="F62" i="7"/>
  <c r="B62" i="7"/>
  <c r="F68" i="7"/>
  <c r="B68" i="7"/>
  <c r="F76" i="7"/>
  <c r="B76" i="7"/>
  <c r="F30" i="7"/>
  <c r="B30" i="7"/>
  <c r="F38" i="7"/>
  <c r="B38" i="7"/>
  <c r="F60" i="7"/>
  <c r="B60" i="7"/>
  <c r="F16" i="7"/>
  <c r="B16" i="7"/>
  <c r="F83" i="7"/>
  <c r="B83" i="7"/>
  <c r="F51" i="7"/>
  <c r="B51" i="7"/>
  <c r="F80" i="7"/>
  <c r="B80" i="7"/>
  <c r="F77" i="7"/>
  <c r="B77" i="7"/>
  <c r="F71" i="7"/>
  <c r="B71" i="7"/>
  <c r="F106" i="7"/>
  <c r="B106" i="7"/>
  <c r="F34" i="7"/>
  <c r="B34" i="7"/>
  <c r="F114" i="7"/>
  <c r="B114" i="7"/>
  <c r="F3" i="7"/>
  <c r="B3" i="7"/>
  <c r="F88" i="7"/>
  <c r="B88" i="7"/>
  <c r="B7" i="7"/>
  <c r="B81" i="7"/>
  <c r="F97" i="7"/>
  <c r="B97" i="7"/>
  <c r="F129" i="7"/>
  <c r="B129" i="7"/>
  <c r="F127" i="7"/>
  <c r="B127" i="7"/>
  <c r="F136" i="7"/>
  <c r="B136" i="7"/>
  <c r="F78" i="7"/>
  <c r="B78" i="7"/>
  <c r="F124" i="7"/>
  <c r="B124" i="7"/>
  <c r="F10" i="7"/>
  <c r="B10" i="7"/>
  <c r="F122" i="7"/>
  <c r="B122" i="7"/>
  <c r="F134" i="7"/>
  <c r="B134" i="7"/>
  <c r="F94" i="7"/>
  <c r="B94" i="7"/>
  <c r="F9" i="7"/>
  <c r="B9" i="7"/>
  <c r="F132" i="7"/>
  <c r="B132" i="7"/>
  <c r="F4" i="7"/>
  <c r="B4" i="7"/>
  <c r="F70" i="7"/>
  <c r="B70" i="7"/>
  <c r="G42" i="13"/>
  <c r="M200" i="9"/>
  <c r="F42" i="13"/>
  <c r="F200" i="9"/>
  <c r="K200" i="9" s="1"/>
  <c r="C42" i="13"/>
  <c r="D32" i="12"/>
  <c r="F32" i="12"/>
  <c r="H32" i="12"/>
  <c r="C32" i="12"/>
  <c r="G32" i="12"/>
  <c r="C200" i="9"/>
  <c r="B200" i="9" s="1"/>
  <c r="H43" i="13"/>
  <c r="N201" i="9"/>
  <c r="G100" i="13"/>
  <c r="M296" i="9"/>
  <c r="F100" i="13"/>
  <c r="F296" i="9"/>
  <c r="K296" i="9" s="1"/>
  <c r="C100" i="13"/>
  <c r="D136" i="12"/>
  <c r="F136" i="12"/>
  <c r="H136" i="12"/>
  <c r="C136" i="12"/>
  <c r="G136" i="12"/>
  <c r="C296" i="9"/>
  <c r="H296" i="9" s="1"/>
  <c r="H21" i="13"/>
  <c r="N212" i="9"/>
  <c r="G15" i="13"/>
  <c r="M217" i="9"/>
  <c r="F15" i="13"/>
  <c r="F217" i="9"/>
  <c r="K217" i="9" s="1"/>
  <c r="C15" i="13"/>
  <c r="D13" i="12"/>
  <c r="F13" i="12"/>
  <c r="H13" i="12"/>
  <c r="C13" i="12"/>
  <c r="G13" i="12"/>
  <c r="C217" i="9"/>
  <c r="H26" i="13"/>
  <c r="N198" i="9"/>
  <c r="G41" i="13"/>
  <c r="M205" i="9"/>
  <c r="F41" i="13"/>
  <c r="F205" i="9"/>
  <c r="K205" i="9" s="1"/>
  <c r="C41" i="13"/>
  <c r="D42" i="12"/>
  <c r="F42" i="12"/>
  <c r="H42" i="12"/>
  <c r="C42" i="12"/>
  <c r="G42" i="12"/>
  <c r="C205" i="9"/>
  <c r="B205" i="9" s="1"/>
  <c r="H67" i="13"/>
  <c r="N250" i="9"/>
  <c r="G13" i="13"/>
  <c r="M229" i="9"/>
  <c r="F13" i="13"/>
  <c r="F229" i="9"/>
  <c r="K229" i="9" s="1"/>
  <c r="C13" i="13"/>
  <c r="D10" i="12"/>
  <c r="F10" i="12"/>
  <c r="H10" i="12"/>
  <c r="C10" i="12"/>
  <c r="G10" i="12"/>
  <c r="C229" i="9"/>
  <c r="B229" i="9" s="1"/>
  <c r="H54" i="13"/>
  <c r="N186" i="9"/>
  <c r="G59" i="13"/>
  <c r="M233" i="9"/>
  <c r="F59" i="13"/>
  <c r="F233" i="9"/>
  <c r="K233" i="9" s="1"/>
  <c r="C59" i="13"/>
  <c r="D46" i="12"/>
  <c r="F46" i="12"/>
  <c r="H46" i="12"/>
  <c r="C46" i="12"/>
  <c r="G46" i="12"/>
  <c r="C233" i="9"/>
  <c r="B233" i="9" s="1"/>
  <c r="H14" i="13"/>
  <c r="N232" i="9"/>
  <c r="G12" i="13"/>
  <c r="M224" i="9"/>
  <c r="F12" i="13"/>
  <c r="F37" i="14" s="1"/>
  <c r="F224" i="9"/>
  <c r="K224" i="9" s="1"/>
  <c r="C12" i="13"/>
  <c r="D11" i="12"/>
  <c r="D14" i="14" s="1"/>
  <c r="F11" i="12"/>
  <c r="H11" i="12"/>
  <c r="C11" i="12"/>
  <c r="E11" i="12"/>
  <c r="G11" i="12"/>
  <c r="C224" i="9"/>
  <c r="B224" i="9" s="1"/>
  <c r="N196" i="9"/>
  <c r="G32" i="13"/>
  <c r="M181" i="9"/>
  <c r="F32" i="13"/>
  <c r="F181" i="9"/>
  <c r="K181" i="9" s="1"/>
  <c r="C32" i="13"/>
  <c r="D33" i="12"/>
  <c r="F33" i="12"/>
  <c r="H33" i="12"/>
  <c r="C33" i="12"/>
  <c r="E33" i="12"/>
  <c r="G33" i="12"/>
  <c r="C181" i="9"/>
  <c r="H181" i="9" s="1"/>
  <c r="H57" i="13"/>
  <c r="N188" i="9"/>
  <c r="G23" i="13"/>
  <c r="M208" i="9"/>
  <c r="F23" i="13"/>
  <c r="F208" i="9"/>
  <c r="K208" i="9" s="1"/>
  <c r="C23" i="13"/>
  <c r="D17" i="12"/>
  <c r="F17" i="12"/>
  <c r="H17" i="12"/>
  <c r="C17" i="12"/>
  <c r="E17" i="12"/>
  <c r="G17" i="12"/>
  <c r="C208" i="9"/>
  <c r="H27" i="13"/>
  <c r="N195" i="9"/>
  <c r="G48" i="13"/>
  <c r="M175" i="9"/>
  <c r="F48" i="13"/>
  <c r="F175" i="9"/>
  <c r="K175" i="9" s="1"/>
  <c r="C48" i="13"/>
  <c r="D37" i="12"/>
  <c r="F37" i="12"/>
  <c r="H37" i="12"/>
  <c r="C37" i="12"/>
  <c r="E37" i="12"/>
  <c r="G37" i="12"/>
  <c r="C175" i="9"/>
  <c r="B175" i="9" s="1"/>
  <c r="H38" i="13"/>
  <c r="N189" i="9"/>
  <c r="G46" i="13"/>
  <c r="M177" i="9"/>
  <c r="F46" i="13"/>
  <c r="F177" i="9"/>
  <c r="K177" i="9" s="1"/>
  <c r="C46" i="13"/>
  <c r="D36" i="12"/>
  <c r="F36" i="12"/>
  <c r="H36" i="12"/>
  <c r="C36" i="12"/>
  <c r="E36" i="12"/>
  <c r="G36" i="12"/>
  <c r="C177" i="9"/>
  <c r="B177" i="9" s="1"/>
  <c r="H20" i="13"/>
  <c r="N227" i="9"/>
  <c r="G36" i="13"/>
  <c r="M207" i="9"/>
  <c r="F36" i="13"/>
  <c r="F207" i="9"/>
  <c r="K207" i="9" s="1"/>
  <c r="C36" i="13"/>
  <c r="D26" i="12"/>
  <c r="F26" i="12"/>
  <c r="H26" i="12"/>
  <c r="C26" i="12"/>
  <c r="E26" i="12"/>
  <c r="G26" i="12"/>
  <c r="C207" i="9"/>
  <c r="B207" i="9" s="1"/>
  <c r="H25" i="13"/>
  <c r="N222" i="9"/>
  <c r="G22" i="13"/>
  <c r="M226" i="9"/>
  <c r="F22" i="13"/>
  <c r="F226" i="9"/>
  <c r="K226" i="9" s="1"/>
  <c r="C22" i="13"/>
  <c r="D16" i="12"/>
  <c r="F16" i="12"/>
  <c r="H16" i="12"/>
  <c r="C16" i="12"/>
  <c r="E16" i="12"/>
  <c r="G16" i="12"/>
  <c r="C226" i="9"/>
  <c r="H24" i="13"/>
  <c r="N228" i="9"/>
  <c r="G73" i="13"/>
  <c r="M210" i="9"/>
  <c r="F73" i="13"/>
  <c r="F210" i="9"/>
  <c r="K210" i="9" s="1"/>
  <c r="C73" i="13"/>
  <c r="D52" i="12"/>
  <c r="F52" i="12"/>
  <c r="H52" i="12"/>
  <c r="C52" i="12"/>
  <c r="E52" i="12"/>
  <c r="G52" i="12"/>
  <c r="C210" i="9"/>
  <c r="B210" i="9" s="1"/>
  <c r="H18" i="13"/>
  <c r="N235" i="9"/>
  <c r="G75" i="13"/>
  <c r="M194" i="9"/>
  <c r="F75" i="13"/>
  <c r="F194" i="9"/>
  <c r="K194" i="9" s="1"/>
  <c r="C75" i="13"/>
  <c r="D53" i="12"/>
  <c r="F53" i="12"/>
  <c r="H53" i="12"/>
  <c r="C53" i="12"/>
  <c r="E53" i="12"/>
  <c r="G53" i="12"/>
  <c r="C194" i="9"/>
  <c r="B194" i="9" s="1"/>
  <c r="H37" i="13"/>
  <c r="N223" i="9"/>
  <c r="G51" i="13"/>
  <c r="M192" i="9"/>
  <c r="F51" i="13"/>
  <c r="F192" i="9"/>
  <c r="K192" i="9" s="1"/>
  <c r="C51" i="13"/>
  <c r="D43" i="12"/>
  <c r="F43" i="12"/>
  <c r="H43" i="12"/>
  <c r="C43" i="12"/>
  <c r="E43" i="12"/>
  <c r="G43" i="12"/>
  <c r="C192" i="9"/>
  <c r="B192" i="9" s="1"/>
  <c r="H62" i="13"/>
  <c r="N185" i="9"/>
  <c r="G47" i="13"/>
  <c r="M211" i="9"/>
  <c r="F47" i="13"/>
  <c r="F211" i="9"/>
  <c r="K211" i="9" s="1"/>
  <c r="C47" i="13"/>
  <c r="D40" i="12"/>
  <c r="F40" i="12"/>
  <c r="H40" i="12"/>
  <c r="C40" i="12"/>
  <c r="G40" i="12"/>
  <c r="C211" i="9"/>
  <c r="H211" i="9" s="1"/>
  <c r="H103" i="13"/>
  <c r="N251" i="9"/>
  <c r="G53" i="13"/>
  <c r="M225" i="9"/>
  <c r="F53" i="13"/>
  <c r="F225" i="9"/>
  <c r="K225" i="9" s="1"/>
  <c r="C53" i="13"/>
  <c r="D72" i="12"/>
  <c r="F72" i="12"/>
  <c r="H72" i="12"/>
  <c r="C72" i="12"/>
  <c r="E72" i="12"/>
  <c r="G72" i="12"/>
  <c r="C225" i="9"/>
  <c r="H225" i="9" s="1"/>
  <c r="H40" i="13"/>
  <c r="N234" i="9"/>
  <c r="G45" i="13"/>
  <c r="M236" i="9"/>
  <c r="F45" i="13"/>
  <c r="F236" i="9"/>
  <c r="K236" i="9" s="1"/>
  <c r="C45" i="13"/>
  <c r="D30" i="12"/>
  <c r="F30" i="12"/>
  <c r="H30" i="12"/>
  <c r="C30" i="12"/>
  <c r="E30" i="12"/>
  <c r="G30" i="12"/>
  <c r="C236" i="9"/>
  <c r="H58" i="13"/>
  <c r="N244" i="9"/>
  <c r="G127" i="13"/>
  <c r="M295" i="9"/>
  <c r="F127" i="13"/>
  <c r="F295" i="9"/>
  <c r="K295" i="9" s="1"/>
  <c r="C127" i="13"/>
  <c r="D110" i="12"/>
  <c r="F110" i="12"/>
  <c r="H110" i="12"/>
  <c r="C110" i="12"/>
  <c r="E110" i="12"/>
  <c r="G110" i="12"/>
  <c r="C295" i="9"/>
  <c r="H295" i="9" s="1"/>
  <c r="H64" i="13"/>
  <c r="N220" i="9"/>
  <c r="G55" i="13"/>
  <c r="M238" i="9"/>
  <c r="F55" i="13"/>
  <c r="F238" i="9"/>
  <c r="K238" i="9" s="1"/>
  <c r="C55" i="13"/>
  <c r="D39" i="12"/>
  <c r="F39" i="12"/>
  <c r="H39" i="12"/>
  <c r="C39" i="12"/>
  <c r="E39" i="12"/>
  <c r="G39" i="12"/>
  <c r="C238" i="9"/>
  <c r="B238" i="9" s="1"/>
  <c r="H63" i="13"/>
  <c r="N216" i="9"/>
  <c r="G70" i="13"/>
  <c r="M191" i="9"/>
  <c r="F70" i="13"/>
  <c r="F191" i="9"/>
  <c r="K191" i="9" s="1"/>
  <c r="C70" i="13"/>
  <c r="D62" i="12"/>
  <c r="F62" i="12"/>
  <c r="H62" i="12"/>
  <c r="C62" i="12"/>
  <c r="E62" i="12"/>
  <c r="G62" i="12"/>
  <c r="C191" i="9"/>
  <c r="H191" i="9" s="1"/>
  <c r="H69" i="13"/>
  <c r="N215" i="9"/>
  <c r="G88" i="13"/>
  <c r="M182" i="9"/>
  <c r="F88" i="13"/>
  <c r="F182" i="9"/>
  <c r="K182" i="9" s="1"/>
  <c r="C88" i="13"/>
  <c r="D68" i="12"/>
  <c r="F68" i="12"/>
  <c r="H68" i="12"/>
  <c r="C68" i="12"/>
  <c r="E68" i="12"/>
  <c r="G68" i="12"/>
  <c r="C182" i="9"/>
  <c r="H77" i="13"/>
  <c r="N219" i="9"/>
  <c r="G49" i="13"/>
  <c r="M242" i="9"/>
  <c r="F49" i="13"/>
  <c r="F242" i="9"/>
  <c r="K242" i="9" s="1"/>
  <c r="C49" i="13"/>
  <c r="D35" i="12"/>
  <c r="F35" i="12"/>
  <c r="H35" i="12"/>
  <c r="C35" i="12"/>
  <c r="E35" i="12"/>
  <c r="G35" i="12"/>
  <c r="C242" i="9"/>
  <c r="B242" i="9" s="1"/>
  <c r="H31" i="13"/>
  <c r="N180" i="9"/>
  <c r="G60" i="13"/>
  <c r="M204" i="9"/>
  <c r="F60" i="13"/>
  <c r="F204" i="9"/>
  <c r="K204" i="9" s="1"/>
  <c r="C60" i="13"/>
  <c r="D55" i="12"/>
  <c r="F55" i="12"/>
  <c r="H55" i="12"/>
  <c r="C55" i="12"/>
  <c r="E55" i="12"/>
  <c r="G55" i="12"/>
  <c r="C204" i="9"/>
  <c r="B204" i="9" s="1"/>
  <c r="H39" i="13"/>
  <c r="N243" i="9"/>
  <c r="G44" i="13"/>
  <c r="M241" i="9"/>
  <c r="F44" i="13"/>
  <c r="F241" i="9"/>
  <c r="K241" i="9" s="1"/>
  <c r="C44" i="13"/>
  <c r="D38" i="12"/>
  <c r="F38" i="12"/>
  <c r="H38" i="12"/>
  <c r="C38" i="12"/>
  <c r="E38" i="12"/>
  <c r="G38" i="12"/>
  <c r="C241" i="9"/>
  <c r="H241" i="9" s="1"/>
  <c r="H61" i="13"/>
  <c r="N230" i="9"/>
  <c r="G19" i="13"/>
  <c r="M248" i="9"/>
  <c r="F19" i="13"/>
  <c r="F248" i="9"/>
  <c r="K248" i="9" s="1"/>
  <c r="C19" i="13"/>
  <c r="D15" i="12"/>
  <c r="F15" i="12"/>
  <c r="H15" i="12"/>
  <c r="C15" i="12"/>
  <c r="E15" i="12"/>
  <c r="G15" i="12"/>
  <c r="C248" i="9"/>
  <c r="B248" i="9" s="1"/>
  <c r="H17" i="13"/>
  <c r="N249" i="9"/>
  <c r="G91" i="13"/>
  <c r="M179" i="9"/>
  <c r="F91" i="13"/>
  <c r="F179" i="9"/>
  <c r="K179" i="9" s="1"/>
  <c r="C91" i="13"/>
  <c r="D69" i="12"/>
  <c r="F69" i="12"/>
  <c r="H69" i="12"/>
  <c r="C69" i="12"/>
  <c r="E69" i="12"/>
  <c r="G69" i="12"/>
  <c r="C179" i="9"/>
  <c r="B179" i="9" s="1"/>
  <c r="H84" i="13"/>
  <c r="N187" i="9"/>
  <c r="G33" i="13"/>
  <c r="M206" i="9"/>
  <c r="F33" i="13"/>
  <c r="F206" i="9"/>
  <c r="K206" i="9" s="1"/>
  <c r="C33" i="13"/>
  <c r="D59" i="12"/>
  <c r="F59" i="12"/>
  <c r="H59" i="12"/>
  <c r="C59" i="12"/>
  <c r="E59" i="12"/>
  <c r="G59" i="12"/>
  <c r="C206" i="9"/>
  <c r="L206" i="9" s="1"/>
  <c r="H52" i="13"/>
  <c r="N203" i="9"/>
  <c r="G83" i="13"/>
  <c r="M209" i="9"/>
  <c r="F83" i="13"/>
  <c r="F209" i="9"/>
  <c r="K209" i="9" s="1"/>
  <c r="C83" i="13"/>
  <c r="D61" i="12"/>
  <c r="F61" i="12"/>
  <c r="H61" i="12"/>
  <c r="C61" i="12"/>
  <c r="E61" i="12"/>
  <c r="G61" i="12"/>
  <c r="C209" i="9"/>
  <c r="B209" i="9" s="1"/>
  <c r="H81" i="13"/>
  <c r="N214" i="9"/>
  <c r="G99" i="13"/>
  <c r="M183" i="9"/>
  <c r="F99" i="13"/>
  <c r="F183" i="9"/>
  <c r="K183" i="9" s="1"/>
  <c r="C99" i="13"/>
  <c r="D77" i="12"/>
  <c r="F77" i="12"/>
  <c r="H77" i="12"/>
  <c r="C77" i="12"/>
  <c r="E77" i="12"/>
  <c r="G77" i="12"/>
  <c r="C183" i="9"/>
  <c r="H183" i="9" s="1"/>
  <c r="H78" i="13"/>
  <c r="N231" i="9"/>
  <c r="G116" i="13"/>
  <c r="M245" i="9"/>
  <c r="F116" i="13"/>
  <c r="F245" i="9"/>
  <c r="K245" i="9" s="1"/>
  <c r="C116" i="13"/>
  <c r="D100" i="12"/>
  <c r="F100" i="12"/>
  <c r="H100" i="12"/>
  <c r="C100" i="12"/>
  <c r="E100" i="12"/>
  <c r="G100" i="12"/>
  <c r="C245" i="9"/>
  <c r="B245" i="9" s="1"/>
  <c r="H72" i="13"/>
  <c r="N193" i="9"/>
  <c r="G117" i="13"/>
  <c r="M184" i="9"/>
  <c r="F117" i="13"/>
  <c r="F184" i="9"/>
  <c r="K184" i="9" s="1"/>
  <c r="C117" i="13"/>
  <c r="D90" i="12"/>
  <c r="F90" i="12"/>
  <c r="H90" i="12"/>
  <c r="C90" i="12"/>
  <c r="E90" i="12"/>
  <c r="G90" i="12"/>
  <c r="C184" i="9"/>
  <c r="B184" i="9" s="1"/>
  <c r="H107" i="13"/>
  <c r="N202" i="9"/>
  <c r="G132" i="13"/>
  <c r="M298" i="9"/>
  <c r="F132" i="13"/>
  <c r="F298" i="9"/>
  <c r="K298" i="9" s="1"/>
  <c r="C132" i="13"/>
  <c r="D116" i="12"/>
  <c r="F116" i="12"/>
  <c r="H116" i="12"/>
  <c r="C116" i="12"/>
  <c r="E116" i="12"/>
  <c r="G116" i="12"/>
  <c r="C298" i="9"/>
  <c r="B298" i="9" s="1"/>
  <c r="H35" i="13"/>
  <c r="N239" i="9"/>
  <c r="G74" i="13"/>
  <c r="M213" i="9"/>
  <c r="F74" i="13"/>
  <c r="F213" i="9"/>
  <c r="K213" i="9" s="1"/>
  <c r="C74" i="13"/>
  <c r="D80" i="12"/>
  <c r="F80" i="12"/>
  <c r="H80" i="12"/>
  <c r="C80" i="12"/>
  <c r="G80" i="12"/>
  <c r="C213" i="9"/>
  <c r="B213" i="9" s="1"/>
  <c r="H115" i="13"/>
  <c r="N197" i="9"/>
  <c r="G96" i="13"/>
  <c r="M178" i="9"/>
  <c r="F96" i="13"/>
  <c r="F178" i="9"/>
  <c r="K178" i="9" s="1"/>
  <c r="C96" i="13"/>
  <c r="D96" i="12"/>
  <c r="F96" i="12"/>
  <c r="H96" i="12"/>
  <c r="C96" i="12"/>
  <c r="E96" i="12"/>
  <c r="G96" i="12"/>
  <c r="C178" i="9"/>
  <c r="H178" i="9" s="1"/>
  <c r="H4" i="13"/>
  <c r="N8" i="9"/>
  <c r="G118" i="13"/>
  <c r="M218" i="9"/>
  <c r="F118" i="13"/>
  <c r="F218" i="9"/>
  <c r="K218" i="9" s="1"/>
  <c r="C118" i="13"/>
  <c r="D91" i="12"/>
  <c r="F91" i="12"/>
  <c r="H91" i="12"/>
  <c r="C91" i="12"/>
  <c r="E91" i="12"/>
  <c r="G91" i="12"/>
  <c r="C218" i="9"/>
  <c r="B218" i="9" s="1"/>
  <c r="H89" i="13"/>
  <c r="N246" i="9"/>
  <c r="C8" i="13"/>
  <c r="D7" i="12"/>
  <c r="A28" i="19" s="1"/>
  <c r="H7" i="12"/>
  <c r="H11" i="14" s="1"/>
  <c r="C7" i="12"/>
  <c r="C9" i="9"/>
  <c r="B9" i="9" s="1"/>
  <c r="H82" i="13"/>
  <c r="N252" i="9"/>
  <c r="G138" i="13"/>
  <c r="M176" i="9"/>
  <c r="F138" i="13"/>
  <c r="F176" i="9"/>
  <c r="K176" i="9" s="1"/>
  <c r="C138" i="13"/>
  <c r="C127" i="12"/>
  <c r="G127" i="12"/>
  <c r="D127" i="12"/>
  <c r="F127" i="12"/>
  <c r="H127" i="12"/>
  <c r="C176" i="9"/>
  <c r="B176" i="9" s="1"/>
  <c r="H98" i="13"/>
  <c r="N253" i="9"/>
  <c r="G29" i="13"/>
  <c r="M254" i="9"/>
  <c r="F29" i="13"/>
  <c r="F254" i="9"/>
  <c r="K254" i="9" s="1"/>
  <c r="C29" i="13"/>
  <c r="C27" i="12"/>
  <c r="G27" i="12"/>
  <c r="D27" i="12"/>
  <c r="F27" i="12"/>
  <c r="H27" i="12"/>
  <c r="C254" i="9"/>
  <c r="B254" i="9" s="1"/>
  <c r="H130" i="13"/>
  <c r="N240" i="9"/>
  <c r="G6" i="13"/>
  <c r="A34" i="23" s="1"/>
  <c r="M7" i="9"/>
  <c r="G67" i="14" s="1"/>
  <c r="F6" i="13"/>
  <c r="F7" i="9"/>
  <c r="K7" i="9" s="1"/>
  <c r="C6" i="13"/>
  <c r="C6" i="12"/>
  <c r="C10" i="14" s="1"/>
  <c r="G6" i="12"/>
  <c r="D6" i="12"/>
  <c r="D11" i="14" s="1"/>
  <c r="F6" i="12"/>
  <c r="H6" i="12"/>
  <c r="H10" i="14" s="1"/>
  <c r="C7" i="9"/>
  <c r="H128" i="13"/>
  <c r="N247" i="9"/>
  <c r="G50" i="13"/>
  <c r="M255" i="9"/>
  <c r="F50" i="13"/>
  <c r="F255" i="9"/>
  <c r="K255" i="9" s="1"/>
  <c r="C50" i="13"/>
  <c r="C115" i="12"/>
  <c r="G115" i="12"/>
  <c r="D115" i="12"/>
  <c r="F115" i="12"/>
  <c r="H115" i="12"/>
  <c r="C255" i="9"/>
  <c r="H137" i="13"/>
  <c r="N259" i="9"/>
  <c r="G7" i="13"/>
  <c r="M5" i="9"/>
  <c r="A34" i="32" s="1"/>
  <c r="F7" i="13"/>
  <c r="F5" i="9"/>
  <c r="K5" i="9" s="1"/>
  <c r="C7" i="13"/>
  <c r="C126" i="12"/>
  <c r="G126" i="12"/>
  <c r="D126" i="12"/>
  <c r="F126" i="12"/>
  <c r="H126" i="12"/>
  <c r="C5" i="9"/>
  <c r="B5" i="9" s="1"/>
  <c r="H79" i="13"/>
  <c r="N293" i="9"/>
  <c r="G76" i="13"/>
  <c r="M271" i="9"/>
  <c r="F76" i="13"/>
  <c r="F271" i="9"/>
  <c r="K271" i="9" s="1"/>
  <c r="C76" i="13"/>
  <c r="C94" i="12"/>
  <c r="G94" i="12"/>
  <c r="D94" i="12"/>
  <c r="F94" i="12"/>
  <c r="H94" i="12"/>
  <c r="C271" i="9"/>
  <c r="B271" i="9" s="1"/>
  <c r="H125" i="13"/>
  <c r="N265" i="9"/>
  <c r="G122" i="13"/>
  <c r="M289" i="9"/>
  <c r="F122" i="13"/>
  <c r="F289" i="9"/>
  <c r="K289" i="9" s="1"/>
  <c r="C122" i="13"/>
  <c r="C124" i="12"/>
  <c r="G124" i="12"/>
  <c r="D124" i="12"/>
  <c r="F124" i="12"/>
  <c r="H124" i="12"/>
  <c r="C289" i="9"/>
  <c r="B289" i="9" s="1"/>
  <c r="H11" i="13"/>
  <c r="N174" i="9"/>
  <c r="G9" i="13"/>
  <c r="M4" i="9"/>
  <c r="A34" i="33" s="1"/>
  <c r="F9" i="13"/>
  <c r="F4" i="9"/>
  <c r="K4" i="9" s="1"/>
  <c r="C9" i="13"/>
  <c r="C123" i="12"/>
  <c r="G123" i="12"/>
  <c r="D123" i="12"/>
  <c r="F123" i="12"/>
  <c r="H123" i="12"/>
  <c r="C4" i="9"/>
  <c r="B4" i="9" s="1"/>
  <c r="A21" i="33" s="1"/>
  <c r="H123" i="13"/>
  <c r="N270" i="9"/>
  <c r="G66" i="13"/>
  <c r="M292" i="9"/>
  <c r="F66" i="13"/>
  <c r="F292" i="9"/>
  <c r="K292" i="9" s="1"/>
  <c r="C66" i="13"/>
  <c r="C51" i="12"/>
  <c r="G51" i="12"/>
  <c r="D51" i="12"/>
  <c r="F51" i="12"/>
  <c r="H51" i="12"/>
  <c r="C292" i="9"/>
  <c r="H135" i="13"/>
  <c r="N257" i="9"/>
  <c r="G111" i="13"/>
  <c r="M275" i="9"/>
  <c r="F111" i="13"/>
  <c r="F275" i="9"/>
  <c r="K275" i="9" s="1"/>
  <c r="C111" i="13"/>
  <c r="C87" i="12"/>
  <c r="G87" i="12"/>
  <c r="D87" i="12"/>
  <c r="F87" i="12"/>
  <c r="H87" i="12"/>
  <c r="C275" i="9"/>
  <c r="H95" i="13"/>
  <c r="N282" i="9"/>
  <c r="G124" i="13"/>
  <c r="M268" i="9"/>
  <c r="F124" i="13"/>
  <c r="F268" i="9"/>
  <c r="K268" i="9" s="1"/>
  <c r="L268" i="9" s="1"/>
  <c r="C124" i="13"/>
  <c r="C98" i="12"/>
  <c r="G98" i="12"/>
  <c r="D98" i="12"/>
  <c r="F98" i="12"/>
  <c r="H98" i="12"/>
  <c r="C268" i="9"/>
  <c r="B268" i="9" s="1"/>
  <c r="H10" i="13"/>
  <c r="H39" i="14" s="1"/>
  <c r="N3" i="9"/>
  <c r="G139" i="13"/>
  <c r="M256" i="9"/>
  <c r="F139" i="13"/>
  <c r="F256" i="9"/>
  <c r="K256" i="9" s="1"/>
  <c r="C139" i="13"/>
  <c r="C118" i="12"/>
  <c r="G118" i="12"/>
  <c r="D118" i="12"/>
  <c r="F118" i="12"/>
  <c r="H118" i="12"/>
  <c r="C256" i="9"/>
  <c r="B256" i="9" s="1"/>
  <c r="H133" i="13"/>
  <c r="N263" i="9"/>
  <c r="G108" i="13"/>
  <c r="M291" i="9"/>
  <c r="F108" i="13"/>
  <c r="F291" i="9"/>
  <c r="K291" i="9" s="1"/>
  <c r="C108" i="13"/>
  <c r="C121" i="12"/>
  <c r="G121" i="12"/>
  <c r="D121" i="12"/>
  <c r="F121" i="12"/>
  <c r="H121" i="12"/>
  <c r="C291" i="9"/>
  <c r="H291" i="9" s="1"/>
  <c r="H5" i="13"/>
  <c r="N6" i="9"/>
  <c r="G102" i="13"/>
  <c r="M273" i="9"/>
  <c r="F102" i="13"/>
  <c r="F273" i="9"/>
  <c r="K273" i="9" s="1"/>
  <c r="C102" i="13"/>
  <c r="C92" i="12"/>
  <c r="G92" i="12"/>
  <c r="D92" i="12"/>
  <c r="F92" i="12"/>
  <c r="H92" i="12"/>
  <c r="C273" i="9"/>
  <c r="H71" i="13"/>
  <c r="N290" i="9"/>
  <c r="G86" i="13"/>
  <c r="M288" i="9"/>
  <c r="F86" i="13"/>
  <c r="F288" i="9"/>
  <c r="K288" i="9" s="1"/>
  <c r="F85" i="7"/>
  <c r="C86" i="13"/>
  <c r="C66" i="12"/>
  <c r="G66" i="12"/>
  <c r="D66" i="12"/>
  <c r="F66" i="12"/>
  <c r="H66" i="12"/>
  <c r="C288" i="9"/>
  <c r="H288" i="9" s="1"/>
  <c r="H65" i="13"/>
  <c r="N277" i="9"/>
  <c r="G85" i="13"/>
  <c r="M283" i="9"/>
  <c r="F85" i="13"/>
  <c r="F283" i="9"/>
  <c r="K283" i="9" s="1"/>
  <c r="F84" i="7"/>
  <c r="C85" i="13"/>
  <c r="C73" i="12"/>
  <c r="E73" i="12"/>
  <c r="G73" i="12"/>
  <c r="D73" i="12"/>
  <c r="F73" i="12"/>
  <c r="H73" i="12"/>
  <c r="C283" i="9"/>
  <c r="C84" i="7"/>
  <c r="H84" i="7" s="1"/>
  <c r="H80" i="13"/>
  <c r="N280" i="9"/>
  <c r="G134" i="13"/>
  <c r="M262" i="9"/>
  <c r="F134" i="13"/>
  <c r="F262" i="9"/>
  <c r="K262" i="9" s="1"/>
  <c r="F133" i="7"/>
  <c r="C134" i="13"/>
  <c r="C108" i="12"/>
  <c r="G108" i="12"/>
  <c r="D108" i="12"/>
  <c r="F108" i="12"/>
  <c r="H108" i="12"/>
  <c r="C262" i="9"/>
  <c r="H262" i="9" s="1"/>
  <c r="C133" i="7"/>
  <c r="E133" i="7" s="1"/>
  <c r="H97" i="13"/>
  <c r="N276" i="9"/>
  <c r="G109" i="13"/>
  <c r="M260" i="9"/>
  <c r="F109" i="13"/>
  <c r="F260" i="9"/>
  <c r="K260" i="9" s="1"/>
  <c r="F108" i="7"/>
  <c r="C109" i="13"/>
  <c r="C111" i="12"/>
  <c r="G111" i="12"/>
  <c r="D111" i="12"/>
  <c r="F111" i="12"/>
  <c r="H111" i="12"/>
  <c r="C260" i="9"/>
  <c r="C108" i="7"/>
  <c r="H108" i="7" s="1"/>
  <c r="H94" i="13"/>
  <c r="N284" i="9"/>
  <c r="G114" i="13"/>
  <c r="M266" i="9"/>
  <c r="F114" i="13"/>
  <c r="F266" i="9"/>
  <c r="K266" i="9" s="1"/>
  <c r="F113" i="7"/>
  <c r="C114" i="13"/>
  <c r="C103" i="12"/>
  <c r="G103" i="12"/>
  <c r="D103" i="12"/>
  <c r="F103" i="12"/>
  <c r="H103" i="12"/>
  <c r="C266" i="9"/>
  <c r="L266" i="9" s="1"/>
  <c r="C113" i="7"/>
  <c r="E113" i="7" s="1"/>
  <c r="H129" i="13"/>
  <c r="N264" i="9"/>
  <c r="G93" i="13"/>
  <c r="M286" i="9"/>
  <c r="F93" i="13"/>
  <c r="F286" i="9"/>
  <c r="K286" i="9" s="1"/>
  <c r="F92" i="7"/>
  <c r="C93" i="13"/>
  <c r="C120" i="12"/>
  <c r="E120" i="12"/>
  <c r="G120" i="12"/>
  <c r="D120" i="12"/>
  <c r="F120" i="12"/>
  <c r="H120" i="12"/>
  <c r="C286" i="9"/>
  <c r="H286" i="9" s="1"/>
  <c r="C92" i="7"/>
  <c r="H92" i="7" s="1"/>
  <c r="E92" i="7"/>
  <c r="H119" i="13"/>
  <c r="N269" i="9"/>
  <c r="G126" i="13"/>
  <c r="M267" i="9"/>
  <c r="F126" i="13"/>
  <c r="F267" i="9"/>
  <c r="K267" i="9" s="1"/>
  <c r="F125" i="7"/>
  <c r="C126" i="13"/>
  <c r="C99" i="12"/>
  <c r="G99" i="12"/>
  <c r="D99" i="12"/>
  <c r="F99" i="12"/>
  <c r="H99" i="12"/>
  <c r="C267" i="9"/>
  <c r="H267" i="9" s="1"/>
  <c r="C125" i="7"/>
  <c r="H125" i="7" s="1"/>
  <c r="H68" i="13"/>
  <c r="N294" i="9"/>
  <c r="G110" i="13"/>
  <c r="M278" i="9"/>
  <c r="F110" i="13"/>
  <c r="F278" i="9"/>
  <c r="K278" i="9" s="1"/>
  <c r="F109" i="7"/>
  <c r="C110" i="13"/>
  <c r="D83" i="12"/>
  <c r="F83" i="12"/>
  <c r="C83" i="12"/>
  <c r="G83" i="12"/>
  <c r="H83" i="12"/>
  <c r="C278" i="9"/>
  <c r="L278" i="9" s="1"/>
  <c r="C109" i="7"/>
  <c r="E109" i="7" s="1"/>
  <c r="H106" i="13"/>
  <c r="N285" i="9"/>
  <c r="G104" i="13"/>
  <c r="M281" i="9"/>
  <c r="F104" i="13"/>
  <c r="F281" i="9"/>
  <c r="K281" i="9" s="1"/>
  <c r="F103" i="7"/>
  <c r="C104" i="13"/>
  <c r="D79" i="12"/>
  <c r="F79" i="12"/>
  <c r="H79" i="12"/>
  <c r="C79" i="12"/>
  <c r="G79" i="12"/>
  <c r="C281" i="9"/>
  <c r="H281" i="9" s="1"/>
  <c r="C103" i="7"/>
  <c r="E103" i="7" s="1"/>
  <c r="H87" i="13"/>
  <c r="N287" i="9"/>
  <c r="G112" i="13"/>
  <c r="M274" i="9"/>
  <c r="F112" i="13"/>
  <c r="F274" i="9"/>
  <c r="K274" i="9" s="1"/>
  <c r="F111" i="7"/>
  <c r="C112" i="13"/>
  <c r="D88" i="12"/>
  <c r="F88" i="12"/>
  <c r="H88" i="12"/>
  <c r="C88" i="12"/>
  <c r="E88" i="12"/>
  <c r="G88" i="12"/>
  <c r="C274" i="9"/>
  <c r="B274" i="9" s="1"/>
  <c r="C111" i="7"/>
  <c r="H111" i="7" s="1"/>
  <c r="H113" i="13"/>
  <c r="N272" i="9"/>
  <c r="B40" i="14"/>
  <c r="A21" i="25"/>
  <c r="G131" i="13"/>
  <c r="M261" i="9"/>
  <c r="F131" i="13"/>
  <c r="F261" i="9"/>
  <c r="K261" i="9" s="1"/>
  <c r="F130" i="7"/>
  <c r="C131" i="13"/>
  <c r="D109" i="12"/>
  <c r="F109" i="12"/>
  <c r="H109" i="12"/>
  <c r="C109" i="12"/>
  <c r="G109" i="12"/>
  <c r="C261" i="9"/>
  <c r="B261" i="9" s="1"/>
  <c r="C130" i="7"/>
  <c r="H130" i="7" s="1"/>
  <c r="H101" i="13"/>
  <c r="N279" i="9"/>
  <c r="H64" i="14"/>
  <c r="B38" i="14"/>
  <c r="A21" i="23"/>
  <c r="G136" i="13"/>
  <c r="M258" i="9"/>
  <c r="F136" i="13"/>
  <c r="F258" i="9"/>
  <c r="K258" i="9" s="1"/>
  <c r="F135" i="7"/>
  <c r="C136" i="13"/>
  <c r="D114" i="12"/>
  <c r="F114" i="12"/>
  <c r="F9" i="14"/>
  <c r="H114" i="12"/>
  <c r="C114" i="12"/>
  <c r="C9" i="14"/>
  <c r="E114" i="12"/>
  <c r="G114" i="12"/>
  <c r="C258" i="9"/>
  <c r="B258" i="9" s="1"/>
  <c r="C135" i="7"/>
  <c r="E135" i="7" s="1"/>
  <c r="E104" i="1"/>
  <c r="E24" i="13" s="1"/>
  <c r="E102" i="1"/>
  <c r="E18" i="12" s="1"/>
  <c r="E100" i="1"/>
  <c r="E223" i="9" s="1"/>
  <c r="E98" i="1"/>
  <c r="E45" i="12" s="1"/>
  <c r="E96" i="1"/>
  <c r="E94" i="1"/>
  <c r="E40" i="13" s="1"/>
  <c r="E132" i="12"/>
  <c r="E92" i="1"/>
  <c r="E244" i="9" s="1"/>
  <c r="E90" i="1"/>
  <c r="E47" i="12"/>
  <c r="E88" i="1"/>
  <c r="E63" i="13" s="1"/>
  <c r="E86" i="1"/>
  <c r="E50" i="12" s="1"/>
  <c r="E84" i="1"/>
  <c r="E219" i="9" s="1"/>
  <c r="E82" i="1"/>
  <c r="E75" i="12" s="1"/>
  <c r="E80" i="1"/>
  <c r="E78" i="1"/>
  <c r="E61" i="13" s="1"/>
  <c r="E76" i="1"/>
  <c r="E249" i="9" s="1"/>
  <c r="E74" i="1"/>
  <c r="E70" i="12" s="1"/>
  <c r="E72" i="1"/>
  <c r="E52" i="13" s="1"/>
  <c r="E70" i="1"/>
  <c r="E56" i="12" s="1"/>
  <c r="E68" i="1"/>
  <c r="E231" i="9" s="1"/>
  <c r="E66" i="1"/>
  <c r="E78" i="12" s="1"/>
  <c r="E64" i="1"/>
  <c r="E62" i="1"/>
  <c r="E35" i="13" s="1"/>
  <c r="E60" i="1"/>
  <c r="E197" i="9" s="1"/>
  <c r="E58" i="1"/>
  <c r="E4" i="12" s="1"/>
  <c r="E56" i="1"/>
  <c r="E89" i="13" s="1"/>
  <c r="E54" i="1"/>
  <c r="E52" i="1"/>
  <c r="E50" i="1"/>
  <c r="E240" i="9" s="1"/>
  <c r="E48" i="1"/>
  <c r="E100" i="6" s="1"/>
  <c r="E46" i="1"/>
  <c r="E44" i="1"/>
  <c r="E293" i="9" s="1"/>
  <c r="E42" i="1"/>
  <c r="E40" i="1"/>
  <c r="E11" i="13" s="1"/>
  <c r="E38" i="1"/>
  <c r="E36" i="1"/>
  <c r="E117" i="12" s="1"/>
  <c r="E34" i="1"/>
  <c r="E32" i="1"/>
  <c r="E121" i="6" s="1"/>
  <c r="E30" i="1"/>
  <c r="E28" i="1"/>
  <c r="E6" i="9" s="1"/>
  <c r="E26" i="1"/>
  <c r="E24" i="1"/>
  <c r="E65" i="13" s="1"/>
  <c r="E22" i="1"/>
  <c r="E20" i="1"/>
  <c r="E86" i="12" s="1"/>
  <c r="E18" i="1"/>
  <c r="E16" i="1"/>
  <c r="E105" i="6" s="1"/>
  <c r="E14" i="1"/>
  <c r="E12" i="1"/>
  <c r="E294" i="9" s="1"/>
  <c r="E10" i="1"/>
  <c r="E8" i="1"/>
  <c r="E6" i="1"/>
  <c r="E92" i="6" s="1"/>
  <c r="E4" i="1"/>
  <c r="F31" i="6"/>
  <c r="B33" i="6"/>
  <c r="F135" i="6"/>
  <c r="B13" i="6"/>
  <c r="F12" i="6"/>
  <c r="B20" i="6"/>
  <c r="F41" i="6"/>
  <c r="B59" i="6"/>
  <c r="F9" i="6"/>
  <c r="B134" i="6"/>
  <c r="F45" i="6"/>
  <c r="B8" i="6"/>
  <c r="F10" i="6"/>
  <c r="B40" i="6"/>
  <c r="F32" i="6"/>
  <c r="B133" i="6"/>
  <c r="F16" i="6"/>
  <c r="B21" i="6"/>
  <c r="F36" i="6"/>
  <c r="B28" i="6"/>
  <c r="F35" i="6"/>
  <c r="B132" i="6"/>
  <c r="F25" i="6"/>
  <c r="B19" i="6"/>
  <c r="F15" i="6"/>
  <c r="B18" i="6"/>
  <c r="F51" i="6"/>
  <c r="B51" i="6"/>
  <c r="F17" i="6"/>
  <c r="B17" i="6"/>
  <c r="F52" i="6"/>
  <c r="B52" i="6"/>
  <c r="F27" i="6"/>
  <c r="B27" i="6"/>
  <c r="F42" i="6"/>
  <c r="B42" i="6"/>
  <c r="F44" i="6"/>
  <c r="B44" i="6"/>
  <c r="F39" i="6"/>
  <c r="B39" i="6"/>
  <c r="F83" i="6"/>
  <c r="B83" i="6"/>
  <c r="F71" i="6"/>
  <c r="B71" i="6"/>
  <c r="F131" i="6"/>
  <c r="B131" i="6"/>
  <c r="F29" i="6"/>
  <c r="B29" i="6"/>
  <c r="F130" i="6"/>
  <c r="B130" i="6"/>
  <c r="F109" i="6"/>
  <c r="B109" i="6"/>
  <c r="F46" i="6"/>
  <c r="B46" i="6"/>
  <c r="F38" i="6"/>
  <c r="B38" i="6"/>
  <c r="F48" i="6"/>
  <c r="B48" i="6"/>
  <c r="F61" i="6"/>
  <c r="B61" i="6"/>
  <c r="F49" i="6"/>
  <c r="B49" i="6"/>
  <c r="F67" i="6"/>
  <c r="B67" i="6"/>
  <c r="F129" i="6"/>
  <c r="B129" i="6"/>
  <c r="F34" i="6"/>
  <c r="B34" i="6"/>
  <c r="F74" i="6"/>
  <c r="B74" i="6"/>
  <c r="F54" i="6"/>
  <c r="B54" i="6"/>
  <c r="F30" i="6"/>
  <c r="B30" i="6"/>
  <c r="F37" i="6"/>
  <c r="B37" i="6"/>
  <c r="F43" i="6"/>
  <c r="B43" i="6"/>
  <c r="F14" i="6"/>
  <c r="B14" i="6"/>
  <c r="F11" i="6"/>
  <c r="B11" i="6"/>
  <c r="F68" i="6"/>
  <c r="B68" i="6"/>
  <c r="F69" i="6"/>
  <c r="B69" i="6"/>
  <c r="F58" i="6"/>
  <c r="B58" i="6"/>
  <c r="F63" i="6"/>
  <c r="B63" i="6"/>
  <c r="F60" i="6"/>
  <c r="B60" i="6"/>
  <c r="F55" i="6"/>
  <c r="B55" i="6"/>
  <c r="F76" i="6"/>
  <c r="B76" i="6"/>
  <c r="F53" i="6"/>
  <c r="B53" i="6"/>
  <c r="F99" i="6"/>
  <c r="B99" i="6"/>
  <c r="F77" i="6"/>
  <c r="B77" i="6"/>
  <c r="F89" i="6"/>
  <c r="B89" i="6"/>
  <c r="F128" i="6"/>
  <c r="B128" i="6"/>
  <c r="F115" i="6"/>
  <c r="B115" i="6"/>
  <c r="F57" i="6"/>
  <c r="B57" i="6"/>
  <c r="F79" i="6"/>
  <c r="B79" i="6"/>
  <c r="F88" i="6"/>
  <c r="B88" i="6"/>
  <c r="F95" i="6"/>
  <c r="B95" i="6"/>
  <c r="F3" i="6"/>
  <c r="B3" i="6"/>
  <c r="F90" i="6"/>
  <c r="B90" i="6"/>
  <c r="F62" i="6"/>
  <c r="B62" i="6"/>
  <c r="C6" i="6"/>
  <c r="H6" i="6" s="1"/>
  <c r="B127" i="6"/>
  <c r="F126" i="6"/>
  <c r="B126" i="6"/>
  <c r="F73" i="6"/>
  <c r="B73" i="6"/>
  <c r="F26" i="6"/>
  <c r="B26" i="6"/>
  <c r="F112" i="6"/>
  <c r="B112" i="6"/>
  <c r="F5" i="6"/>
  <c r="B5" i="6"/>
  <c r="F100" i="6"/>
  <c r="B100" i="6"/>
  <c r="F114" i="6"/>
  <c r="B114" i="6"/>
  <c r="F111" i="6"/>
  <c r="B111" i="6"/>
  <c r="F125" i="6"/>
  <c r="B125" i="6"/>
  <c r="F124" i="6"/>
  <c r="B124" i="6"/>
  <c r="F93" i="6"/>
  <c r="B93" i="6"/>
  <c r="F103" i="6"/>
  <c r="B103" i="6"/>
  <c r="F123" i="6"/>
  <c r="B123" i="6"/>
  <c r="F7" i="6"/>
  <c r="B7" i="6"/>
  <c r="F122" i="6"/>
  <c r="B122" i="6"/>
  <c r="F94" i="6"/>
  <c r="B94" i="6"/>
  <c r="F50" i="6"/>
  <c r="B50" i="6"/>
  <c r="F116" i="6"/>
  <c r="B116" i="6"/>
  <c r="F86" i="6"/>
  <c r="B86" i="6"/>
  <c r="F75" i="6"/>
  <c r="B75" i="6"/>
  <c r="F97" i="6"/>
  <c r="B97" i="6"/>
  <c r="F121" i="6"/>
  <c r="B121" i="6"/>
  <c r="F117" i="6"/>
  <c r="B117" i="6"/>
  <c r="F106" i="6"/>
  <c r="B106" i="6"/>
  <c r="F120" i="6"/>
  <c r="B120" i="6"/>
  <c r="F4" i="6"/>
  <c r="B4" i="6"/>
  <c r="F91" i="6"/>
  <c r="B91" i="6"/>
  <c r="F56" i="6"/>
  <c r="B56" i="6"/>
  <c r="F65" i="6"/>
  <c r="B65" i="6"/>
  <c r="F84" i="6"/>
  <c r="B84" i="6"/>
  <c r="F72" i="6"/>
  <c r="B72" i="6"/>
  <c r="F80" i="6"/>
  <c r="B80" i="6"/>
  <c r="F107" i="6"/>
  <c r="B107" i="6"/>
  <c r="F85" i="6"/>
  <c r="B85" i="6"/>
  <c r="F110" i="6"/>
  <c r="B110" i="6"/>
  <c r="F70" i="6"/>
  <c r="B70" i="6"/>
  <c r="F102" i="6"/>
  <c r="B102" i="6"/>
  <c r="F105" i="6"/>
  <c r="B105" i="6"/>
  <c r="F119" i="6"/>
  <c r="B119" i="6"/>
  <c r="F96" i="6"/>
  <c r="B96" i="6"/>
  <c r="F98" i="6"/>
  <c r="B98" i="6"/>
  <c r="F47" i="6"/>
  <c r="B47" i="6"/>
  <c r="F82" i="6"/>
  <c r="B82" i="6"/>
  <c r="F118" i="6"/>
  <c r="B118" i="6"/>
  <c r="F78" i="6"/>
  <c r="B78" i="6"/>
  <c r="F66" i="6"/>
  <c r="B66" i="6"/>
  <c r="F87" i="6"/>
  <c r="B87" i="6"/>
  <c r="F92" i="6"/>
  <c r="B92" i="6"/>
  <c r="F108" i="6"/>
  <c r="B108" i="6"/>
  <c r="F81" i="6"/>
  <c r="B81" i="6"/>
  <c r="F113" i="6"/>
  <c r="B113" i="6"/>
  <c r="F41" i="7"/>
  <c r="F99" i="7"/>
  <c r="F14" i="7"/>
  <c r="F40" i="7"/>
  <c r="F12" i="7"/>
  <c r="F58" i="7"/>
  <c r="F11" i="7"/>
  <c r="F31" i="7"/>
  <c r="F22" i="7"/>
  <c r="F47" i="7"/>
  <c r="F45" i="7"/>
  <c r="F35" i="7"/>
  <c r="F21" i="7"/>
  <c r="C23" i="7"/>
  <c r="E23" i="7" s="1"/>
  <c r="F72" i="7"/>
  <c r="C17" i="7"/>
  <c r="E17" i="7" s="1"/>
  <c r="F74" i="7"/>
  <c r="C36" i="7"/>
  <c r="E36" i="7" s="1"/>
  <c r="F50" i="7"/>
  <c r="C61" i="7"/>
  <c r="E61" i="7" s="1"/>
  <c r="F46" i="7"/>
  <c r="C102" i="7"/>
  <c r="E102" i="7" s="1"/>
  <c r="F52" i="7"/>
  <c r="C39" i="7"/>
  <c r="E39" i="7" s="1"/>
  <c r="F44" i="7"/>
  <c r="C57" i="7"/>
  <c r="E57" i="7" s="1"/>
  <c r="F126" i="7"/>
  <c r="C63" i="7"/>
  <c r="E63" i="7" s="1"/>
  <c r="F54" i="7"/>
  <c r="C62" i="7"/>
  <c r="E62" i="7" s="1"/>
  <c r="F69" i="7"/>
  <c r="C68" i="7"/>
  <c r="E68" i="7" s="1"/>
  <c r="F87" i="7"/>
  <c r="C76" i="7"/>
  <c r="E76" i="7" s="1"/>
  <c r="F48" i="7"/>
  <c r="C30" i="7"/>
  <c r="E30" i="7" s="1"/>
  <c r="F59" i="7"/>
  <c r="C38" i="7"/>
  <c r="E38" i="7" s="1"/>
  <c r="F43" i="7"/>
  <c r="C60" i="7"/>
  <c r="E60" i="7" s="1"/>
  <c r="F18" i="7"/>
  <c r="C16" i="7"/>
  <c r="H16" i="7" s="1"/>
  <c r="E16" i="7"/>
  <c r="F90" i="7"/>
  <c r="C83" i="7"/>
  <c r="H83" i="7" s="1"/>
  <c r="E83" i="7"/>
  <c r="F32" i="7"/>
  <c r="C51" i="7"/>
  <c r="H51" i="7" s="1"/>
  <c r="E51" i="7"/>
  <c r="F82" i="7"/>
  <c r="C80" i="7"/>
  <c r="H80" i="7" s="1"/>
  <c r="E80" i="7"/>
  <c r="F98" i="7"/>
  <c r="C77" i="7"/>
  <c r="H77" i="7" s="1"/>
  <c r="E77" i="7"/>
  <c r="F115" i="7"/>
  <c r="C71" i="7"/>
  <c r="H71" i="7" s="1"/>
  <c r="E71" i="7"/>
  <c r="F116" i="7"/>
  <c r="C106" i="7"/>
  <c r="H106" i="7" s="1"/>
  <c r="E106" i="7"/>
  <c r="F131" i="7"/>
  <c r="C34" i="7"/>
  <c r="H34" i="7" s="1"/>
  <c r="E34" i="7"/>
  <c r="F73" i="7"/>
  <c r="C114" i="7"/>
  <c r="H114" i="7" s="1"/>
  <c r="E114" i="7"/>
  <c r="F95" i="7"/>
  <c r="C3" i="7"/>
  <c r="H3" i="7" s="1"/>
  <c r="E3" i="7"/>
  <c r="F117" i="7"/>
  <c r="C88" i="7"/>
  <c r="H88" i="7" s="1"/>
  <c r="E88" i="7"/>
  <c r="C7" i="7"/>
  <c r="E7" i="7" s="1"/>
  <c r="C81" i="7"/>
  <c r="H81" i="7" s="1"/>
  <c r="F137" i="7"/>
  <c r="C97" i="7"/>
  <c r="H97" i="7" s="1"/>
  <c r="F28" i="7"/>
  <c r="C129" i="7"/>
  <c r="H129" i="7" s="1"/>
  <c r="F5" i="7"/>
  <c r="C127" i="7"/>
  <c r="H127" i="7" s="1"/>
  <c r="F49" i="7"/>
  <c r="C136" i="7"/>
  <c r="H136" i="7" s="1"/>
  <c r="F6" i="7"/>
  <c r="C78" i="7"/>
  <c r="H78" i="7" s="1"/>
  <c r="F75" i="7"/>
  <c r="C124" i="7"/>
  <c r="H124" i="7" s="1"/>
  <c r="F121" i="7"/>
  <c r="C10" i="7"/>
  <c r="H10" i="7" s="1"/>
  <c r="F8" i="7"/>
  <c r="C122" i="7"/>
  <c r="H122" i="7" s="1"/>
  <c r="F65" i="7"/>
  <c r="C134" i="7"/>
  <c r="H134" i="7" s="1"/>
  <c r="F110" i="7"/>
  <c r="C94" i="7"/>
  <c r="H94" i="7" s="1"/>
  <c r="F123" i="7"/>
  <c r="C9" i="7"/>
  <c r="H9" i="7" s="1"/>
  <c r="F138" i="7"/>
  <c r="C132" i="7"/>
  <c r="H132" i="7" s="1"/>
  <c r="F107" i="7"/>
  <c r="C4" i="7"/>
  <c r="H4" i="7" s="1"/>
  <c r="F101" i="7"/>
  <c r="C70" i="7"/>
  <c r="H70" i="7" s="1"/>
  <c r="C85" i="7"/>
  <c r="E85" i="7" s="1"/>
  <c r="F64" i="7"/>
  <c r="E79" i="7"/>
  <c r="E96" i="7"/>
  <c r="E93" i="7"/>
  <c r="E128" i="7"/>
  <c r="E118" i="7"/>
  <c r="E67" i="7"/>
  <c r="E105" i="7"/>
  <c r="E86" i="7"/>
  <c r="E112" i="7"/>
  <c r="E100" i="7"/>
  <c r="F7" i="7"/>
  <c r="F7" i="12"/>
  <c r="F12" i="14" s="1"/>
  <c r="F8" i="13"/>
  <c r="F6" i="6"/>
  <c r="F81" i="7"/>
  <c r="F82" i="13"/>
  <c r="F127" i="6"/>
  <c r="F252" i="9"/>
  <c r="K252" i="9" s="1"/>
  <c r="M9" i="9"/>
  <c r="G7" i="12"/>
  <c r="A34" i="18" s="1"/>
  <c r="E101" i="13"/>
  <c r="E279" i="9"/>
  <c r="E81" i="6"/>
  <c r="E87" i="13"/>
  <c r="E287" i="9"/>
  <c r="E66" i="6"/>
  <c r="E47" i="6"/>
  <c r="E129" i="13"/>
  <c r="E264" i="9"/>
  <c r="E97" i="13"/>
  <c r="E277" i="9"/>
  <c r="E84" i="6"/>
  <c r="E4" i="6"/>
  <c r="E10" i="13"/>
  <c r="E3" i="9"/>
  <c r="E135" i="13"/>
  <c r="E124" i="6"/>
  <c r="E247" i="9"/>
  <c r="E98" i="13"/>
  <c r="E253" i="9"/>
  <c r="E73" i="6"/>
  <c r="E246" i="9"/>
  <c r="E62" i="6"/>
  <c r="E115" i="13"/>
  <c r="E88" i="6"/>
  <c r="E107" i="13"/>
  <c r="E202" i="9"/>
  <c r="E128" i="6"/>
  <c r="E78" i="13"/>
  <c r="E203" i="9"/>
  <c r="E63" i="6"/>
  <c r="E17" i="13"/>
  <c r="E11" i="6"/>
  <c r="E39" i="13"/>
  <c r="E243" i="9"/>
  <c r="E30" i="6"/>
  <c r="E77" i="13"/>
  <c r="E216" i="9"/>
  <c r="E48" i="6"/>
  <c r="E58" i="13"/>
  <c r="E130" i="6"/>
  <c r="E103" i="13"/>
  <c r="E251" i="9"/>
  <c r="E83" i="6"/>
  <c r="E37" i="13"/>
  <c r="E228" i="9"/>
  <c r="E18" i="6"/>
  <c r="A28" i="16"/>
  <c r="D63" i="14"/>
  <c r="A34" i="34"/>
  <c r="B260" i="9"/>
  <c r="H233" i="9"/>
  <c r="B279" i="9"/>
  <c r="K279" i="9"/>
  <c r="D12" i="14"/>
  <c r="D68" i="14"/>
  <c r="G68" i="14"/>
  <c r="A34" i="29"/>
  <c r="H294" i="9"/>
  <c r="L294" i="9"/>
  <c r="H264" i="9"/>
  <c r="B264" i="9"/>
  <c r="B6" i="9"/>
  <c r="H174" i="9"/>
  <c r="H293" i="9"/>
  <c r="B293" i="9"/>
  <c r="H253" i="9"/>
  <c r="B253" i="9"/>
  <c r="B193" i="9"/>
  <c r="H193" i="9"/>
  <c r="B187" i="9"/>
  <c r="B180" i="9"/>
  <c r="H180" i="9"/>
  <c r="B220" i="9"/>
  <c r="B235" i="9"/>
  <c r="E20" i="13"/>
  <c r="E227" i="9"/>
  <c r="E132" i="6"/>
  <c r="E56" i="13"/>
  <c r="E196" i="9"/>
  <c r="E40" i="6"/>
  <c r="E26" i="13"/>
  <c r="E198" i="9"/>
  <c r="E20" i="6"/>
  <c r="E38" i="13"/>
  <c r="E189" i="9"/>
  <c r="E28" i="6"/>
  <c r="B189" i="9"/>
  <c r="H189" i="9"/>
  <c r="E14" i="13"/>
  <c r="E232" i="9"/>
  <c r="E8" i="6"/>
  <c r="B232" i="9"/>
  <c r="H232" i="9"/>
  <c r="E21" i="13"/>
  <c r="E212" i="9"/>
  <c r="E13" i="6"/>
  <c r="B212" i="9"/>
  <c r="H212" i="9"/>
  <c r="J134" i="6"/>
  <c r="L134" i="6"/>
  <c r="B237" i="9"/>
  <c r="H237" i="9"/>
  <c r="L138" i="6"/>
  <c r="B300" i="9"/>
  <c r="H300" i="9"/>
  <c r="J142" i="6"/>
  <c r="K142" i="6"/>
  <c r="B13" i="9"/>
  <c r="H13" i="9"/>
  <c r="L146" i="6"/>
  <c r="B17" i="9"/>
  <c r="H17" i="9"/>
  <c r="K150" i="6"/>
  <c r="B21" i="9"/>
  <c r="H21" i="9"/>
  <c r="L154" i="6"/>
  <c r="K154" i="6"/>
  <c r="B25" i="9"/>
  <c r="H25" i="9"/>
  <c r="B29" i="9"/>
  <c r="H29" i="9"/>
  <c r="J162" i="6"/>
  <c r="K162" i="6"/>
  <c r="B33" i="9"/>
  <c r="H33" i="9"/>
  <c r="L166" i="6"/>
  <c r="K166" i="6"/>
  <c r="B37" i="9"/>
  <c r="H37" i="9"/>
  <c r="J170" i="6"/>
  <c r="L170" i="6"/>
  <c r="K170" i="6"/>
  <c r="B41" i="9"/>
  <c r="H41" i="9"/>
  <c r="B45" i="9"/>
  <c r="H45" i="9"/>
  <c r="B49" i="9"/>
  <c r="H49" i="9"/>
  <c r="J182" i="6"/>
  <c r="L182" i="6"/>
  <c r="K182" i="6"/>
  <c r="B53" i="9"/>
  <c r="H53" i="9"/>
  <c r="J186" i="6"/>
  <c r="L186" i="6"/>
  <c r="K186" i="6"/>
  <c r="B57" i="9"/>
  <c r="H57" i="9"/>
  <c r="J190" i="6"/>
  <c r="L190" i="6"/>
  <c r="K190" i="6"/>
  <c r="B61" i="9"/>
  <c r="H61" i="9"/>
  <c r="J194" i="6"/>
  <c r="L194" i="6"/>
  <c r="K194" i="6"/>
  <c r="B65" i="9"/>
  <c r="H65" i="9"/>
  <c r="J198" i="6"/>
  <c r="L198" i="6"/>
  <c r="K198" i="6"/>
  <c r="B69" i="9"/>
  <c r="H69" i="9"/>
  <c r="J202" i="6"/>
  <c r="L202" i="6"/>
  <c r="K202" i="6"/>
  <c r="B73" i="9"/>
  <c r="H73" i="9"/>
  <c r="J206" i="6"/>
  <c r="L206" i="6"/>
  <c r="K206" i="6"/>
  <c r="B77" i="9"/>
  <c r="H77" i="9"/>
  <c r="B81" i="9"/>
  <c r="L81" i="9"/>
  <c r="H81" i="9"/>
  <c r="J214" i="6"/>
  <c r="L214" i="6"/>
  <c r="K214" i="6"/>
  <c r="B85" i="9"/>
  <c r="L85" i="9"/>
  <c r="H85" i="9"/>
  <c r="J218" i="6"/>
  <c r="L218" i="6"/>
  <c r="K218" i="6"/>
  <c r="B89" i="9"/>
  <c r="L89" i="9"/>
  <c r="H89" i="9"/>
  <c r="J222" i="6"/>
  <c r="L222" i="6"/>
  <c r="K222" i="6"/>
  <c r="B93" i="9"/>
  <c r="L93" i="9"/>
  <c r="H93" i="9"/>
  <c r="J226" i="6"/>
  <c r="L226" i="6"/>
  <c r="K226" i="6"/>
  <c r="B97" i="9"/>
  <c r="L97" i="9"/>
  <c r="H97" i="9"/>
  <c r="J230" i="6"/>
  <c r="L230" i="6"/>
  <c r="K230" i="6"/>
  <c r="B101" i="9"/>
  <c r="L101" i="9"/>
  <c r="H101" i="9"/>
  <c r="J234" i="6"/>
  <c r="L234" i="6"/>
  <c r="K234" i="6"/>
  <c r="B105" i="9"/>
  <c r="L105" i="9"/>
  <c r="H105" i="9"/>
  <c r="J238" i="6"/>
  <c r="L238" i="6"/>
  <c r="K238" i="6"/>
  <c r="B109" i="9"/>
  <c r="L109" i="9"/>
  <c r="H109" i="9"/>
  <c r="J242" i="6"/>
  <c r="L242" i="6"/>
  <c r="K242" i="6"/>
  <c r="B113" i="9"/>
  <c r="L113" i="9"/>
  <c r="H113" i="9"/>
  <c r="J246" i="6"/>
  <c r="L246" i="6"/>
  <c r="K246" i="6"/>
  <c r="B117" i="9"/>
  <c r="L117" i="9"/>
  <c r="H117" i="9"/>
  <c r="J250" i="6"/>
  <c r="L250" i="6"/>
  <c r="K250" i="6"/>
  <c r="B121" i="9"/>
  <c r="L121" i="9"/>
  <c r="H121" i="9"/>
  <c r="J254" i="6"/>
  <c r="L254" i="6"/>
  <c r="K254" i="6"/>
  <c r="B125" i="9"/>
  <c r="L125" i="9"/>
  <c r="H125" i="9"/>
  <c r="J258" i="6"/>
  <c r="L258" i="6"/>
  <c r="K258" i="6"/>
  <c r="B129" i="9"/>
  <c r="L129" i="9"/>
  <c r="H129" i="9"/>
  <c r="J262" i="6"/>
  <c r="L262" i="6"/>
  <c r="K262" i="6"/>
  <c r="B133" i="9"/>
  <c r="L133" i="9"/>
  <c r="H133" i="9"/>
  <c r="J266" i="6"/>
  <c r="L266" i="6"/>
  <c r="K266" i="6"/>
  <c r="B137" i="9"/>
  <c r="L137" i="9"/>
  <c r="H137" i="9"/>
  <c r="J270" i="6"/>
  <c r="L270" i="6"/>
  <c r="K270" i="6"/>
  <c r="B141" i="9"/>
  <c r="L141" i="9"/>
  <c r="H141" i="9"/>
  <c r="J274" i="6"/>
  <c r="L274" i="6"/>
  <c r="K274" i="6"/>
  <c r="B145" i="9"/>
  <c r="L145" i="9"/>
  <c r="H145" i="9"/>
  <c r="J278" i="6"/>
  <c r="L278" i="6"/>
  <c r="K278" i="6"/>
  <c r="B149" i="9"/>
  <c r="L149" i="9"/>
  <c r="H149" i="9"/>
  <c r="J282" i="6"/>
  <c r="L282" i="6"/>
  <c r="K282" i="6"/>
  <c r="B153" i="9"/>
  <c r="L153" i="9"/>
  <c r="H153" i="9"/>
  <c r="J286" i="6"/>
  <c r="L286" i="6"/>
  <c r="K286" i="6"/>
  <c r="B157" i="9"/>
  <c r="L157" i="9"/>
  <c r="H157" i="9"/>
  <c r="J290" i="6"/>
  <c r="L290" i="6"/>
  <c r="K290" i="6"/>
  <c r="B165" i="9"/>
  <c r="L165" i="9"/>
  <c r="H165" i="9"/>
  <c r="J298" i="6"/>
  <c r="L298" i="6"/>
  <c r="K298" i="6"/>
  <c r="B169" i="9"/>
  <c r="L169" i="9"/>
  <c r="J302" i="6"/>
  <c r="L302" i="6"/>
  <c r="K302" i="6"/>
  <c r="B173" i="9"/>
  <c r="L173" i="9"/>
  <c r="H173" i="9"/>
  <c r="E288" i="13"/>
  <c r="E158" i="9"/>
  <c r="E287" i="6"/>
  <c r="J291" i="6"/>
  <c r="L291" i="6"/>
  <c r="K291" i="6"/>
  <c r="B162" i="9"/>
  <c r="L162" i="9"/>
  <c r="H162" i="9"/>
  <c r="E296" i="13"/>
  <c r="E166" i="9"/>
  <c r="E295" i="6"/>
  <c r="L299" i="6"/>
  <c r="B170" i="9"/>
  <c r="L170" i="9"/>
  <c r="H170" i="9"/>
  <c r="E290" i="13"/>
  <c r="E160" i="9"/>
  <c r="E289" i="6"/>
  <c r="J293" i="6"/>
  <c r="K293" i="6"/>
  <c r="L164" i="9"/>
  <c r="J301" i="6"/>
  <c r="L301" i="6"/>
  <c r="K301" i="6"/>
  <c r="B172" i="9"/>
  <c r="L172" i="9"/>
  <c r="H172" i="9"/>
  <c r="E82" i="12"/>
  <c r="E67" i="12"/>
  <c r="E106" i="12"/>
  <c r="E85" i="12"/>
  <c r="E5" i="12"/>
  <c r="E122" i="12"/>
  <c r="E125" i="12"/>
  <c r="E74" i="12"/>
  <c r="E133" i="12"/>
  <c r="E41" i="12"/>
  <c r="E21" i="12"/>
  <c r="E29" i="12"/>
  <c r="E9" i="12"/>
  <c r="E14" i="12"/>
  <c r="E113" i="13"/>
  <c r="E106" i="13"/>
  <c r="E285" i="9"/>
  <c r="E118" i="6"/>
  <c r="E119" i="13"/>
  <c r="E269" i="9"/>
  <c r="E96" i="6"/>
  <c r="E94" i="13"/>
  <c r="E284" i="9"/>
  <c r="E70" i="6"/>
  <c r="E80" i="13"/>
  <c r="E280" i="9"/>
  <c r="E80" i="6"/>
  <c r="E71" i="13"/>
  <c r="E290" i="9"/>
  <c r="E56" i="6"/>
  <c r="E133" i="13"/>
  <c r="E263" i="9"/>
  <c r="E106" i="6"/>
  <c r="E95" i="13"/>
  <c r="E282" i="9"/>
  <c r="E75" i="6"/>
  <c r="E123" i="13"/>
  <c r="E270" i="9"/>
  <c r="E94" i="6"/>
  <c r="E125" i="13"/>
  <c r="E265" i="9"/>
  <c r="E103" i="6"/>
  <c r="E137" i="13"/>
  <c r="E259" i="9"/>
  <c r="E111" i="6"/>
  <c r="E112" i="6"/>
  <c r="E82" i="13"/>
  <c r="E252" i="9"/>
  <c r="E127" i="6"/>
  <c r="E4" i="13"/>
  <c r="E8" i="9"/>
  <c r="E3" i="6"/>
  <c r="E239" i="9"/>
  <c r="E57" i="6"/>
  <c r="E72" i="13"/>
  <c r="E193" i="9"/>
  <c r="E77" i="6"/>
  <c r="E81" i="13"/>
  <c r="E214" i="9"/>
  <c r="E55" i="6"/>
  <c r="E84" i="13"/>
  <c r="E187" i="9"/>
  <c r="E69" i="6"/>
  <c r="E230" i="9"/>
  <c r="E43" i="6"/>
  <c r="E31" i="13"/>
  <c r="E180" i="9"/>
  <c r="E74" i="6"/>
  <c r="E69" i="13"/>
  <c r="E215" i="9"/>
  <c r="E49" i="6"/>
  <c r="E64" i="13"/>
  <c r="E220" i="9"/>
  <c r="E46" i="6"/>
  <c r="E234" i="9"/>
  <c r="E131" i="6"/>
  <c r="E62" i="13"/>
  <c r="E185" i="9"/>
  <c r="E44" i="6"/>
  <c r="E18" i="13"/>
  <c r="E235" i="9"/>
  <c r="E17" i="6"/>
  <c r="A34" i="16"/>
  <c r="A34" i="22"/>
  <c r="H261" i="9"/>
  <c r="G13" i="14"/>
  <c r="H289" i="9"/>
  <c r="B7" i="9"/>
  <c r="B183" i="9"/>
  <c r="B206" i="9"/>
  <c r="H206" i="9"/>
  <c r="H204" i="9"/>
  <c r="B182" i="9"/>
  <c r="H182" i="9"/>
  <c r="B236" i="9"/>
  <c r="H236" i="9"/>
  <c r="B211" i="9"/>
  <c r="H194" i="9"/>
  <c r="B226" i="9"/>
  <c r="H226" i="9"/>
  <c r="H177" i="9"/>
  <c r="B208" i="9"/>
  <c r="H208" i="9"/>
  <c r="H224" i="9"/>
  <c r="B217" i="9"/>
  <c r="H272" i="9"/>
  <c r="B272" i="9"/>
  <c r="K272" i="9"/>
  <c r="L272" i="9" s="1"/>
  <c r="G66" i="14"/>
  <c r="A34" i="31"/>
  <c r="A28" i="21"/>
  <c r="A34" i="21"/>
  <c r="G14" i="14"/>
  <c r="H285" i="9"/>
  <c r="B285" i="9"/>
  <c r="B269" i="9"/>
  <c r="H284" i="9"/>
  <c r="H280" i="9"/>
  <c r="B280" i="9"/>
  <c r="B290" i="9"/>
  <c r="H263" i="9"/>
  <c r="B263" i="9"/>
  <c r="B282" i="9"/>
  <c r="H270" i="9"/>
  <c r="B270" i="9"/>
  <c r="H259" i="9"/>
  <c r="B259" i="9"/>
  <c r="B197" i="9"/>
  <c r="L197" i="9"/>
  <c r="H197" i="9"/>
  <c r="B202" i="9"/>
  <c r="H202" i="9"/>
  <c r="B231" i="9"/>
  <c r="B203" i="9"/>
  <c r="H203" i="9"/>
  <c r="B249" i="9"/>
  <c r="B243" i="9"/>
  <c r="L243" i="9"/>
  <c r="H243" i="9"/>
  <c r="B219" i="9"/>
  <c r="H219" i="9"/>
  <c r="B216" i="9"/>
  <c r="H216" i="9"/>
  <c r="B244" i="9"/>
  <c r="H244" i="9"/>
  <c r="B251" i="9"/>
  <c r="H251" i="9"/>
  <c r="B223" i="9"/>
  <c r="H223" i="9"/>
  <c r="H228" i="9"/>
  <c r="E27" i="13"/>
  <c r="E195" i="9"/>
  <c r="E21" i="6"/>
  <c r="B195" i="9"/>
  <c r="H195" i="9"/>
  <c r="E54" i="13"/>
  <c r="E186" i="9"/>
  <c r="E134" i="6"/>
  <c r="B186" i="9"/>
  <c r="E43" i="13"/>
  <c r="E201" i="9"/>
  <c r="E33" i="6"/>
  <c r="H201" i="9"/>
  <c r="B199" i="9"/>
  <c r="L199" i="9"/>
  <c r="H199" i="9"/>
  <c r="B299" i="9"/>
  <c r="L299" i="9"/>
  <c r="B221" i="9"/>
  <c r="H221" i="9"/>
  <c r="J139" i="6"/>
  <c r="L139" i="6"/>
  <c r="K139" i="6"/>
  <c r="B10" i="9"/>
  <c r="L10" i="9"/>
  <c r="H10" i="9"/>
  <c r="J143" i="6"/>
  <c r="L143" i="6"/>
  <c r="K143" i="6"/>
  <c r="B14" i="9"/>
  <c r="L14" i="9"/>
  <c r="H14" i="9"/>
  <c r="J145" i="6"/>
  <c r="K145" i="6"/>
  <c r="J147" i="6"/>
  <c r="L147" i="6"/>
  <c r="K147" i="6"/>
  <c r="B18" i="9"/>
  <c r="L18" i="9"/>
  <c r="H20" i="9"/>
  <c r="L22" i="9"/>
  <c r="J153" i="6"/>
  <c r="K153" i="6"/>
  <c r="B24" i="9"/>
  <c r="L24" i="9"/>
  <c r="H24" i="9"/>
  <c r="J155" i="6"/>
  <c r="L155" i="6"/>
  <c r="K155" i="6"/>
  <c r="B26" i="9"/>
  <c r="L26" i="9"/>
  <c r="B28" i="9"/>
  <c r="L28" i="9"/>
  <c r="H28" i="9"/>
  <c r="J159" i="6"/>
  <c r="L159" i="6"/>
  <c r="K159" i="6"/>
  <c r="J161" i="6"/>
  <c r="K161" i="6"/>
  <c r="B32" i="9"/>
  <c r="L32" i="9"/>
  <c r="H32" i="9"/>
  <c r="J163" i="6"/>
  <c r="L163" i="6"/>
  <c r="K163" i="6"/>
  <c r="B34" i="9"/>
  <c r="L34" i="9"/>
  <c r="K165" i="6"/>
  <c r="B36" i="9"/>
  <c r="L36" i="9"/>
  <c r="H36" i="9"/>
  <c r="J169" i="6"/>
  <c r="K169" i="6"/>
  <c r="B40" i="9"/>
  <c r="L40" i="9"/>
  <c r="H40" i="9"/>
  <c r="J171" i="6"/>
  <c r="L171" i="6"/>
  <c r="K171" i="6"/>
  <c r="B42" i="9"/>
  <c r="L42" i="9"/>
  <c r="B44" i="9"/>
  <c r="L44" i="9"/>
  <c r="H44" i="9"/>
  <c r="J175" i="6"/>
  <c r="L175" i="6"/>
  <c r="K175" i="6"/>
  <c r="J177" i="6"/>
  <c r="K177" i="6"/>
  <c r="B48" i="9"/>
  <c r="L48" i="9"/>
  <c r="H48" i="9"/>
  <c r="J179" i="6"/>
  <c r="L179" i="6"/>
  <c r="K179" i="6"/>
  <c r="B50" i="9"/>
  <c r="L50" i="9"/>
  <c r="K181" i="6"/>
  <c r="B52" i="9"/>
  <c r="L52" i="9"/>
  <c r="H52" i="9"/>
  <c r="L54" i="9"/>
  <c r="J185" i="6"/>
  <c r="K185" i="6"/>
  <c r="B56" i="9"/>
  <c r="L56" i="9"/>
  <c r="H56" i="9"/>
  <c r="J187" i="6"/>
  <c r="L187" i="6"/>
  <c r="K187" i="6"/>
  <c r="B58" i="9"/>
  <c r="L58" i="9"/>
  <c r="B60" i="9"/>
  <c r="L60" i="9"/>
  <c r="H60" i="9"/>
  <c r="J191" i="6"/>
  <c r="L191" i="6"/>
  <c r="K191" i="6"/>
  <c r="J193" i="6"/>
  <c r="K193" i="6"/>
  <c r="B64" i="9"/>
  <c r="L64" i="9"/>
  <c r="H64" i="9"/>
  <c r="J195" i="6"/>
  <c r="L195" i="6"/>
  <c r="K195" i="6"/>
  <c r="B66" i="9"/>
  <c r="L66" i="9"/>
  <c r="J197" i="6"/>
  <c r="B68" i="9"/>
  <c r="L68" i="9"/>
  <c r="H68" i="9"/>
  <c r="J199" i="6"/>
  <c r="L199" i="6"/>
  <c r="K199" i="6"/>
  <c r="J201" i="6"/>
  <c r="L201" i="6"/>
  <c r="K201" i="6"/>
  <c r="B72" i="9"/>
  <c r="L72" i="9"/>
  <c r="H72" i="9"/>
  <c r="J203" i="6"/>
  <c r="L203" i="6"/>
  <c r="K203" i="6"/>
  <c r="B74" i="9"/>
  <c r="L74" i="9"/>
  <c r="K205" i="6"/>
  <c r="B76" i="9"/>
  <c r="L76" i="9"/>
  <c r="H76" i="9"/>
  <c r="J207" i="6"/>
  <c r="L207" i="6"/>
  <c r="K207" i="6"/>
  <c r="H78" i="9"/>
  <c r="J209" i="6"/>
  <c r="L209" i="6"/>
  <c r="K209" i="6"/>
  <c r="B80" i="9"/>
  <c r="L80" i="9"/>
  <c r="H80" i="9"/>
  <c r="J211" i="6"/>
  <c r="L211" i="6"/>
  <c r="K211" i="6"/>
  <c r="B82" i="9"/>
  <c r="L82" i="9"/>
  <c r="H82" i="9"/>
  <c r="J213" i="6"/>
  <c r="K213" i="6"/>
  <c r="B84" i="9"/>
  <c r="L84" i="9"/>
  <c r="H84" i="9"/>
  <c r="J215" i="6"/>
  <c r="L215" i="6"/>
  <c r="K215" i="6"/>
  <c r="J217" i="6"/>
  <c r="L217" i="6"/>
  <c r="K217" i="6"/>
  <c r="B88" i="9"/>
  <c r="L88" i="9"/>
  <c r="H88" i="9"/>
  <c r="J219" i="6"/>
  <c r="L219" i="6"/>
  <c r="K219" i="6"/>
  <c r="B90" i="9"/>
  <c r="L90" i="9"/>
  <c r="K221" i="6"/>
  <c r="B92" i="9"/>
  <c r="L92" i="9"/>
  <c r="H92" i="9"/>
  <c r="J223" i="6"/>
  <c r="L223" i="6"/>
  <c r="K223" i="6"/>
  <c r="J225" i="6"/>
  <c r="L225" i="6"/>
  <c r="K225" i="6"/>
  <c r="B96" i="9"/>
  <c r="L96" i="9"/>
  <c r="H96" i="9"/>
  <c r="J227" i="6"/>
  <c r="L227" i="6"/>
  <c r="K227" i="6"/>
  <c r="B98" i="9"/>
  <c r="L98" i="9"/>
  <c r="J229" i="6"/>
  <c r="B100" i="9"/>
  <c r="L100" i="9"/>
  <c r="H100" i="9"/>
  <c r="J231" i="6"/>
  <c r="L231" i="6"/>
  <c r="K231" i="6"/>
  <c r="J233" i="6"/>
  <c r="L233" i="6"/>
  <c r="K233" i="6"/>
  <c r="B104" i="9"/>
  <c r="L104" i="9"/>
  <c r="H104" i="9"/>
  <c r="J235" i="6"/>
  <c r="L235" i="6"/>
  <c r="K235" i="6"/>
  <c r="B106" i="9"/>
  <c r="L106" i="9"/>
  <c r="J237" i="6"/>
  <c r="K237" i="6"/>
  <c r="B108" i="9"/>
  <c r="L108" i="9"/>
  <c r="H108" i="9"/>
  <c r="J239" i="6"/>
  <c r="L239" i="6"/>
  <c r="K239" i="6"/>
  <c r="J241" i="6"/>
  <c r="L241" i="6"/>
  <c r="K241" i="6"/>
  <c r="B112" i="9"/>
  <c r="L112" i="9"/>
  <c r="H112" i="9"/>
  <c r="J243" i="6"/>
  <c r="L243" i="6"/>
  <c r="K243" i="6"/>
  <c r="B114" i="9"/>
  <c r="L114" i="9"/>
  <c r="J245" i="6"/>
  <c r="K245" i="6"/>
  <c r="B116" i="9"/>
  <c r="L116" i="9"/>
  <c r="H116" i="9"/>
  <c r="J247" i="6"/>
  <c r="L247" i="6"/>
  <c r="K247" i="6"/>
  <c r="J249" i="6"/>
  <c r="L249" i="6"/>
  <c r="K249" i="6"/>
  <c r="B120" i="9"/>
  <c r="L120" i="9"/>
  <c r="H120" i="9"/>
  <c r="J251" i="6"/>
  <c r="L251" i="6"/>
  <c r="K251" i="6"/>
  <c r="B122" i="9"/>
  <c r="L122" i="9"/>
  <c r="K253" i="6"/>
  <c r="B124" i="9"/>
  <c r="L124" i="9"/>
  <c r="H124" i="9"/>
  <c r="J255" i="6"/>
  <c r="L255" i="6"/>
  <c r="K255" i="6"/>
  <c r="J257" i="6"/>
  <c r="L257" i="6"/>
  <c r="K257" i="6"/>
  <c r="B128" i="9"/>
  <c r="L128" i="9"/>
  <c r="H128" i="9"/>
  <c r="J259" i="6"/>
  <c r="L259" i="6"/>
  <c r="K259" i="6"/>
  <c r="B130" i="9"/>
  <c r="L130" i="9"/>
  <c r="J261" i="6"/>
  <c r="B132" i="9"/>
  <c r="L132" i="9"/>
  <c r="H132" i="9"/>
  <c r="J263" i="6"/>
  <c r="L263" i="6"/>
  <c r="K263" i="6"/>
  <c r="J265" i="6"/>
  <c r="L265" i="6"/>
  <c r="K265" i="6"/>
  <c r="B136" i="9"/>
  <c r="L136" i="9"/>
  <c r="H136" i="9"/>
  <c r="J267" i="6"/>
  <c r="L267" i="6"/>
  <c r="K267" i="6"/>
  <c r="B138" i="9"/>
  <c r="L138" i="9"/>
  <c r="J269" i="6"/>
  <c r="K269" i="6"/>
  <c r="B140" i="9"/>
  <c r="L140" i="9"/>
  <c r="H140" i="9"/>
  <c r="J271" i="6"/>
  <c r="L271" i="6"/>
  <c r="K271" i="6"/>
  <c r="J273" i="6"/>
  <c r="L273" i="6"/>
  <c r="K273" i="6"/>
  <c r="B144" i="9"/>
  <c r="L144" i="9"/>
  <c r="H144" i="9"/>
  <c r="J275" i="6"/>
  <c r="L275" i="6"/>
  <c r="K275" i="6"/>
  <c r="B146" i="9"/>
  <c r="L146" i="9"/>
  <c r="J277" i="6"/>
  <c r="K277" i="6"/>
  <c r="B148" i="9"/>
  <c r="L148" i="9"/>
  <c r="H148" i="9"/>
  <c r="J279" i="6"/>
  <c r="L279" i="6"/>
  <c r="K279" i="6"/>
  <c r="J281" i="6"/>
  <c r="L281" i="6"/>
  <c r="K281" i="6"/>
  <c r="B152" i="9"/>
  <c r="L152" i="9"/>
  <c r="H152" i="9"/>
  <c r="J283" i="6"/>
  <c r="L283" i="6"/>
  <c r="K283" i="6"/>
  <c r="B154" i="9"/>
  <c r="L154" i="9"/>
  <c r="J285" i="6"/>
  <c r="K285" i="6"/>
  <c r="B156" i="9"/>
  <c r="L156" i="9"/>
  <c r="H156" i="9"/>
  <c r="E25" i="13"/>
  <c r="E222" i="9"/>
  <c r="E19" i="6"/>
  <c r="H222" i="9"/>
  <c r="E57" i="13"/>
  <c r="E188" i="9"/>
  <c r="E133" i="6"/>
  <c r="B188" i="9"/>
  <c r="E67" i="13"/>
  <c r="E250" i="9"/>
  <c r="E59" i="6"/>
  <c r="B250" i="9"/>
  <c r="H250" i="9"/>
  <c r="J132" i="6"/>
  <c r="L132" i="6"/>
  <c r="K132" i="6"/>
  <c r="B297" i="9"/>
  <c r="B302" i="9"/>
  <c r="H302" i="9"/>
  <c r="B11" i="9"/>
  <c r="L11" i="9"/>
  <c r="H11" i="9"/>
  <c r="J144" i="6"/>
  <c r="L144" i="6"/>
  <c r="K144" i="6"/>
  <c r="B15" i="9"/>
  <c r="L15" i="9"/>
  <c r="H15" i="9"/>
  <c r="J148" i="6"/>
  <c r="L148" i="6"/>
  <c r="K148" i="6"/>
  <c r="B19" i="9"/>
  <c r="L19" i="9"/>
  <c r="H19" i="9"/>
  <c r="J152" i="6"/>
  <c r="L152" i="6"/>
  <c r="K152" i="6"/>
  <c r="B23" i="9"/>
  <c r="L23" i="9"/>
  <c r="H23" i="9"/>
  <c r="J156" i="6"/>
  <c r="L156" i="6"/>
  <c r="K156" i="6"/>
  <c r="B27" i="9"/>
  <c r="L27" i="9"/>
  <c r="H27" i="9"/>
  <c r="B31" i="9"/>
  <c r="L31" i="9"/>
  <c r="H31" i="9"/>
  <c r="J164" i="6"/>
  <c r="L164" i="6"/>
  <c r="K164" i="6"/>
  <c r="B35" i="9"/>
  <c r="L35" i="9"/>
  <c r="H35" i="9"/>
  <c r="J168" i="6"/>
  <c r="L168" i="6"/>
  <c r="K168" i="6"/>
  <c r="B39" i="9"/>
  <c r="L39" i="9"/>
  <c r="H39" i="9"/>
  <c r="J172" i="6"/>
  <c r="L172" i="6"/>
  <c r="K172" i="6"/>
  <c r="B43" i="9"/>
  <c r="L43" i="9"/>
  <c r="H43" i="9"/>
  <c r="B47" i="9"/>
  <c r="L47" i="9"/>
  <c r="H47" i="9"/>
  <c r="J180" i="6"/>
  <c r="L180" i="6"/>
  <c r="K180" i="6"/>
  <c r="B51" i="9"/>
  <c r="L51" i="9"/>
  <c r="H51" i="9"/>
  <c r="B55" i="9"/>
  <c r="L55" i="9"/>
  <c r="H55" i="9"/>
  <c r="J188" i="6"/>
  <c r="L188" i="6"/>
  <c r="K188" i="6"/>
  <c r="B59" i="9"/>
  <c r="L59" i="9"/>
  <c r="H59" i="9"/>
  <c r="B63" i="9"/>
  <c r="L63" i="9"/>
  <c r="H63" i="9"/>
  <c r="J196" i="6"/>
  <c r="L196" i="6"/>
  <c r="K196" i="6"/>
  <c r="B67" i="9"/>
  <c r="L67" i="9"/>
  <c r="H67" i="9"/>
  <c r="B71" i="9"/>
  <c r="L71" i="9"/>
  <c r="H71" i="9"/>
  <c r="B75" i="9"/>
  <c r="L75" i="9"/>
  <c r="H75" i="9"/>
  <c r="B79" i="9"/>
  <c r="L79" i="9"/>
  <c r="H79" i="9"/>
  <c r="J212" i="6"/>
  <c r="L212" i="6"/>
  <c r="K212" i="6"/>
  <c r="B83" i="9"/>
  <c r="L83" i="9"/>
  <c r="H83" i="9"/>
  <c r="B87" i="9"/>
  <c r="L87" i="9"/>
  <c r="H87" i="9"/>
  <c r="J220" i="6"/>
  <c r="L220" i="6"/>
  <c r="K220" i="6"/>
  <c r="B91" i="9"/>
  <c r="L91" i="9"/>
  <c r="H91" i="9"/>
  <c r="B95" i="9"/>
  <c r="L95" i="9"/>
  <c r="H95" i="9"/>
  <c r="J228" i="6"/>
  <c r="L228" i="6"/>
  <c r="K228" i="6"/>
  <c r="B99" i="9"/>
  <c r="L99" i="9"/>
  <c r="H99" i="9"/>
  <c r="B103" i="9"/>
  <c r="L103" i="9"/>
  <c r="H103" i="9"/>
  <c r="J236" i="6"/>
  <c r="L236" i="6"/>
  <c r="K236" i="6"/>
  <c r="B107" i="9"/>
  <c r="L107" i="9"/>
  <c r="H107" i="9"/>
  <c r="B111" i="9"/>
  <c r="L111" i="9"/>
  <c r="H111" i="9"/>
  <c r="J244" i="6"/>
  <c r="L244" i="6"/>
  <c r="K244" i="6"/>
  <c r="B115" i="9"/>
  <c r="L115" i="9"/>
  <c r="H115" i="9"/>
  <c r="B119" i="9"/>
  <c r="L119" i="9"/>
  <c r="H119" i="9"/>
  <c r="J252" i="6"/>
  <c r="L252" i="6"/>
  <c r="K252" i="6"/>
  <c r="B123" i="9"/>
  <c r="L123" i="9"/>
  <c r="H123" i="9"/>
  <c r="B127" i="9"/>
  <c r="L127" i="9"/>
  <c r="H127" i="9"/>
  <c r="J260" i="6"/>
  <c r="L260" i="6"/>
  <c r="K260" i="6"/>
  <c r="B131" i="9"/>
  <c r="L131" i="9"/>
  <c r="H131" i="9"/>
  <c r="B135" i="9"/>
  <c r="L135" i="9"/>
  <c r="H135" i="9"/>
  <c r="J268" i="6"/>
  <c r="L268" i="6"/>
  <c r="K268" i="6"/>
  <c r="B139" i="9"/>
  <c r="L139" i="9"/>
  <c r="H139" i="9"/>
  <c r="B143" i="9"/>
  <c r="L143" i="9"/>
  <c r="H143" i="9"/>
  <c r="J276" i="6"/>
  <c r="L276" i="6"/>
  <c r="K276" i="6"/>
  <c r="B147" i="9"/>
  <c r="L147" i="9"/>
  <c r="H147" i="9"/>
  <c r="B151" i="9"/>
  <c r="L151" i="9"/>
  <c r="H151" i="9"/>
  <c r="J284" i="6"/>
  <c r="L284" i="6"/>
  <c r="K284" i="6"/>
  <c r="B155" i="9"/>
  <c r="L155" i="9"/>
  <c r="H155" i="9"/>
  <c r="B159" i="9"/>
  <c r="L159" i="9"/>
  <c r="J292" i="6"/>
  <c r="L292" i="6"/>
  <c r="K292" i="6"/>
  <c r="B163" i="9"/>
  <c r="L163" i="9"/>
  <c r="H163" i="9"/>
  <c r="J296" i="6"/>
  <c r="L296" i="6"/>
  <c r="K296" i="6"/>
  <c r="B167" i="9"/>
  <c r="L167" i="9"/>
  <c r="B171" i="9"/>
  <c r="L171" i="9"/>
  <c r="H171" i="9"/>
  <c r="J287" i="6"/>
  <c r="L287" i="6"/>
  <c r="K287" i="6"/>
  <c r="B158" i="9"/>
  <c r="L158" i="9"/>
  <c r="H158" i="9"/>
  <c r="E292" i="13"/>
  <c r="E162" i="9"/>
  <c r="E291" i="6"/>
  <c r="L166" i="9"/>
  <c r="H166" i="9"/>
  <c r="E300" i="13"/>
  <c r="E170" i="9"/>
  <c r="E299" i="6"/>
  <c r="J289" i="6"/>
  <c r="L289" i="6"/>
  <c r="K289" i="6"/>
  <c r="B160" i="9"/>
  <c r="L160" i="9"/>
  <c r="B168" i="9"/>
  <c r="L168" i="9"/>
  <c r="H168" i="9"/>
  <c r="E302" i="13"/>
  <c r="E172" i="9"/>
  <c r="E301" i="6"/>
  <c r="E119" i="12"/>
  <c r="E97" i="12"/>
  <c r="E71" i="12"/>
  <c r="E81" i="12"/>
  <c r="E57" i="12"/>
  <c r="E107" i="12"/>
  <c r="E76" i="12"/>
  <c r="E95" i="12"/>
  <c r="E104" i="12"/>
  <c r="E112" i="12"/>
  <c r="E113" i="12"/>
  <c r="E128" i="12"/>
  <c r="E63" i="12"/>
  <c r="E89" i="12"/>
  <c r="E129" i="12"/>
  <c r="E54" i="12"/>
  <c r="E64" i="12"/>
  <c r="E12" i="12"/>
  <c r="E31" i="12"/>
  <c r="E130" i="12"/>
  <c r="E49" i="12"/>
  <c r="E131" i="12"/>
  <c r="E84" i="12"/>
  <c r="E28" i="12"/>
  <c r="E19" i="12"/>
  <c r="E22" i="12"/>
  <c r="E135" i="12"/>
  <c r="E34" i="12"/>
  <c r="E20" i="12"/>
  <c r="E134" i="12"/>
  <c r="E60" i="12"/>
  <c r="E288" i="12"/>
  <c r="E296" i="12"/>
  <c r="E290" i="12"/>
  <c r="H252" i="9"/>
  <c r="B64" i="14"/>
  <c r="L289" i="9"/>
  <c r="E171" i="9"/>
  <c r="E301" i="12"/>
  <c r="E301" i="13"/>
  <c r="E300" i="6"/>
  <c r="E297" i="13"/>
  <c r="E296" i="6"/>
  <c r="E297" i="12"/>
  <c r="E167" i="9"/>
  <c r="E293" i="13"/>
  <c r="E292" i="6"/>
  <c r="E293" i="12"/>
  <c r="E163" i="9"/>
  <c r="L236" i="9"/>
  <c r="L49" i="9"/>
  <c r="L53" i="9"/>
  <c r="L57" i="9"/>
  <c r="L61" i="9"/>
  <c r="L65" i="9"/>
  <c r="L69" i="9"/>
  <c r="L73" i="9"/>
  <c r="L77" i="9"/>
  <c r="J127" i="6"/>
  <c r="J124" i="6"/>
  <c r="K124" i="6"/>
  <c r="J299" i="6"/>
  <c r="K299" i="6"/>
  <c r="C107" i="6"/>
  <c r="H107" i="6" s="1"/>
  <c r="E21" i="1"/>
  <c r="E107" i="6" s="1"/>
  <c r="C98" i="6"/>
  <c r="H98" i="6" s="1"/>
  <c r="E13" i="1"/>
  <c r="E126" i="13" s="1"/>
  <c r="C108" i="6"/>
  <c r="H108" i="6" s="1"/>
  <c r="E5" i="1"/>
  <c r="E261" i="9" s="1"/>
  <c r="B130" i="7"/>
  <c r="E130" i="7"/>
  <c r="E97" i="1"/>
  <c r="E39" i="6" s="1"/>
  <c r="E53" i="1"/>
  <c r="E176" i="9" s="1"/>
  <c r="E127" i="12"/>
  <c r="E49" i="1"/>
  <c r="E7" i="9" s="1"/>
  <c r="E45" i="1"/>
  <c r="E125" i="6" s="1"/>
  <c r="E41" i="1"/>
  <c r="E123" i="6" s="1"/>
  <c r="E37" i="1"/>
  <c r="E51" i="12" s="1"/>
  <c r="E33" i="1"/>
  <c r="E268" i="9"/>
  <c r="E29" i="1"/>
  <c r="E108" i="13" s="1"/>
  <c r="E25" i="1"/>
  <c r="E86" i="13" s="1"/>
  <c r="C102" i="6"/>
  <c r="H102" i="6" s="1"/>
  <c r="L102" i="6" s="1"/>
  <c r="E17" i="1"/>
  <c r="E266" i="9" s="1"/>
  <c r="C78" i="6"/>
  <c r="H78" i="6" s="1"/>
  <c r="K75" i="6" s="1"/>
  <c r="L6" i="6"/>
  <c r="E9" i="1"/>
  <c r="E281" i="9" s="1"/>
  <c r="E299" i="7"/>
  <c r="E295" i="7"/>
  <c r="E291" i="7"/>
  <c r="E287" i="7"/>
  <c r="E283" i="7"/>
  <c r="E279" i="7"/>
  <c r="E275" i="7"/>
  <c r="E271" i="7"/>
  <c r="E267" i="7"/>
  <c r="E263" i="7"/>
  <c r="E259" i="7"/>
  <c r="E255" i="7"/>
  <c r="E251" i="7"/>
  <c r="E247" i="7"/>
  <c r="E243" i="7"/>
  <c r="E239" i="7"/>
  <c r="E235" i="7"/>
  <c r="E231" i="7"/>
  <c r="E227" i="7"/>
  <c r="E223" i="7"/>
  <c r="E219" i="7"/>
  <c r="E215" i="7"/>
  <c r="E211" i="7"/>
  <c r="E207" i="7"/>
  <c r="E203" i="7"/>
  <c r="E199" i="7"/>
  <c r="E195" i="7"/>
  <c r="E191" i="7"/>
  <c r="E187" i="7"/>
  <c r="E183" i="7"/>
  <c r="E179" i="7"/>
  <c r="E175" i="7"/>
  <c r="E171" i="7"/>
  <c r="E167" i="7"/>
  <c r="E163" i="7"/>
  <c r="E159" i="7"/>
  <c r="E155" i="7"/>
  <c r="E151" i="7"/>
  <c r="E147" i="7"/>
  <c r="E143" i="7"/>
  <c r="E139" i="7"/>
  <c r="E120" i="7"/>
  <c r="E27" i="7"/>
  <c r="E99" i="7"/>
  <c r="E40" i="7"/>
  <c r="E58" i="7"/>
  <c r="E31" i="7"/>
  <c r="E47" i="7"/>
  <c r="E35" i="7"/>
  <c r="E72" i="7"/>
  <c r="E50" i="7"/>
  <c r="E52" i="7"/>
  <c r="E126" i="7"/>
  <c r="E69" i="7"/>
  <c r="E48" i="7"/>
  <c r="E43" i="7"/>
  <c r="E82" i="7"/>
  <c r="E115" i="7"/>
  <c r="E131" i="7"/>
  <c r="E84" i="7"/>
  <c r="E108" i="7"/>
  <c r="J274" i="9"/>
  <c r="J261" i="9"/>
  <c r="J258" i="9"/>
  <c r="L17" i="6"/>
  <c r="J17" i="6"/>
  <c r="K17" i="6"/>
  <c r="E288" i="9"/>
  <c r="E65" i="6"/>
  <c r="E66" i="12"/>
  <c r="E97" i="6"/>
  <c r="E98" i="12"/>
  <c r="E122" i="13"/>
  <c r="E124" i="12"/>
  <c r="E5" i="6"/>
  <c r="E6" i="12"/>
  <c r="E47" i="13"/>
  <c r="J5" i="6"/>
  <c r="C28" i="4" s="1"/>
  <c r="L5" i="6"/>
  <c r="K5" i="6"/>
  <c r="E78" i="6"/>
  <c r="E114" i="13"/>
  <c r="E102" i="6"/>
  <c r="E291" i="9"/>
  <c r="E120" i="6"/>
  <c r="E121" i="12"/>
  <c r="E292" i="9"/>
  <c r="E50" i="6"/>
  <c r="E66" i="13"/>
  <c r="E126" i="12"/>
  <c r="E138" i="13"/>
  <c r="E126" i="6"/>
  <c r="E98" i="6"/>
  <c r="E108" i="12"/>
  <c r="J43" i="6"/>
  <c r="L43" i="6"/>
  <c r="K43" i="6"/>
  <c r="E43" i="1"/>
  <c r="E93" i="6" s="1"/>
  <c r="J42" i="6"/>
  <c r="K42" i="6"/>
  <c r="K40" i="6"/>
  <c r="L40" i="6"/>
  <c r="J40" i="6"/>
  <c r="E39" i="1"/>
  <c r="J38" i="6"/>
  <c r="K38" i="6"/>
  <c r="L38" i="6"/>
  <c r="L35" i="6"/>
  <c r="J35" i="6"/>
  <c r="E35" i="1"/>
  <c r="E111" i="13" s="1"/>
  <c r="J34" i="6"/>
  <c r="L33" i="6"/>
  <c r="E124" i="13"/>
  <c r="L32" i="6"/>
  <c r="K32" i="6"/>
  <c r="E31" i="1"/>
  <c r="E118" i="12" s="1"/>
  <c r="L29" i="6"/>
  <c r="K29" i="6"/>
  <c r="J29" i="6"/>
  <c r="L25" i="6"/>
  <c r="J25" i="6"/>
  <c r="K25" i="6"/>
  <c r="K24" i="6"/>
  <c r="L24" i="6"/>
  <c r="J24" i="6"/>
  <c r="J23" i="6"/>
  <c r="L23" i="6"/>
  <c r="K23" i="6"/>
  <c r="K21" i="6"/>
  <c r="J21" i="6"/>
  <c r="L21" i="6"/>
  <c r="J20" i="6"/>
  <c r="L20" i="6"/>
  <c r="K20" i="6"/>
  <c r="L19" i="6"/>
  <c r="J19" i="6"/>
  <c r="K19" i="6"/>
  <c r="E19" i="1"/>
  <c r="E109" i="13" s="1"/>
  <c r="K18" i="6"/>
  <c r="J18" i="6"/>
  <c r="L18" i="6"/>
  <c r="J16" i="6"/>
  <c r="L16" i="6"/>
  <c r="K16" i="6"/>
  <c r="J15" i="6"/>
  <c r="K15" i="6"/>
  <c r="L15" i="6"/>
  <c r="J13" i="6"/>
  <c r="L13" i="6"/>
  <c r="K13" i="6"/>
  <c r="L12" i="6"/>
  <c r="J12" i="6"/>
  <c r="K12" i="6"/>
  <c r="J11" i="6"/>
  <c r="K11" i="6"/>
  <c r="L11" i="6"/>
  <c r="E11" i="1"/>
  <c r="E82" i="6" s="1"/>
  <c r="J9" i="6"/>
  <c r="A21" i="27"/>
  <c r="B42" i="14"/>
  <c r="K7" i="6"/>
  <c r="J7" i="6"/>
  <c r="C30" i="4" s="1"/>
  <c r="A21" i="26"/>
  <c r="B41" i="14"/>
  <c r="E271" i="9"/>
  <c r="E9" i="13"/>
  <c r="E122" i="6"/>
  <c r="E123" i="12"/>
  <c r="E4" i="9"/>
  <c r="E139" i="13"/>
  <c r="E260" i="9"/>
  <c r="E278" i="9"/>
  <c r="K78" i="6"/>
  <c r="L70" i="6"/>
  <c r="J70" i="6"/>
  <c r="K70" i="6"/>
  <c r="K68" i="6"/>
  <c r="L66" i="6"/>
  <c r="J66" i="6"/>
  <c r="K66" i="6"/>
  <c r="E61" i="1"/>
  <c r="E213" i="9" s="1"/>
  <c r="J58" i="6"/>
  <c r="L58" i="6"/>
  <c r="L56" i="6"/>
  <c r="K56" i="6"/>
  <c r="J56" i="6"/>
  <c r="K9" i="9"/>
  <c r="E9" i="9"/>
  <c r="E7" i="12"/>
  <c r="E6" i="6"/>
  <c r="E8" i="13"/>
  <c r="K49" i="6"/>
  <c r="L49" i="6"/>
  <c r="J49" i="6"/>
  <c r="E47" i="1"/>
  <c r="E115" i="12" s="1"/>
  <c r="E74" i="13"/>
  <c r="E50" i="13"/>
  <c r="K116" i="6"/>
  <c r="L116" i="6"/>
  <c r="J116" i="6"/>
  <c r="L115" i="6"/>
  <c r="E16" i="6"/>
  <c r="L100" i="6"/>
  <c r="K100" i="6"/>
  <c r="J100" i="6"/>
  <c r="J94" i="6"/>
  <c r="K94" i="6"/>
  <c r="L94" i="6"/>
  <c r="L92" i="6"/>
  <c r="K92" i="6"/>
  <c r="J92" i="6"/>
  <c r="E139" i="12"/>
  <c r="E300" i="9"/>
  <c r="E90" i="13"/>
  <c r="E138" i="6"/>
  <c r="L137" i="6"/>
  <c r="J137" i="6"/>
  <c r="K137" i="6"/>
  <c r="E138" i="12"/>
  <c r="J135" i="6"/>
  <c r="K135" i="6"/>
  <c r="L135" i="6"/>
  <c r="E121" i="13"/>
  <c r="E104" i="6"/>
  <c r="E105" i="12"/>
  <c r="E301" i="9"/>
  <c r="E34" i="13"/>
  <c r="E24" i="6"/>
  <c r="E25" i="12"/>
  <c r="E237" i="9"/>
  <c r="K133" i="6"/>
  <c r="L133" i="6"/>
  <c r="J133" i="6"/>
  <c r="E299" i="9"/>
  <c r="E137" i="12"/>
  <c r="E105" i="13"/>
  <c r="E136" i="6"/>
  <c r="E65" i="12"/>
  <c r="E92" i="13"/>
  <c r="E64" i="6"/>
  <c r="E297" i="9"/>
  <c r="E28" i="13"/>
  <c r="E22" i="6"/>
  <c r="E23" i="12"/>
  <c r="E199" i="9"/>
  <c r="E24" i="12"/>
  <c r="E30" i="13"/>
  <c r="E23" i="6"/>
  <c r="E190" i="9"/>
  <c r="J129" i="6"/>
  <c r="K127" i="6"/>
  <c r="E127" i="1"/>
  <c r="E296" i="9" s="1"/>
  <c r="E123" i="1"/>
  <c r="E205" i="9" s="1"/>
  <c r="J121" i="6"/>
  <c r="L121" i="6"/>
  <c r="K121" i="6"/>
  <c r="E121" i="1"/>
  <c r="E10" i="12" s="1"/>
  <c r="E119" i="1"/>
  <c r="E46" i="12" s="1"/>
  <c r="E136" i="12"/>
  <c r="E41" i="13"/>
  <c r="E41" i="6"/>
  <c r="E229" i="9"/>
  <c r="E9" i="6"/>
  <c r="E233" i="9"/>
  <c r="E45" i="6"/>
  <c r="L127" i="6"/>
  <c r="K111" i="6"/>
  <c r="J111" i="6"/>
  <c r="L111" i="6"/>
  <c r="K105" i="6"/>
  <c r="J105" i="6"/>
  <c r="L105" i="6"/>
  <c r="K104" i="6"/>
  <c r="J104" i="6"/>
  <c r="L104" i="6"/>
  <c r="K103" i="6"/>
  <c r="L103" i="6"/>
  <c r="J103" i="6"/>
  <c r="K99" i="6"/>
  <c r="L99" i="6"/>
  <c r="J99" i="6"/>
  <c r="K91" i="6"/>
  <c r="J91" i="6"/>
  <c r="J89" i="6"/>
  <c r="J84" i="6"/>
  <c r="K81" i="6"/>
  <c r="J81" i="6"/>
  <c r="L81" i="6"/>
  <c r="K79" i="6"/>
  <c r="L79" i="6"/>
  <c r="J79" i="6"/>
  <c r="K72" i="6"/>
  <c r="J72" i="6"/>
  <c r="L72" i="6"/>
  <c r="K71" i="6"/>
  <c r="L71" i="6"/>
  <c r="J71" i="6"/>
  <c r="J69" i="6"/>
  <c r="K61" i="6"/>
  <c r="J61" i="6"/>
  <c r="L61" i="6"/>
  <c r="K59" i="6"/>
  <c r="J59" i="6"/>
  <c r="K57" i="6"/>
  <c r="L57" i="6"/>
  <c r="K55" i="6"/>
  <c r="J55" i="6"/>
  <c r="L55" i="6"/>
  <c r="L54" i="6"/>
  <c r="J54" i="6"/>
  <c r="K54" i="6"/>
  <c r="K52" i="6"/>
  <c r="J52" i="6"/>
  <c r="G64" i="14"/>
  <c r="L50" i="6"/>
  <c r="K47" i="6"/>
  <c r="L47" i="6"/>
  <c r="L52" i="6"/>
  <c r="K36" i="6"/>
  <c r="J36" i="6"/>
  <c r="L36" i="6"/>
  <c r="K31" i="6"/>
  <c r="L31" i="6"/>
  <c r="J31" i="6"/>
  <c r="K28" i="6"/>
  <c r="J28" i="6"/>
  <c r="L28" i="6"/>
  <c r="D37" i="14"/>
  <c r="D41" i="14"/>
  <c r="H42" i="14"/>
  <c r="D38" i="14"/>
  <c r="D39" i="14"/>
  <c r="C39" i="14"/>
  <c r="C12" i="14"/>
  <c r="L4" i="6"/>
  <c r="K4" i="6"/>
  <c r="F42" i="14"/>
  <c r="D40" i="14"/>
  <c r="F11" i="14"/>
  <c r="K3" i="6"/>
  <c r="D42" i="14"/>
  <c r="H14" i="14"/>
  <c r="C14" i="14"/>
  <c r="K8" i="6"/>
  <c r="C63" i="14"/>
  <c r="C41" i="14"/>
  <c r="C13" i="14"/>
  <c r="F13" i="14"/>
  <c r="H67" i="14"/>
  <c r="H66" i="14"/>
  <c r="K6" i="6"/>
  <c r="J6" i="6"/>
  <c r="C29" i="4" s="1"/>
  <c r="A28" i="18" l="1"/>
  <c r="H238" i="9"/>
  <c r="H248" i="9"/>
  <c r="L184" i="9"/>
  <c r="H291" i="7"/>
  <c r="H31" i="7"/>
  <c r="J78" i="6"/>
  <c r="K84" i="6"/>
  <c r="A34" i="19"/>
  <c r="H12" i="14"/>
  <c r="B262" i="9"/>
  <c r="J47" i="6"/>
  <c r="K50" i="6"/>
  <c r="J50" i="6"/>
  <c r="H184" i="9"/>
  <c r="B296" i="9"/>
  <c r="H292" i="9"/>
  <c r="H277" i="9"/>
  <c r="H8" i="9"/>
  <c r="H185" i="9"/>
  <c r="L227" i="9"/>
  <c r="H68" i="14"/>
  <c r="H118" i="9"/>
  <c r="H134" i="9"/>
  <c r="H159" i="9"/>
  <c r="H295" i="7"/>
  <c r="H289" i="7"/>
  <c r="B120" i="7"/>
  <c r="B35" i="7"/>
  <c r="H72" i="7"/>
  <c r="H52" i="7"/>
  <c r="L59" i="6"/>
  <c r="L69" i="6"/>
  <c r="L287" i="9"/>
  <c r="L246" i="9"/>
  <c r="L249" i="9"/>
  <c r="H16" i="9"/>
  <c r="H22" i="9"/>
  <c r="H30" i="9"/>
  <c r="H54" i="9"/>
  <c r="H62" i="9"/>
  <c r="H94" i="9"/>
  <c r="L195" i="9"/>
  <c r="L196" i="9"/>
  <c r="H160" i="9"/>
  <c r="A34" i="30"/>
  <c r="H41" i="7"/>
  <c r="H74" i="7"/>
  <c r="H69" i="7"/>
  <c r="B69" i="7"/>
  <c r="H32" i="7"/>
  <c r="J4" i="6"/>
  <c r="C27" i="4" s="1"/>
  <c r="J32" i="6"/>
  <c r="L7" i="6"/>
  <c r="L78" i="6"/>
  <c r="H58" i="9"/>
  <c r="H213" i="9"/>
  <c r="H247" i="9"/>
  <c r="L9" i="9"/>
  <c r="H167" i="9"/>
  <c r="H297" i="9"/>
  <c r="L118" i="9"/>
  <c r="B110" i="9"/>
  <c r="B70" i="9"/>
  <c r="H66" i="9"/>
  <c r="H34" i="9"/>
  <c r="B20" i="9"/>
  <c r="B201" i="9"/>
  <c r="B228" i="9"/>
  <c r="D66" i="14"/>
  <c r="H217" i="9"/>
  <c r="B198" i="9"/>
  <c r="H227" i="9"/>
  <c r="H235" i="9"/>
  <c r="H210" i="9"/>
  <c r="H164" i="9"/>
  <c r="L94" i="9"/>
  <c r="L16" i="9"/>
  <c r="H26" i="9"/>
  <c r="B292" i="9"/>
  <c r="B185" i="9"/>
  <c r="L224" i="9"/>
  <c r="H9" i="9"/>
  <c r="H146" i="9"/>
  <c r="H142" i="9"/>
  <c r="L134" i="9"/>
  <c r="L62" i="9"/>
  <c r="L30" i="9"/>
  <c r="B12" i="9"/>
  <c r="H176" i="9"/>
  <c r="B161" i="9"/>
  <c r="H190" i="9"/>
  <c r="H220" i="9"/>
  <c r="H187" i="9"/>
  <c r="B8" i="9"/>
  <c r="A21" i="29" s="1"/>
  <c r="B277" i="9"/>
  <c r="B181" i="9"/>
  <c r="H6" i="9"/>
  <c r="J102" i="6"/>
  <c r="E6" i="13"/>
  <c r="G41" i="14"/>
  <c r="A34" i="20"/>
  <c r="H154" i="9"/>
  <c r="H150" i="9"/>
  <c r="L142" i="9"/>
  <c r="B134" i="9"/>
  <c r="H130" i="9"/>
  <c r="H126" i="9"/>
  <c r="B118" i="9"/>
  <c r="H106" i="9"/>
  <c r="H102" i="9"/>
  <c r="B94" i="9"/>
  <c r="H90" i="9"/>
  <c r="H86" i="9"/>
  <c r="L78" i="9"/>
  <c r="B62" i="9"/>
  <c r="B54" i="9"/>
  <c r="H46" i="9"/>
  <c r="H38" i="9"/>
  <c r="B30" i="9"/>
  <c r="B22" i="9"/>
  <c r="H18" i="9"/>
  <c r="B16" i="9"/>
  <c r="H301" i="9"/>
  <c r="H200" i="9"/>
  <c r="H229" i="9"/>
  <c r="B164" i="9"/>
  <c r="H169" i="9"/>
  <c r="B227" i="9"/>
  <c r="H234" i="9"/>
  <c r="H215" i="9"/>
  <c r="H230" i="9"/>
  <c r="H214" i="9"/>
  <c r="H239" i="9"/>
  <c r="L3" i="9"/>
  <c r="E34" i="4" s="1"/>
  <c r="H175" i="9"/>
  <c r="H192" i="9"/>
  <c r="L150" i="9"/>
  <c r="L126" i="9"/>
  <c r="H114" i="9"/>
  <c r="H110" i="9"/>
  <c r="L102" i="9"/>
  <c r="L86" i="9"/>
  <c r="H74" i="9"/>
  <c r="H70" i="9"/>
  <c r="H50" i="9"/>
  <c r="L46" i="9"/>
  <c r="H42" i="9"/>
  <c r="L38" i="9"/>
  <c r="H12" i="9"/>
  <c r="H249" i="9"/>
  <c r="H246" i="9"/>
  <c r="H240" i="9"/>
  <c r="H265" i="9"/>
  <c r="H282" i="9"/>
  <c r="H290" i="9"/>
  <c r="L229" i="9"/>
  <c r="H218" i="9"/>
  <c r="H5" i="9"/>
  <c r="B291" i="9"/>
  <c r="H161" i="9"/>
  <c r="H196" i="9"/>
  <c r="H3" i="9"/>
  <c r="L276" i="9"/>
  <c r="B287" i="9"/>
  <c r="L207" i="9"/>
  <c r="L192" i="9"/>
  <c r="H138" i="9"/>
  <c r="H122" i="9"/>
  <c r="H98" i="9"/>
  <c r="H231" i="9"/>
  <c r="H276" i="9"/>
  <c r="D64" i="14"/>
  <c r="K102" i="6"/>
  <c r="F40" i="14"/>
  <c r="H13" i="14"/>
  <c r="D65" i="14"/>
  <c r="J8" i="6"/>
  <c r="C31" i="4" s="1"/>
  <c r="K69" i="6"/>
  <c r="K89" i="6"/>
  <c r="L129" i="6"/>
  <c r="J33" i="6"/>
  <c r="K261" i="6"/>
  <c r="J253" i="6"/>
  <c r="K229" i="6"/>
  <c r="J221" i="6"/>
  <c r="K197" i="6"/>
  <c r="K149" i="6"/>
  <c r="J150" i="6"/>
  <c r="J146" i="6"/>
  <c r="K138" i="6"/>
  <c r="J130" i="6"/>
  <c r="J149" i="6"/>
  <c r="K115" i="6"/>
  <c r="K58" i="6"/>
  <c r="L9" i="6"/>
  <c r="K33" i="6"/>
  <c r="J205" i="6"/>
  <c r="J165" i="6"/>
  <c r="F41" i="14"/>
  <c r="H41" i="14"/>
  <c r="C40" i="14"/>
  <c r="A34" i="26"/>
  <c r="F10" i="14"/>
  <c r="D10" i="14"/>
  <c r="A28" i="20"/>
  <c r="F14" i="14"/>
  <c r="C11" i="14"/>
  <c r="H266" i="9"/>
  <c r="G65" i="14"/>
  <c r="B191" i="9"/>
  <c r="D67" i="14"/>
  <c r="H65" i="14"/>
  <c r="L3" i="6"/>
  <c r="L34" i="6"/>
  <c r="J68" i="6"/>
  <c r="K9" i="6"/>
  <c r="G42" i="14"/>
  <c r="L84" i="6"/>
  <c r="H110" i="6"/>
  <c r="H293" i="7"/>
  <c r="B15" i="7"/>
  <c r="B40" i="7"/>
  <c r="H47" i="7"/>
  <c r="B45" i="7"/>
  <c r="H21" i="7"/>
  <c r="H50" i="7"/>
  <c r="H44" i="7"/>
  <c r="H126" i="7"/>
  <c r="H48" i="7"/>
  <c r="H43" i="7"/>
  <c r="E18" i="7"/>
  <c r="H98" i="7"/>
  <c r="E116" i="7"/>
  <c r="B131" i="7"/>
  <c r="E73" i="7"/>
  <c r="E128" i="13"/>
  <c r="F39" i="14"/>
  <c r="H256" i="9"/>
  <c r="C42" i="14"/>
  <c r="A34" i="27"/>
  <c r="A34" i="25"/>
  <c r="A34" i="24"/>
  <c r="A34" i="17"/>
  <c r="A28" i="17"/>
  <c r="H287" i="7"/>
  <c r="H299" i="7"/>
  <c r="H301" i="7"/>
  <c r="B104" i="7"/>
  <c r="B99" i="7"/>
  <c r="H40" i="7"/>
  <c r="B12" i="7"/>
  <c r="H58" i="7"/>
  <c r="B47" i="7"/>
  <c r="H35" i="7"/>
  <c r="B52" i="7"/>
  <c r="H87" i="7"/>
  <c r="H115" i="7"/>
  <c r="B49" i="7"/>
  <c r="B8" i="7"/>
  <c r="F27" i="4" s="1"/>
  <c r="H65" i="7"/>
  <c r="B123" i="7"/>
  <c r="B85" i="7"/>
  <c r="B111" i="7"/>
  <c r="K34" i="6"/>
  <c r="J75" i="6"/>
  <c r="J181" i="6"/>
  <c r="K130" i="6"/>
  <c r="L75" i="6"/>
  <c r="H37" i="14"/>
  <c r="L292" i="9"/>
  <c r="L277" i="9"/>
  <c r="G38" i="14"/>
  <c r="C37" i="14"/>
  <c r="G10" i="14"/>
  <c r="E9" i="14"/>
  <c r="B34" i="4"/>
  <c r="A21" i="34"/>
  <c r="L261" i="9"/>
  <c r="L274" i="9"/>
  <c r="B281" i="9"/>
  <c r="H205" i="9"/>
  <c r="L6" i="9"/>
  <c r="A28" i="31" s="1"/>
  <c r="L200" i="9"/>
  <c r="L174" i="9"/>
  <c r="L247" i="9"/>
  <c r="H91" i="7"/>
  <c r="E205" i="7"/>
  <c r="J37" i="6"/>
  <c r="K37" i="6"/>
  <c r="L37" i="6"/>
  <c r="H40" i="14"/>
  <c r="G39" i="14"/>
  <c r="H38" i="14"/>
  <c r="B267" i="9"/>
  <c r="L242" i="9"/>
  <c r="H7" i="9"/>
  <c r="H268" i="9"/>
  <c r="H257" i="9"/>
  <c r="B225" i="9"/>
  <c r="H209" i="9"/>
  <c r="B286" i="9"/>
  <c r="L216" i="9"/>
  <c r="B266" i="9"/>
  <c r="B295" i="9"/>
  <c r="H4" i="9"/>
  <c r="L173" i="6"/>
  <c r="J173" i="6"/>
  <c r="K173" i="6"/>
  <c r="C38" i="14"/>
  <c r="G40" i="14"/>
  <c r="L257" i="9"/>
  <c r="L296" i="9"/>
  <c r="E301" i="7"/>
  <c r="J204" i="6"/>
  <c r="L204" i="6"/>
  <c r="K204" i="6"/>
  <c r="J3" i="6"/>
  <c r="C26" i="4" s="1"/>
  <c r="H297" i="6"/>
  <c r="E8" i="12"/>
  <c r="E10" i="14" s="1"/>
  <c r="E7" i="6"/>
  <c r="E174" i="9"/>
  <c r="L256" i="9"/>
  <c r="L291" i="9"/>
  <c r="L5" i="9"/>
  <c r="L194" i="9"/>
  <c r="L190" i="9"/>
  <c r="L290" i="9"/>
  <c r="E257" i="7"/>
  <c r="H66" i="7"/>
  <c r="E289" i="7"/>
  <c r="E173" i="7"/>
  <c r="H242" i="9"/>
  <c r="B241" i="9"/>
  <c r="L286" i="9"/>
  <c r="H283" i="9"/>
  <c r="H63" i="14"/>
  <c r="L271" i="9"/>
  <c r="L253" i="9"/>
  <c r="L251" i="9"/>
  <c r="L223" i="9"/>
  <c r="L221" i="9"/>
  <c r="L191" i="9"/>
  <c r="L178" i="9"/>
  <c r="L211" i="9"/>
  <c r="L175" i="9"/>
  <c r="L244" i="9"/>
  <c r="L187" i="9"/>
  <c r="H274" i="9"/>
  <c r="L204" i="9"/>
  <c r="L285" i="9"/>
  <c r="F30" i="4"/>
  <c r="E269" i="7"/>
  <c r="E225" i="7"/>
  <c r="H55" i="7"/>
  <c r="H42" i="7"/>
  <c r="E237" i="7"/>
  <c r="E149" i="7"/>
  <c r="K101" i="6"/>
  <c r="J101" i="6"/>
  <c r="L73" i="6"/>
  <c r="K73" i="6"/>
  <c r="J73" i="6"/>
  <c r="J10" i="6"/>
  <c r="L10" i="6"/>
  <c r="K10" i="6"/>
  <c r="J26" i="6"/>
  <c r="L26" i="6"/>
  <c r="K26" i="6"/>
  <c r="K14" i="6"/>
  <c r="L14" i="6"/>
  <c r="J14" i="6"/>
  <c r="J174" i="6"/>
  <c r="L174" i="6"/>
  <c r="K174" i="6"/>
  <c r="K128" i="6"/>
  <c r="L128" i="6"/>
  <c r="J128" i="6"/>
  <c r="K60" i="6"/>
  <c r="J60" i="6"/>
  <c r="L60" i="6"/>
  <c r="L27" i="6"/>
  <c r="J27" i="6"/>
  <c r="K27" i="6"/>
  <c r="L93" i="6"/>
  <c r="K93" i="6"/>
  <c r="J93" i="6"/>
  <c r="J126" i="6"/>
  <c r="K126" i="6"/>
  <c r="L126" i="6"/>
  <c r="J192" i="6"/>
  <c r="L192" i="6"/>
  <c r="K192" i="6"/>
  <c r="F38" i="14"/>
  <c r="G11" i="14"/>
  <c r="L250" i="9"/>
  <c r="L220" i="9"/>
  <c r="H254" i="9"/>
  <c r="B278" i="9"/>
  <c r="L283" i="9"/>
  <c r="H275" i="9"/>
  <c r="L203" i="9"/>
  <c r="L198" i="9"/>
  <c r="L215" i="9"/>
  <c r="L180" i="9"/>
  <c r="L230" i="9"/>
  <c r="B63" i="14"/>
  <c r="H298" i="9"/>
  <c r="H278" i="9"/>
  <c r="L300" i="9"/>
  <c r="C65" i="14"/>
  <c r="L214" i="9"/>
  <c r="L239" i="9"/>
  <c r="L8" i="9"/>
  <c r="A28" i="29" s="1"/>
  <c r="L259" i="9"/>
  <c r="L265" i="9"/>
  <c r="L270" i="9"/>
  <c r="L282" i="9"/>
  <c r="L263" i="9"/>
  <c r="L267" i="9"/>
  <c r="L7" i="9"/>
  <c r="L225" i="9"/>
  <c r="L233" i="9"/>
  <c r="L293" i="9"/>
  <c r="L231" i="9"/>
  <c r="L297" i="9"/>
  <c r="L280" i="9"/>
  <c r="L284" i="9"/>
  <c r="B65" i="14"/>
  <c r="L245" i="9"/>
  <c r="L182" i="9"/>
  <c r="L186" i="9"/>
  <c r="L188" i="9"/>
  <c r="L189" i="9"/>
  <c r="L234" i="9"/>
  <c r="C64" i="14"/>
  <c r="H103" i="7"/>
  <c r="B241" i="7"/>
  <c r="B193" i="7"/>
  <c r="B181" i="7"/>
  <c r="H53" i="7"/>
  <c r="H29" i="7"/>
  <c r="F26" i="4"/>
  <c r="H15" i="7"/>
  <c r="B273" i="7"/>
  <c r="B209" i="7"/>
  <c r="B145" i="7"/>
  <c r="J240" i="6"/>
  <c r="L240" i="6"/>
  <c r="K240" i="6"/>
  <c r="L272" i="6"/>
  <c r="K272" i="6"/>
  <c r="J272" i="6"/>
  <c r="K167" i="6"/>
  <c r="J167" i="6"/>
  <c r="L167" i="6"/>
  <c r="J178" i="6"/>
  <c r="L178" i="6"/>
  <c r="K178" i="6"/>
  <c r="K123" i="6"/>
  <c r="L123" i="6"/>
  <c r="J123" i="6"/>
  <c r="L157" i="6"/>
  <c r="K157" i="6"/>
  <c r="J157" i="6"/>
  <c r="E114" i="6"/>
  <c r="E59" i="13"/>
  <c r="E135" i="6"/>
  <c r="E255" i="9"/>
  <c r="E86" i="6"/>
  <c r="L279" i="9"/>
  <c r="E100" i="13"/>
  <c r="E110" i="6"/>
  <c r="E275" i="9"/>
  <c r="E108" i="6"/>
  <c r="E5" i="9"/>
  <c r="H65" i="6"/>
  <c r="H87" i="6"/>
  <c r="K87" i="6" s="1"/>
  <c r="C68" i="14"/>
  <c r="L222" i="9"/>
  <c r="H113" i="6"/>
  <c r="J113" i="6" s="1"/>
  <c r="D13" i="14"/>
  <c r="G12" i="14"/>
  <c r="A21" i="30"/>
  <c r="B67" i="14"/>
  <c r="L235" i="9"/>
  <c r="L212" i="9"/>
  <c r="E68" i="14"/>
  <c r="L202" i="9"/>
  <c r="L193" i="9"/>
  <c r="L255" i="9"/>
  <c r="L252" i="9"/>
  <c r="H179" i="9"/>
  <c r="B178" i="9"/>
  <c r="B255" i="9"/>
  <c r="L275" i="9"/>
  <c r="B283" i="9"/>
  <c r="L258" i="9"/>
  <c r="L262" i="9"/>
  <c r="H271" i="9"/>
  <c r="L213" i="9"/>
  <c r="L226" i="9"/>
  <c r="L181" i="9"/>
  <c r="L269" i="9"/>
  <c r="L240" i="9"/>
  <c r="L179" i="9"/>
  <c r="H245" i="9"/>
  <c r="L254" i="9"/>
  <c r="H255" i="9"/>
  <c r="B275" i="9"/>
  <c r="B288" i="9"/>
  <c r="L260" i="9"/>
  <c r="L273" i="9"/>
  <c r="L4" i="9"/>
  <c r="L218" i="9"/>
  <c r="L183" i="9"/>
  <c r="L241" i="9"/>
  <c r="L295" i="9"/>
  <c r="L205" i="9"/>
  <c r="L219" i="9"/>
  <c r="L232" i="9"/>
  <c r="L302" i="9"/>
  <c r="L281" i="9"/>
  <c r="L298" i="9"/>
  <c r="L248" i="9"/>
  <c r="L238" i="9"/>
  <c r="L210" i="9"/>
  <c r="L208" i="9"/>
  <c r="L217" i="9"/>
  <c r="L264" i="9"/>
  <c r="L288" i="9"/>
  <c r="L209" i="9"/>
  <c r="L237" i="9"/>
  <c r="H60" i="7"/>
  <c r="H38" i="7"/>
  <c r="H30" i="7"/>
  <c r="H76" i="7"/>
  <c r="H68" i="7"/>
  <c r="H62" i="7"/>
  <c r="H63" i="7"/>
  <c r="H57" i="7"/>
  <c r="H39" i="7"/>
  <c r="H102" i="7"/>
  <c r="H61" i="7"/>
  <c r="H36" i="7"/>
  <c r="H17" i="7"/>
  <c r="H23" i="7"/>
  <c r="E64" i="7"/>
  <c r="H33" i="7"/>
  <c r="H135" i="7"/>
  <c r="H25" i="7"/>
  <c r="H13" i="7"/>
  <c r="E41" i="7"/>
  <c r="H18" i="7"/>
  <c r="E98" i="7"/>
  <c r="E107" i="7"/>
  <c r="B197" i="7"/>
  <c r="E177" i="7"/>
  <c r="E161" i="7"/>
  <c r="H7" i="7"/>
  <c r="E22" i="7"/>
  <c r="E32" i="7"/>
  <c r="E123" i="7"/>
  <c r="E285" i="7"/>
  <c r="E253" i="7"/>
  <c r="E221" i="7"/>
  <c r="E189" i="7"/>
  <c r="E141" i="7"/>
  <c r="L118" i="6"/>
  <c r="J118" i="6"/>
  <c r="K118" i="6"/>
  <c r="K176" i="6"/>
  <c r="J176" i="6"/>
  <c r="L176" i="6"/>
  <c r="K248" i="6"/>
  <c r="J248" i="6"/>
  <c r="L248" i="6"/>
  <c r="K264" i="6"/>
  <c r="J264" i="6"/>
  <c r="L264" i="6"/>
  <c r="L295" i="6"/>
  <c r="K295" i="6"/>
  <c r="J295" i="6"/>
  <c r="L44" i="6"/>
  <c r="K44" i="6"/>
  <c r="J44" i="6"/>
  <c r="K67" i="6"/>
  <c r="L67" i="6"/>
  <c r="J67" i="6"/>
  <c r="K96" i="6"/>
  <c r="J96" i="6"/>
  <c r="L96" i="6"/>
  <c r="L41" i="6"/>
  <c r="K41" i="6"/>
  <c r="J41" i="6"/>
  <c r="L136" i="6"/>
  <c r="K136" i="6"/>
  <c r="J136" i="6"/>
  <c r="L183" i="6"/>
  <c r="K183" i="6"/>
  <c r="J183" i="6"/>
  <c r="J140" i="6"/>
  <c r="L140" i="6"/>
  <c r="K140" i="6"/>
  <c r="K216" i="6"/>
  <c r="J216" i="6"/>
  <c r="L216" i="6"/>
  <c r="K224" i="6"/>
  <c r="J224" i="6"/>
  <c r="L224" i="6"/>
  <c r="K280" i="6"/>
  <c r="J280" i="6"/>
  <c r="L280" i="6"/>
  <c r="K95" i="6"/>
  <c r="L95" i="6"/>
  <c r="J95" i="6"/>
  <c r="L141" i="6"/>
  <c r="J141" i="6"/>
  <c r="K141" i="6"/>
  <c r="L151" i="6"/>
  <c r="K151" i="6"/>
  <c r="J151" i="6"/>
  <c r="L189" i="6"/>
  <c r="J189" i="6"/>
  <c r="K189" i="6"/>
  <c r="J158" i="6"/>
  <c r="L158" i="6"/>
  <c r="K158" i="6"/>
  <c r="K200" i="6"/>
  <c r="J200" i="6"/>
  <c r="L200" i="6"/>
  <c r="K256" i="6"/>
  <c r="J256" i="6"/>
  <c r="L256" i="6"/>
  <c r="K288" i="6"/>
  <c r="J288" i="6"/>
  <c r="L288" i="6"/>
  <c r="J294" i="6"/>
  <c r="L294" i="6"/>
  <c r="K294" i="6"/>
  <c r="J300" i="6"/>
  <c r="L300" i="6"/>
  <c r="K300" i="6"/>
  <c r="L63" i="6"/>
  <c r="K160" i="6"/>
  <c r="J160" i="6"/>
  <c r="L160" i="6"/>
  <c r="K184" i="6"/>
  <c r="J184" i="6"/>
  <c r="L184" i="6"/>
  <c r="K208" i="6"/>
  <c r="J208" i="6"/>
  <c r="L208" i="6"/>
  <c r="K210" i="6"/>
  <c r="J210" i="6"/>
  <c r="L210" i="6"/>
  <c r="K232" i="6"/>
  <c r="J232" i="6"/>
  <c r="L232" i="6"/>
  <c r="J107" i="6"/>
  <c r="L107" i="6"/>
  <c r="K107" i="6"/>
  <c r="L83" i="6"/>
  <c r="K83" i="6"/>
  <c r="J83" i="6"/>
  <c r="J77" i="6"/>
  <c r="L77" i="6"/>
  <c r="K77" i="6"/>
  <c r="J76" i="6"/>
  <c r="K76" i="6"/>
  <c r="L76" i="6"/>
  <c r="J46" i="6"/>
  <c r="L46" i="6"/>
  <c r="K46" i="6"/>
  <c r="K22" i="6"/>
  <c r="J22" i="6"/>
  <c r="L22" i="6"/>
  <c r="J74" i="6"/>
  <c r="K74" i="6"/>
  <c r="L74" i="6"/>
  <c r="L106" i="6"/>
  <c r="J106" i="6"/>
  <c r="K106" i="6"/>
  <c r="J88" i="6"/>
  <c r="L88" i="6"/>
  <c r="K88" i="6"/>
  <c r="L117" i="6"/>
  <c r="J117" i="6"/>
  <c r="K117" i="6"/>
  <c r="L125" i="6"/>
  <c r="K125" i="6"/>
  <c r="J125" i="6"/>
  <c r="J51" i="6"/>
  <c r="L51" i="6"/>
  <c r="K51" i="6"/>
  <c r="J64" i="6"/>
  <c r="L64" i="6"/>
  <c r="K45" i="6"/>
  <c r="L45" i="6"/>
  <c r="J45" i="6"/>
  <c r="K108" i="6"/>
  <c r="J108" i="6"/>
  <c r="L108" i="6"/>
  <c r="J80" i="6"/>
  <c r="L80" i="6"/>
  <c r="K80" i="6"/>
  <c r="K82" i="6"/>
  <c r="L82" i="6"/>
  <c r="J82" i="6"/>
  <c r="L122" i="6"/>
  <c r="K122" i="6"/>
  <c r="J122" i="6"/>
  <c r="L48" i="6"/>
  <c r="K48" i="6"/>
  <c r="J48" i="6"/>
  <c r="K97" i="6"/>
  <c r="L97" i="6"/>
  <c r="J97" i="6"/>
  <c r="A28" i="34"/>
  <c r="J120" i="6"/>
  <c r="L120" i="6"/>
  <c r="K120" i="6"/>
  <c r="L90" i="6"/>
  <c r="J90" i="6"/>
  <c r="K90" i="6"/>
  <c r="L114" i="6"/>
  <c r="J114" i="6"/>
  <c r="K114" i="6"/>
  <c r="L87" i="6"/>
  <c r="K53" i="6"/>
  <c r="J53" i="6"/>
  <c r="L53" i="6"/>
  <c r="J98" i="6"/>
  <c r="K98" i="6"/>
  <c r="L98" i="6"/>
  <c r="J39" i="6"/>
  <c r="K39" i="6"/>
  <c r="L39" i="6"/>
  <c r="K30" i="6"/>
  <c r="L30" i="6"/>
  <c r="J30" i="6"/>
  <c r="J131" i="6"/>
  <c r="K131" i="6"/>
  <c r="L131" i="6"/>
  <c r="E42" i="12"/>
  <c r="E80" i="12"/>
  <c r="E110" i="13"/>
  <c r="E117" i="6"/>
  <c r="E87" i="12"/>
  <c r="E76" i="13"/>
  <c r="E111" i="12"/>
  <c r="E134" i="13"/>
  <c r="E109" i="12"/>
  <c r="E7" i="13"/>
  <c r="E103" i="12"/>
  <c r="E211" i="9"/>
  <c r="E289" i="9"/>
  <c r="A21" i="32"/>
  <c r="E130" i="13"/>
  <c r="E272" i="9"/>
  <c r="B273" i="9"/>
  <c r="H258" i="9"/>
  <c r="E27" i="6"/>
  <c r="E129" i="6"/>
  <c r="E53" i="6"/>
  <c r="E79" i="13"/>
  <c r="E116" i="6"/>
  <c r="E5" i="13"/>
  <c r="E85" i="6"/>
  <c r="E68" i="13"/>
  <c r="H85" i="7"/>
  <c r="E70" i="7"/>
  <c r="E4" i="7"/>
  <c r="E132" i="7"/>
  <c r="E9" i="7"/>
  <c r="E94" i="7"/>
  <c r="E134" i="7"/>
  <c r="E122" i="7"/>
  <c r="E10" i="7"/>
  <c r="E124" i="7"/>
  <c r="E78" i="7"/>
  <c r="E136" i="7"/>
  <c r="E127" i="7"/>
  <c r="E129" i="7"/>
  <c r="E97" i="7"/>
  <c r="E81" i="7"/>
  <c r="E101" i="12"/>
  <c r="E111" i="7"/>
  <c r="H109" i="7"/>
  <c r="E125" i="7"/>
  <c r="H113" i="7"/>
  <c r="H133" i="7"/>
  <c r="L101" i="6"/>
  <c r="E79" i="6"/>
  <c r="E83" i="12"/>
  <c r="E256" i="9"/>
  <c r="E94" i="12"/>
  <c r="E262" i="9"/>
  <c r="E267" i="9"/>
  <c r="E131" i="13"/>
  <c r="E40" i="12"/>
  <c r="E99" i="12"/>
  <c r="H273" i="9"/>
  <c r="H260" i="9"/>
  <c r="E257" i="9"/>
  <c r="E276" i="9"/>
  <c r="E93" i="12"/>
  <c r="E48" i="12"/>
  <c r="E58" i="12"/>
  <c r="E44" i="12"/>
  <c r="E19" i="7"/>
  <c r="H19" i="7"/>
  <c r="E104" i="7"/>
  <c r="H104" i="7"/>
  <c r="L301" i="9"/>
  <c r="E13" i="13"/>
  <c r="E79" i="12"/>
  <c r="E104" i="13"/>
  <c r="H207" i="9"/>
  <c r="L185" i="9"/>
  <c r="E26" i="7"/>
  <c r="H24" i="7"/>
  <c r="E37" i="7"/>
  <c r="H56" i="7"/>
  <c r="H20" i="7"/>
  <c r="B303" i="12"/>
  <c r="B299" i="12"/>
  <c r="B289" i="12"/>
  <c r="B280" i="12"/>
  <c r="B272" i="12"/>
  <c r="B264" i="12"/>
  <c r="B256" i="12"/>
  <c r="B248" i="12"/>
  <c r="B240" i="12"/>
  <c r="B232" i="12"/>
  <c r="B224" i="12"/>
  <c r="B216" i="12"/>
  <c r="B208" i="12"/>
  <c r="B200" i="12"/>
  <c r="B192" i="12"/>
  <c r="B184" i="12"/>
  <c r="B176" i="12"/>
  <c r="B168" i="12"/>
  <c r="B160" i="12"/>
  <c r="B152" i="12"/>
  <c r="B25" i="12"/>
  <c r="B10" i="12"/>
  <c r="C12" i="7"/>
  <c r="E11" i="7"/>
  <c r="H11" i="7"/>
  <c r="E46" i="7"/>
  <c r="H46" i="7"/>
  <c r="B302" i="12"/>
  <c r="B298" i="12"/>
  <c r="B291" i="12"/>
  <c r="B282" i="12"/>
  <c r="B274" i="12"/>
  <c r="B266" i="12"/>
  <c r="B258" i="12"/>
  <c r="B250" i="12"/>
  <c r="B242" i="12"/>
  <c r="B234" i="12"/>
  <c r="B226" i="12"/>
  <c r="B218" i="12"/>
  <c r="B210" i="12"/>
  <c r="B202" i="12"/>
  <c r="B194" i="12"/>
  <c r="B186" i="12"/>
  <c r="B178" i="12"/>
  <c r="B170" i="12"/>
  <c r="B162" i="12"/>
  <c r="B154" i="12"/>
  <c r="E145" i="1"/>
  <c r="B146" i="12"/>
  <c r="E141" i="1"/>
  <c r="B142" i="12"/>
  <c r="E137" i="1"/>
  <c r="B138" i="12"/>
  <c r="E14" i="7"/>
  <c r="H14" i="7"/>
  <c r="E136" i="1"/>
  <c r="B102" i="12"/>
  <c r="F289" i="12"/>
  <c r="E291" i="12"/>
  <c r="D291" i="12"/>
  <c r="G301" i="12"/>
  <c r="F300" i="12"/>
  <c r="E293" i="1"/>
  <c r="F294" i="12"/>
  <c r="C294" i="13"/>
  <c r="E297" i="1"/>
  <c r="C297" i="7"/>
  <c r="H297" i="7" s="1"/>
  <c r="F299" i="6"/>
  <c r="B297" i="12"/>
  <c r="E288" i="1"/>
  <c r="B286" i="12"/>
  <c r="B278" i="12"/>
  <c r="B270" i="12"/>
  <c r="B262" i="12"/>
  <c r="B254" i="12"/>
  <c r="B246" i="12"/>
  <c r="B238" i="12"/>
  <c r="B230" i="12"/>
  <c r="B222" i="12"/>
  <c r="B214" i="12"/>
  <c r="B206" i="12"/>
  <c r="B198" i="12"/>
  <c r="B190" i="12"/>
  <c r="B182" i="12"/>
  <c r="B174" i="12"/>
  <c r="B166" i="12"/>
  <c r="B158" i="12"/>
  <c r="B150" i="12"/>
  <c r="E143" i="1"/>
  <c r="B144" i="12"/>
  <c r="E139" i="1"/>
  <c r="B140" i="12"/>
  <c r="B105" i="12"/>
  <c r="B41" i="12"/>
  <c r="B23" i="12"/>
  <c r="E129" i="1"/>
  <c r="B32" i="12"/>
  <c r="B46" i="12"/>
  <c r="B33" i="12"/>
  <c r="B17" i="12"/>
  <c r="C45" i="7"/>
  <c r="E21" i="7"/>
  <c r="B74" i="7"/>
  <c r="B50" i="7"/>
  <c r="B40" i="12"/>
  <c r="B45" i="13"/>
  <c r="E87" i="7"/>
  <c r="B88" i="13"/>
  <c r="C59" i="7"/>
  <c r="B44" i="13"/>
  <c r="B44" i="12"/>
  <c r="B84" i="13"/>
  <c r="B82" i="7"/>
  <c r="B100" i="12"/>
  <c r="H116" i="7"/>
  <c r="B116" i="7"/>
  <c r="B80" i="12"/>
  <c r="C95" i="7"/>
  <c r="B89" i="13"/>
  <c r="B92" i="12"/>
  <c r="E27" i="1"/>
  <c r="C101" i="7"/>
  <c r="B108" i="7"/>
  <c r="B109" i="13"/>
  <c r="B67" i="7"/>
  <c r="B68" i="13"/>
  <c r="B105" i="7"/>
  <c r="B106" i="13"/>
  <c r="B16" i="12"/>
  <c r="B24" i="13"/>
  <c r="B72" i="12"/>
  <c r="C54" i="7"/>
  <c r="B48" i="7"/>
  <c r="B19" i="13"/>
  <c r="B90" i="12"/>
  <c r="H73" i="7"/>
  <c r="B89" i="12"/>
  <c r="C28" i="7"/>
  <c r="B27" i="12"/>
  <c r="E51" i="1"/>
  <c r="C5" i="7"/>
  <c r="B6" i="12"/>
  <c r="C49" i="7"/>
  <c r="B115" i="12"/>
  <c r="C6" i="7"/>
  <c r="B126" i="12"/>
  <c r="C75" i="7"/>
  <c r="B94" i="12"/>
  <c r="C121" i="7"/>
  <c r="B124" i="12"/>
  <c r="C8" i="7"/>
  <c r="B123" i="12"/>
  <c r="B133" i="7"/>
  <c r="B134" i="13"/>
  <c r="B111" i="12"/>
  <c r="B48" i="12"/>
  <c r="E125" i="1"/>
  <c r="E74" i="7"/>
  <c r="B53" i="13"/>
  <c r="B59" i="7"/>
  <c r="B15" i="12"/>
  <c r="C90" i="7"/>
  <c r="B116" i="12"/>
  <c r="C117" i="7"/>
  <c r="B7" i="12"/>
  <c r="E137" i="7"/>
  <c r="B74" i="12"/>
  <c r="B113" i="12"/>
  <c r="B101" i="12"/>
  <c r="B112" i="12"/>
  <c r="B104" i="12"/>
  <c r="B8" i="12"/>
  <c r="B95" i="12"/>
  <c r="B117" i="12"/>
  <c r="E110" i="7"/>
  <c r="E138" i="7"/>
  <c r="B5" i="12"/>
  <c r="B85" i="12"/>
  <c r="B120" i="12"/>
  <c r="C119" i="6"/>
  <c r="H119" i="6" s="1"/>
  <c r="B51" i="12"/>
  <c r="B87" i="12"/>
  <c r="B98" i="12"/>
  <c r="B118" i="12"/>
  <c r="B121" i="12"/>
  <c r="B101" i="7"/>
  <c r="B66" i="12"/>
  <c r="B73" i="12"/>
  <c r="B96" i="7"/>
  <c r="B93" i="7"/>
  <c r="B92" i="7"/>
  <c r="B103" i="7"/>
  <c r="B112" i="13"/>
  <c r="B112" i="7"/>
  <c r="B101" i="13"/>
  <c r="B114" i="12"/>
  <c r="B297" i="7"/>
  <c r="E293" i="7"/>
  <c r="B281" i="7"/>
  <c r="E277" i="7"/>
  <c r="B265" i="7"/>
  <c r="E261" i="7"/>
  <c r="B249" i="7"/>
  <c r="E245" i="7"/>
  <c r="B233" i="7"/>
  <c r="E229" i="7"/>
  <c r="B217" i="7"/>
  <c r="E213" i="7"/>
  <c r="B201" i="7"/>
  <c r="B185" i="7"/>
  <c r="B169" i="7"/>
  <c r="B165" i="7"/>
  <c r="E157" i="7"/>
  <c r="B153" i="7"/>
  <c r="J177" i="9"/>
  <c r="L177" i="9" s="1"/>
  <c r="J176" i="9"/>
  <c r="L176" i="9" s="1"/>
  <c r="C67" i="14"/>
  <c r="C66" i="14"/>
  <c r="B68" i="14" l="1"/>
  <c r="E63" i="14"/>
  <c r="I63" i="14" s="1"/>
  <c r="F31" i="4"/>
  <c r="J62" i="6"/>
  <c r="K65" i="6"/>
  <c r="J65" i="6"/>
  <c r="L65" i="6"/>
  <c r="J87" i="6"/>
  <c r="B14" i="14"/>
  <c r="A21" i="21"/>
  <c r="E12" i="14"/>
  <c r="K64" i="6"/>
  <c r="E66" i="14"/>
  <c r="L113" i="6"/>
  <c r="K63" i="6"/>
  <c r="K113" i="6"/>
  <c r="B13" i="14"/>
  <c r="A21" i="20"/>
  <c r="E11" i="14"/>
  <c r="F29" i="4"/>
  <c r="K85" i="6"/>
  <c r="J86" i="6"/>
  <c r="K86" i="6"/>
  <c r="L86" i="6"/>
  <c r="L110" i="6"/>
  <c r="J110" i="6"/>
  <c r="K110" i="6"/>
  <c r="J63" i="6"/>
  <c r="L85" i="6"/>
  <c r="K109" i="6"/>
  <c r="J109" i="6"/>
  <c r="L109" i="6"/>
  <c r="F28" i="4"/>
  <c r="B12" i="14"/>
  <c r="A21" i="19"/>
  <c r="L297" i="6"/>
  <c r="K297" i="6"/>
  <c r="J297" i="6"/>
  <c r="J85" i="6"/>
  <c r="K62" i="6"/>
  <c r="E39" i="14"/>
  <c r="A28" i="24"/>
  <c r="A28" i="22"/>
  <c r="E37" i="14"/>
  <c r="L62" i="6"/>
  <c r="J112" i="6"/>
  <c r="K112" i="6"/>
  <c r="L112" i="6"/>
  <c r="B9" i="14"/>
  <c r="A21" i="16"/>
  <c r="A21" i="18"/>
  <c r="B11" i="14"/>
  <c r="E67" i="14"/>
  <c r="A28" i="30"/>
  <c r="A21" i="31"/>
  <c r="B66" i="14"/>
  <c r="E101" i="7"/>
  <c r="H101" i="7"/>
  <c r="H95" i="7"/>
  <c r="E95" i="7"/>
  <c r="E159" i="9"/>
  <c r="E289" i="13"/>
  <c r="E289" i="12"/>
  <c r="E288" i="6"/>
  <c r="B10" i="14"/>
  <c r="A21" i="17"/>
  <c r="H90" i="7"/>
  <c r="E90" i="7"/>
  <c r="E28" i="7"/>
  <c r="H28" i="7"/>
  <c r="E12" i="9"/>
  <c r="E142" i="13"/>
  <c r="E141" i="6"/>
  <c r="E142" i="12"/>
  <c r="E14" i="9"/>
  <c r="E144" i="13"/>
  <c r="E143" i="6"/>
  <c r="E144" i="12"/>
  <c r="E298" i="13"/>
  <c r="E168" i="9"/>
  <c r="E297" i="6"/>
  <c r="E298" i="12"/>
  <c r="E15" i="13"/>
  <c r="E217" i="9"/>
  <c r="E12" i="6"/>
  <c r="E13" i="12"/>
  <c r="E121" i="7"/>
  <c r="H121" i="7"/>
  <c r="E6" i="7"/>
  <c r="H6" i="7"/>
  <c r="E5" i="7"/>
  <c r="H5" i="7"/>
  <c r="E102" i="13"/>
  <c r="E92" i="12"/>
  <c r="E91" i="6"/>
  <c r="E273" i="9"/>
  <c r="E59" i="7"/>
  <c r="H59" i="7"/>
  <c r="E45" i="7"/>
  <c r="H45" i="7"/>
  <c r="A28" i="33"/>
  <c r="E64" i="14"/>
  <c r="L119" i="6"/>
  <c r="K119" i="6"/>
  <c r="J119" i="6"/>
  <c r="E117" i="7"/>
  <c r="H117" i="7"/>
  <c r="E29" i="13"/>
  <c r="E26" i="6"/>
  <c r="E254" i="9"/>
  <c r="E27" i="12"/>
  <c r="H54" i="7"/>
  <c r="E54" i="7"/>
  <c r="E31" i="6"/>
  <c r="E32" i="12"/>
  <c r="E42" i="13"/>
  <c r="E200" i="9"/>
  <c r="E101" i="6"/>
  <c r="E302" i="9"/>
  <c r="E120" i="13"/>
  <c r="E102" i="12"/>
  <c r="E137" i="6"/>
  <c r="E221" i="9"/>
  <c r="E16" i="13"/>
  <c r="E146" i="13"/>
  <c r="E145" i="6"/>
  <c r="E16" i="9"/>
  <c r="E146" i="12"/>
  <c r="A28" i="32"/>
  <c r="E65" i="14"/>
  <c r="E8" i="7"/>
  <c r="H8" i="7"/>
  <c r="E75" i="7"/>
  <c r="H75" i="7"/>
  <c r="E49" i="7"/>
  <c r="H49" i="7"/>
  <c r="E139" i="6"/>
  <c r="E140" i="13"/>
  <c r="E10" i="9"/>
  <c r="E140" i="12"/>
  <c r="E294" i="12"/>
  <c r="E164" i="9"/>
  <c r="E294" i="13"/>
  <c r="E293" i="6"/>
  <c r="E12" i="7"/>
  <c r="H12" i="7"/>
  <c r="E38" i="14"/>
  <c r="A28" i="23"/>
  <c r="E42" i="14" l="1"/>
  <c r="A28" i="27"/>
  <c r="E13" i="14"/>
  <c r="E14" i="14"/>
  <c r="A28" i="26"/>
  <c r="E41" i="14"/>
  <c r="A28" i="25"/>
  <c r="E40" i="14"/>
</calcChain>
</file>

<file path=xl/comments1.xml><?xml version="1.0" encoding="utf-8"?>
<comments xmlns="http://schemas.openxmlformats.org/spreadsheetml/2006/main">
  <authors>
    <author>ziese</author>
  </authors>
  <commentList>
    <comment ref="H1" authorId="0">
      <text>
        <r>
          <rPr>
            <b/>
            <sz val="8"/>
            <color indexed="81"/>
            <rFont val="Tahoma"/>
          </rPr>
          <t>ziese:</t>
        </r>
        <r>
          <rPr>
            <sz val="8"/>
            <color indexed="81"/>
            <rFont val="Tahoma"/>
          </rPr>
          <t xml:space="preserve">
Wenn Gewicht grösser 10g
wird der wert auf Null gesetz</t>
        </r>
      </text>
    </comment>
  </commentList>
</comments>
</file>

<file path=xl/comments2.xml><?xml version="1.0" encoding="utf-8"?>
<comments xmlns="http://schemas.openxmlformats.org/spreadsheetml/2006/main">
  <authors>
    <author>ziese</author>
  </authors>
  <commentList>
    <comment ref="H1" authorId="0">
      <text>
        <r>
          <rPr>
            <b/>
            <sz val="8"/>
            <color indexed="81"/>
            <rFont val="Tahoma"/>
          </rPr>
          <t>ziese:</t>
        </r>
        <r>
          <rPr>
            <sz val="8"/>
            <color indexed="81"/>
            <rFont val="Tahoma"/>
          </rPr>
          <t xml:space="preserve">
Wenn Gewicht grösser 10g
wird der wert auf Null gesetz</t>
        </r>
      </text>
    </comment>
  </commentList>
</comments>
</file>

<file path=xl/comments3.xml><?xml version="1.0" encoding="utf-8"?>
<comments xmlns="http://schemas.openxmlformats.org/spreadsheetml/2006/main">
  <authors>
    <author>ziese</author>
  </authors>
  <commentList>
    <comment ref="H1" authorId="0">
      <text>
        <r>
          <rPr>
            <b/>
            <sz val="8"/>
            <color indexed="81"/>
            <rFont val="Tahoma"/>
          </rPr>
          <t>ziese:</t>
        </r>
        <r>
          <rPr>
            <sz val="8"/>
            <color indexed="81"/>
            <rFont val="Tahoma"/>
          </rPr>
          <t xml:space="preserve">
Wenn Gewicht grösser 10g
wird der wert auf Null gesetz</t>
        </r>
      </text>
    </comment>
  </commentList>
</comments>
</file>

<file path=xl/sharedStrings.xml><?xml version="1.0" encoding="utf-8"?>
<sst xmlns="http://schemas.openxmlformats.org/spreadsheetml/2006/main" count="1016" uniqueCount="393">
  <si>
    <t>Nr.</t>
  </si>
  <si>
    <t>dw/mLS</t>
  </si>
  <si>
    <t>documentation</t>
  </si>
  <si>
    <t>[g]</t>
  </si>
  <si>
    <t>[-]</t>
  </si>
  <si>
    <t>mLS</t>
  </si>
  <si>
    <t>deadweight</t>
  </si>
  <si>
    <t>prediction</t>
  </si>
  <si>
    <t>prüfung auf 10g</t>
  </si>
  <si>
    <t>mit</t>
  </si>
  <si>
    <t>1.Platz</t>
  </si>
  <si>
    <t>2.Platz</t>
  </si>
  <si>
    <t>3.Platz</t>
  </si>
  <si>
    <t>4.Platz</t>
  </si>
  <si>
    <t>5.Platz</t>
  </si>
  <si>
    <t>6.Platz</t>
  </si>
  <si>
    <t>Höchste Tragfähigkeit</t>
  </si>
  <si>
    <t>Beste Prognose</t>
  </si>
  <si>
    <t xml:space="preserve">  </t>
  </si>
  <si>
    <t>Eigner</t>
  </si>
  <si>
    <t>Organisation</t>
  </si>
  <si>
    <t>Beruf</t>
  </si>
  <si>
    <t>Strasse</t>
  </si>
  <si>
    <t>PLZ</t>
  </si>
  <si>
    <t>Ort</t>
  </si>
  <si>
    <t>Telefon</t>
  </si>
  <si>
    <t>Email</t>
  </si>
  <si>
    <t>SchiffsName</t>
  </si>
  <si>
    <t>Prüfung auf 10g</t>
  </si>
  <si>
    <t>Abweichung in Prozent</t>
  </si>
  <si>
    <t>% Abweichung</t>
  </si>
  <si>
    <t>Absolut D3</t>
  </si>
  <si>
    <t>Absolut F4</t>
  </si>
  <si>
    <t>für Auswertung Tabelle</t>
  </si>
  <si>
    <t>Für Ausw. Diagramm dw</t>
  </si>
  <si>
    <t>Für Ausw. Diagramm pred.</t>
  </si>
  <si>
    <t>Platz</t>
  </si>
  <si>
    <t>dw/mls</t>
  </si>
  <si>
    <t>Name</t>
  </si>
  <si>
    <t>mLs in g</t>
  </si>
  <si>
    <t>dw in g</t>
  </si>
  <si>
    <t>Preis</t>
  </si>
  <si>
    <t>250 Euro</t>
  </si>
  <si>
    <t>Abweichung in %</t>
  </si>
  <si>
    <t>eigner</t>
  </si>
  <si>
    <t>Plazierung höchste Tragfähigkeit bei Einhaltung aller Bedingungen</t>
  </si>
  <si>
    <t>Plazierung bestes Verhältniss dw/mLS</t>
  </si>
  <si>
    <t>Plazierung genaueste Vorhersage</t>
  </si>
  <si>
    <t>100 Euro</t>
  </si>
  <si>
    <t>50 Euro</t>
  </si>
  <si>
    <t>Sachpreis</t>
  </si>
  <si>
    <t>Urkunde</t>
  </si>
  <si>
    <t>Prof. Dr.-Ing. Robert Bronsart</t>
  </si>
  <si>
    <t>Papierschiffwettbewerb</t>
  </si>
  <si>
    <t>in der Kategorie höchste Tragfähigkeit
unter Einhaltung aller Bedingungen</t>
  </si>
  <si>
    <t>Erbauer:</t>
  </si>
  <si>
    <t>Schiffsname:</t>
  </si>
  <si>
    <t>in der Kategorie höchste Tragfähigkeit
im Verhältnis zum Eigengewicht</t>
  </si>
  <si>
    <t>Criteria &lt;maximum deadweight/weight of the light ship&gt; for all ships</t>
  </si>
  <si>
    <t>Criteria &lt;maximum deadweight/weight of the light ship&gt;
strictly observeing constraints to be met</t>
  </si>
  <si>
    <t>Design and Construction</t>
  </si>
  <si>
    <t>in der Kategorie
Beste Prognose</t>
  </si>
  <si>
    <t>Abweichung</t>
  </si>
  <si>
    <t>%</t>
  </si>
  <si>
    <t>in der Kategorie
Beste Dokumentation</t>
  </si>
  <si>
    <t>Piraná</t>
  </si>
  <si>
    <t xml:space="preserve">Isabell Tapia León
</t>
  </si>
  <si>
    <t>in der Kategorie
Beste Konstruktion</t>
  </si>
  <si>
    <t>Universität Rostock</t>
  </si>
  <si>
    <t>Lehrstuhl für Schiffbau</t>
  </si>
  <si>
    <t>Deadweight</t>
  </si>
  <si>
    <t>OZELOT 007</t>
  </si>
  <si>
    <t>Erik Muttersbach
Helmut Muttersbach</t>
  </si>
  <si>
    <t>DIVA 2</t>
  </si>
  <si>
    <t>Johannes Wittke</t>
  </si>
  <si>
    <t>Gabriele Lüdtke</t>
  </si>
  <si>
    <t>500 Euro</t>
  </si>
  <si>
    <t>200 Euro</t>
  </si>
  <si>
    <t>Kreisgymnasium
Bargteheide</t>
  </si>
  <si>
    <t>Gemeinschaftsdokumentation
aller Boote des
Kreisgymnasium
Bargteheide</t>
  </si>
  <si>
    <t>WALUS II</t>
  </si>
  <si>
    <t>Verhältniss dw/mls</t>
  </si>
  <si>
    <t>Solida</t>
  </si>
  <si>
    <t>x</t>
  </si>
  <si>
    <t>Ingrid Bierkamp-Nienkarken</t>
  </si>
  <si>
    <t>Poststr. 34</t>
  </si>
  <si>
    <t>Stade</t>
  </si>
  <si>
    <t>04141\47196</t>
  </si>
  <si>
    <t>Black Beauty</t>
  </si>
  <si>
    <t>Athenaueum Stade</t>
  </si>
  <si>
    <t>Harsefelder Str. 40</t>
  </si>
  <si>
    <t>Hong Nga Ly</t>
  </si>
  <si>
    <t>Hong Nga 1</t>
  </si>
  <si>
    <t>Hong Nga 2</t>
  </si>
  <si>
    <t>Lasse</t>
  </si>
  <si>
    <t>Lasse Berner</t>
  </si>
  <si>
    <t>Gymnasium Papenburg</t>
  </si>
  <si>
    <t>Russelstr. 33</t>
  </si>
  <si>
    <t>Papenburg</t>
  </si>
  <si>
    <t>ivonne.wessels@gymnasium-papenburg.de</t>
  </si>
  <si>
    <t>LINKS</t>
  </si>
  <si>
    <t>Lina Sofie Scholz
Laura Groß</t>
  </si>
  <si>
    <t>Am Königsmoor 9</t>
  </si>
  <si>
    <t>Mönkeberg</t>
  </si>
  <si>
    <t>AIDA Hannes</t>
  </si>
  <si>
    <t>Hannes Lübke</t>
  </si>
  <si>
    <t>Wossidlo-Gymnasium</t>
  </si>
  <si>
    <t>Waren</t>
  </si>
  <si>
    <t>Le boat de Hannes</t>
  </si>
  <si>
    <t>Octopussy</t>
  </si>
  <si>
    <t>Marie-Christin Kostow</t>
  </si>
  <si>
    <t>Poseidon</t>
  </si>
  <si>
    <t>Tobias Tulke</t>
  </si>
  <si>
    <t>S.S. Christofzik</t>
  </si>
  <si>
    <t>Sascha Christofzik</t>
  </si>
  <si>
    <t>MS. Evalt</t>
  </si>
  <si>
    <t>Peter Brand</t>
  </si>
  <si>
    <t>Puzzel 2</t>
  </si>
  <si>
    <t>Leonhard Stork</t>
  </si>
  <si>
    <t>MS. Schachtel</t>
  </si>
  <si>
    <t>Tim Könnecke</t>
  </si>
  <si>
    <t>Ü-Boot</t>
  </si>
  <si>
    <t>Lars Erhard Düring</t>
  </si>
  <si>
    <t>Tim Schult</t>
  </si>
  <si>
    <t>MS. Langeweile</t>
  </si>
  <si>
    <t>MS Oscar</t>
  </si>
  <si>
    <t>Leon Pecat</t>
  </si>
  <si>
    <t>DAT</t>
  </si>
  <si>
    <t>Trong-Dat Dinh</t>
  </si>
  <si>
    <t>Dunkelroter Oktober</t>
  </si>
  <si>
    <t>Lukas Lindow</t>
  </si>
  <si>
    <t>Las Americas</t>
  </si>
  <si>
    <t>René Scheiermann</t>
  </si>
  <si>
    <t>Drachenboot</t>
  </si>
  <si>
    <t>Philip Pinnow</t>
  </si>
  <si>
    <t>Neptun</t>
  </si>
  <si>
    <t>Benjamin Wittke</t>
  </si>
  <si>
    <t>Padnoaktnbhoct!</t>
  </si>
  <si>
    <t>Tim Henning</t>
  </si>
  <si>
    <t>Argo II</t>
  </si>
  <si>
    <t>Annika Schatz</t>
  </si>
  <si>
    <t>MS Downstairs</t>
  </si>
  <si>
    <t>Jonas Groth</t>
  </si>
  <si>
    <t>Jonas</t>
  </si>
  <si>
    <t>MS Kargow</t>
  </si>
  <si>
    <t>Maximilian Thurm</t>
  </si>
  <si>
    <t>Weisse Rose</t>
  </si>
  <si>
    <t>Marius Roggenbuck</t>
  </si>
  <si>
    <t>Das sichere Schiff</t>
  </si>
  <si>
    <t>Jacob Starkoff</t>
  </si>
  <si>
    <t>You Oush</t>
  </si>
  <si>
    <t>Willi Karberg</t>
  </si>
  <si>
    <t>My Fair Lady</t>
  </si>
  <si>
    <t>Julia Bernert</t>
  </si>
  <si>
    <t>Expendable</t>
  </si>
  <si>
    <t>Scott Schneider</t>
  </si>
  <si>
    <t>Derp-Boot!</t>
  </si>
  <si>
    <t>Kilian Rohde</t>
  </si>
  <si>
    <t>Planktonium</t>
  </si>
  <si>
    <t>Sebastian Stork</t>
  </si>
  <si>
    <t>Black Pearl</t>
  </si>
  <si>
    <t>Henning Venohr</t>
  </si>
  <si>
    <t>Dornauge</t>
  </si>
  <si>
    <t>Jonas Arendt</t>
  </si>
  <si>
    <t>Gymnasium Wellingdorf</t>
  </si>
  <si>
    <t>Solomit 4</t>
  </si>
  <si>
    <t>Kiel</t>
  </si>
  <si>
    <t>THW Kiel</t>
  </si>
  <si>
    <t>Annika Block
Nina Baumann</t>
  </si>
  <si>
    <t>Feldbarg 15</t>
  </si>
  <si>
    <t>Schönkirchen</t>
  </si>
  <si>
    <t>Gummibärchen</t>
  </si>
  <si>
    <t>Janne Catharina Carstensen
Hande Eyicalis</t>
  </si>
  <si>
    <t>Schönberger Str. 67</t>
  </si>
  <si>
    <t>BINKS</t>
  </si>
  <si>
    <t>Laura Groß
Lina Sofie Scholz</t>
  </si>
  <si>
    <t>Am Park 33</t>
  </si>
  <si>
    <t>Probsteierhagen</t>
  </si>
  <si>
    <t>NICHRALRYSCHHA</t>
  </si>
  <si>
    <t>Niklas Schöning
Christopher Hanson</t>
  </si>
  <si>
    <t>Gymnasium Lüneburger Heide</t>
  </si>
  <si>
    <t>Schützenstraße 3</t>
  </si>
  <si>
    <t>Melbeck</t>
  </si>
  <si>
    <t>Romba</t>
  </si>
  <si>
    <t>Maik Schoer
Robin Karpa</t>
  </si>
  <si>
    <t>Romba 2500</t>
  </si>
  <si>
    <t>Jolo</t>
  </si>
  <si>
    <t>Lukas Hannebohm
Jasper Morgenstern</t>
  </si>
  <si>
    <t>Prototyp</t>
  </si>
  <si>
    <t>Konstantin Köster
Caroline Fehlauer
Jonas Schwerin</t>
  </si>
  <si>
    <t>Temerer</t>
  </si>
  <si>
    <t>HCO</t>
  </si>
  <si>
    <t>Janis Walther
Bastian Brand</t>
  </si>
  <si>
    <t>MS . B.J.</t>
  </si>
  <si>
    <t>Daniel</t>
  </si>
  <si>
    <t>Simon Gmehling
Enrico Drave</t>
  </si>
  <si>
    <t>unbekannt</t>
  </si>
  <si>
    <t>MS Leonoli</t>
  </si>
  <si>
    <t>Oliver Wendt
Leon Herrmann</t>
  </si>
  <si>
    <t>Yolo</t>
  </si>
  <si>
    <t>YOLO I</t>
  </si>
  <si>
    <t>Laura Sophie Nordheim
Melina Daucks
Swantje Geidus</t>
  </si>
  <si>
    <t>YOLO II</t>
  </si>
  <si>
    <t>Exxon Valdez</t>
  </si>
  <si>
    <t>Ann Sophie Pruchner</t>
  </si>
  <si>
    <t>Ernst-Abbe-Gymnasium</t>
  </si>
  <si>
    <t>Hölderlinweg 1</t>
  </si>
  <si>
    <t>Oberkochen</t>
  </si>
  <si>
    <t>stabil</t>
  </si>
  <si>
    <t>Ilona Liesche</t>
  </si>
  <si>
    <t>Pinky</t>
  </si>
  <si>
    <t>Theresa Lindig</t>
  </si>
  <si>
    <t>253</t>
  </si>
  <si>
    <t>Alina Meisel</t>
  </si>
  <si>
    <t>Little Nemo</t>
  </si>
  <si>
    <t>Jenny Mandler</t>
  </si>
  <si>
    <t>22</t>
  </si>
  <si>
    <t>Ramona Müller</t>
  </si>
  <si>
    <t>Bismarck I</t>
  </si>
  <si>
    <t>Lukas Balle</t>
  </si>
  <si>
    <t>Der Boot</t>
  </si>
  <si>
    <t>Benian Balci</t>
  </si>
  <si>
    <t>1002</t>
  </si>
  <si>
    <t>Katrin Schad</t>
  </si>
  <si>
    <t>Ahoi</t>
  </si>
  <si>
    <t>Christian Fritz</t>
  </si>
  <si>
    <t>Powerschiff 13</t>
  </si>
  <si>
    <t>Caroline Renner</t>
  </si>
  <si>
    <t>Backpapier</t>
  </si>
  <si>
    <t>Top</t>
  </si>
  <si>
    <t>Tom Kuhl</t>
  </si>
  <si>
    <t>0910</t>
  </si>
  <si>
    <t>Farah Skiba</t>
  </si>
  <si>
    <t>Blue Latern</t>
  </si>
  <si>
    <t>Henrik Kubitza</t>
  </si>
  <si>
    <t>HMS Unsinkbar</t>
  </si>
  <si>
    <t>Fabian Burghart</t>
  </si>
  <si>
    <t>1108</t>
  </si>
  <si>
    <t>Marius Müller</t>
  </si>
  <si>
    <t>Fritzinchen</t>
  </si>
  <si>
    <t>Sina-Maria Hofmann</t>
  </si>
  <si>
    <t>Plus</t>
  </si>
  <si>
    <t>Sebastian Graef</t>
  </si>
  <si>
    <t>Silberhauch</t>
  </si>
  <si>
    <t>Marieke Hollje
Frank Pinte Hollje</t>
  </si>
  <si>
    <t>Rösselstr. 4</t>
  </si>
  <si>
    <t>Donauwörth</t>
  </si>
  <si>
    <t>0906-7056764</t>
  </si>
  <si>
    <t>frankhollje@t-online.de</t>
  </si>
  <si>
    <t>Elfenblüte</t>
  </si>
  <si>
    <t>Kyleyb</t>
  </si>
  <si>
    <t>Oliver Meseck
Enis Bilgi
Ramsen Toma</t>
  </si>
  <si>
    <t>CostaConcordia</t>
  </si>
  <si>
    <t>Alexander Samp
Florian Sossou</t>
  </si>
  <si>
    <t>Mein Boot</t>
  </si>
  <si>
    <t>Florian Sossou</t>
  </si>
  <si>
    <t>L&amp;L</t>
  </si>
  <si>
    <t>Lukas Kollmer
Luca Theile</t>
  </si>
  <si>
    <t>Pascal Gymnasium Münster</t>
  </si>
  <si>
    <t>Uppenkampstiege 17</t>
  </si>
  <si>
    <t>Münster</t>
  </si>
  <si>
    <t>MEGGIE I</t>
  </si>
  <si>
    <t>Mattis Elwert
Annika Block
Nina Baumann</t>
  </si>
  <si>
    <t>BLUB</t>
  </si>
  <si>
    <t>Sofia Derevyanskaya
Celine Kloske</t>
  </si>
  <si>
    <t>Black Ops III</t>
  </si>
  <si>
    <t>Maxi Meuche
Aiman Beggar</t>
  </si>
  <si>
    <t>TITANIK 2.0</t>
  </si>
  <si>
    <t>Jonas Dose</t>
  </si>
  <si>
    <t>zig-zag</t>
  </si>
  <si>
    <t>Jordan Petrow</t>
  </si>
  <si>
    <t>Rostock</t>
  </si>
  <si>
    <t>Bennet</t>
  </si>
  <si>
    <t>Hannes Pries</t>
  </si>
  <si>
    <t>Jungmannschule Eckernförde</t>
  </si>
  <si>
    <t>Eckernförde</t>
  </si>
  <si>
    <t>Skipper</t>
  </si>
  <si>
    <t>Nike</t>
  </si>
  <si>
    <t>Falti der Historyfreak</t>
  </si>
  <si>
    <t>Kjell Schröder</t>
  </si>
  <si>
    <t>Corny 2013</t>
  </si>
  <si>
    <t>C. Cornilsen</t>
  </si>
  <si>
    <t>Corny II 2013</t>
  </si>
  <si>
    <t>PB02</t>
  </si>
  <si>
    <t>Martin Eckermann</t>
  </si>
  <si>
    <t>Luttermann Str. 3</t>
  </si>
  <si>
    <t>PB10</t>
  </si>
  <si>
    <t>und weg</t>
  </si>
  <si>
    <t>Hartmut Lüdtke</t>
  </si>
  <si>
    <t>und da</t>
  </si>
  <si>
    <t>Falter</t>
  </si>
  <si>
    <t>Am Ring 5</t>
  </si>
  <si>
    <t>Dreetz</t>
  </si>
  <si>
    <t>Taifun</t>
  </si>
  <si>
    <t>Max</t>
  </si>
  <si>
    <t>Marlene Lüdtke</t>
  </si>
  <si>
    <t>Groß Roge</t>
  </si>
  <si>
    <t>Moritz</t>
  </si>
  <si>
    <t>Zum Schluss</t>
  </si>
  <si>
    <t>Zum Schößchen</t>
  </si>
  <si>
    <t>Jessika Lüdtke</t>
  </si>
  <si>
    <t>N1H7</t>
  </si>
  <si>
    <t>Fredy Lüdtke</t>
  </si>
  <si>
    <t>H3H7</t>
  </si>
  <si>
    <t>Smoking Hippo</t>
  </si>
  <si>
    <t>Nicola Brüninghoff
Konstantin Baune
Martin Truong</t>
  </si>
  <si>
    <t>Junior</t>
  </si>
  <si>
    <t>Jendrik Nase
Kevin Cao</t>
  </si>
  <si>
    <t>Titanic</t>
  </si>
  <si>
    <t>Jan Gabo
Jan Schmidt
Julian Hawellek</t>
  </si>
  <si>
    <t>Gymnasium Hankensbüttel</t>
  </si>
  <si>
    <t>sensor 2013</t>
  </si>
  <si>
    <t>Jordan Junior</t>
  </si>
  <si>
    <t>Königswasser B1</t>
  </si>
  <si>
    <t>Wolfgang Böttcher</t>
  </si>
  <si>
    <t>Maßmannstr. 23</t>
  </si>
  <si>
    <t>Avalon</t>
  </si>
  <si>
    <t>Milad Ghulham Rasol
Tom Bösing
Ahmed Younes</t>
  </si>
  <si>
    <t>Die rote Rose</t>
  </si>
  <si>
    <t>Hannah Reichelt</t>
  </si>
  <si>
    <t>Schoolkoppel 5</t>
  </si>
  <si>
    <t>Radbruch</t>
  </si>
  <si>
    <t>Brjamota</t>
  </si>
  <si>
    <t>Tanja Dreves
Breskel Yosef
Jana Lenz
Moritz Steffens</t>
  </si>
  <si>
    <t>Bertha von Suttner Schule</t>
  </si>
  <si>
    <t>Drösselbuschberg 40</t>
  </si>
  <si>
    <t>Geesthacht</t>
  </si>
  <si>
    <t>Bloody Marry</t>
  </si>
  <si>
    <t>Forstweg 46</t>
  </si>
  <si>
    <t>Emilia Weritsch
Veronika Wilhelm
Agata Brzeska</t>
  </si>
  <si>
    <t>Bodo</t>
  </si>
  <si>
    <t>Bodo Jackstell</t>
  </si>
  <si>
    <t>Wilhelm-Pieck-Ring 21</t>
  </si>
  <si>
    <t>Bergen auf Rügen</t>
  </si>
  <si>
    <t>MS Unglaublich</t>
  </si>
  <si>
    <t>Gymnasium Donauwörth</t>
  </si>
  <si>
    <t>Pyrkstockstr. 1</t>
  </si>
  <si>
    <t>Donau-Dampfer</t>
  </si>
  <si>
    <t>Hägars Galeere</t>
  </si>
  <si>
    <t>Marco Polo</t>
  </si>
  <si>
    <t>JSM-XXL</t>
  </si>
  <si>
    <t>Allegro</t>
  </si>
  <si>
    <t>Schloßgymnasium Gützkow</t>
  </si>
  <si>
    <t>Björn Ehlbeck
Hannes Kröchert
Pascal Odebrecht</t>
  </si>
  <si>
    <t>Baron-von-Lepel-Platz 2</t>
  </si>
  <si>
    <t>Gützkow</t>
  </si>
  <si>
    <t>Herzchen</t>
  </si>
  <si>
    <t>Melanie Koch</t>
  </si>
  <si>
    <t>Hummelchen</t>
  </si>
  <si>
    <t>Nina Weinitschke</t>
  </si>
  <si>
    <t>Susi</t>
  </si>
  <si>
    <t>Lara Wandt
Carolin Blum</t>
  </si>
  <si>
    <t>Under Water</t>
  </si>
  <si>
    <t>Boot 1</t>
  </si>
  <si>
    <t>Til Salewski
Vincent Niemann
Marvin Wodrich</t>
  </si>
  <si>
    <t>Mumie</t>
  </si>
  <si>
    <t>Til Salewski
Vincent Niemann</t>
  </si>
  <si>
    <t>Marken Discount</t>
  </si>
  <si>
    <t>Paul Rassmus
Sebastian Peck</t>
  </si>
  <si>
    <t>Annabell Ritzkowski
Anna Krüger</t>
  </si>
  <si>
    <t>Black Pearl II</t>
  </si>
  <si>
    <t>MS Mississippi</t>
  </si>
  <si>
    <t>Benno Weischer</t>
  </si>
  <si>
    <t>Perleberger Str.44</t>
  </si>
  <si>
    <t>Berlin</t>
  </si>
  <si>
    <t>0177/21000017</t>
  </si>
  <si>
    <t>benno.weischer@t-online.de</t>
  </si>
  <si>
    <t>Nuestra Senora de las Mercedes</t>
  </si>
  <si>
    <t>Rafael dÀmore Domenech</t>
  </si>
  <si>
    <t>Polytechnic University of Madrid</t>
  </si>
  <si>
    <t>Revolutio</t>
  </si>
  <si>
    <t>Jacobo Fuentes Arévalo</t>
  </si>
  <si>
    <t>Hannes</t>
  </si>
  <si>
    <t>Marc
Phillip
Hendrik Meier</t>
  </si>
  <si>
    <t>Titan 4</t>
  </si>
  <si>
    <t>Tommy
Dustin
Fabio
Dominik Meier</t>
  </si>
  <si>
    <t>Titanic II</t>
  </si>
  <si>
    <t>Felix Grabe
Marcel Bodin
Cora-Katja-Herkommer</t>
  </si>
  <si>
    <t>MS Raid</t>
  </si>
  <si>
    <t>Robin Paul Staroske</t>
  </si>
  <si>
    <t>HMS Maretania</t>
  </si>
  <si>
    <t>Ludwig Stenzel</t>
  </si>
  <si>
    <t>Bismark III</t>
  </si>
  <si>
    <t>Christoph Stern</t>
  </si>
  <si>
    <t>CHARON</t>
  </si>
  <si>
    <t>LKS</t>
  </si>
  <si>
    <t>Donauwörther Nussschale</t>
  </si>
  <si>
    <t>HAWK</t>
  </si>
  <si>
    <t>16. Internationaler Papierschiffwettbewerb</t>
  </si>
  <si>
    <t>Rostock den 25. April 2013</t>
  </si>
  <si>
    <t>16.Internationaler</t>
  </si>
  <si>
    <t>Connected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</si>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</sst>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#,##0.0"/>
  </numFmts>
  <fonts count="37">
    <font>
      <sz val="10"/>
      <name val="Arial"/>
    </font>
    <font>
      <u/>
      <sz val="10"/>
      <color indexed="12"/>
      <name val="Arial"/>
    </font>
    <font>
      <sz val="8"/>
      <color indexed="81"/>
      <name val="Tahoma"/>
    </font>
    <font>
      <b/>
      <sz val="8"/>
      <color indexed="81"/>
      <name val="Tahoma"/>
    </font>
    <font>
      <sz val="14"/>
      <name val="Arial"/>
    </font>
    <font>
      <sz val="10"/>
      <name val="Arial"/>
      <family val="2"/>
    </font>
    <font>
      <b/>
      <sz val="10"/>
      <name val="Arial"/>
      <family val="2"/>
    </font>
    <font>
      <sz val="12"/>
      <color indexed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4"/>
      <name val="Arial"/>
      <family val="2"/>
    </font>
    <font>
      <sz val="11"/>
      <color indexed="18"/>
      <name val="Arial"/>
      <family val="2"/>
    </font>
    <font>
      <b/>
      <sz val="10"/>
      <name val="Arial"/>
    </font>
    <font>
      <sz val="10"/>
      <name val="Arial"/>
    </font>
    <font>
      <b/>
      <sz val="18"/>
      <name val="Arial"/>
      <family val="2"/>
    </font>
    <font>
      <sz val="18"/>
      <name val="Arial"/>
      <family val="2"/>
    </font>
    <font>
      <sz val="16"/>
      <color indexed="17"/>
      <name val="Arial"/>
      <family val="2"/>
    </font>
    <font>
      <sz val="8"/>
      <name val="Arial"/>
    </font>
    <font>
      <sz val="36"/>
      <name val="Arial Narrow"/>
      <family val="2"/>
    </font>
    <font>
      <sz val="14"/>
      <name val="Arial"/>
      <family val="2"/>
    </font>
    <font>
      <sz val="28"/>
      <name val="Arial Narrow"/>
      <family val="2"/>
    </font>
    <font>
      <sz val="16"/>
      <color indexed="56"/>
      <name val="Arial Narrow"/>
      <family val="2"/>
    </font>
    <font>
      <sz val="36"/>
      <color indexed="56"/>
      <name val="Arial Narrow"/>
      <family val="2"/>
    </font>
    <font>
      <sz val="22"/>
      <color indexed="56"/>
      <name val="Charlesworth"/>
      <family val="5"/>
    </font>
    <font>
      <sz val="72"/>
      <color indexed="56"/>
      <name val="Charlesworth"/>
      <family val="5"/>
    </font>
    <font>
      <b/>
      <sz val="22"/>
      <name val="Arial Narrow"/>
      <family val="2"/>
    </font>
    <font>
      <b/>
      <sz val="36"/>
      <name val="Arial Narrow"/>
      <family val="2"/>
    </font>
    <font>
      <b/>
      <sz val="12"/>
      <color indexed="62"/>
      <name val="Arial"/>
      <family val="2"/>
    </font>
    <font>
      <sz val="10"/>
      <color indexed="8"/>
      <name val="Arial"/>
      <family val="2"/>
    </font>
    <font>
      <b/>
      <sz val="32"/>
      <name val="Arial Narrow"/>
      <family val="2"/>
    </font>
    <font>
      <sz val="32"/>
      <name val="Arial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sz val="20"/>
      <color indexed="9"/>
      <name val="Arial"/>
      <family val="2"/>
    </font>
    <font>
      <b/>
      <sz val="12"/>
      <color indexed="9"/>
      <name val="Arial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144">
    <xf numFmtId="0" fontId="0" fillId="0" borderId="0" xfId="0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1" applyAlignment="1" applyProtection="1"/>
    <xf numFmtId="2" fontId="0" fillId="0" borderId="0" xfId="0" applyNumberFormat="1"/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6" fillId="2" borderId="0" xfId="0" applyFont="1" applyFill="1" applyBorder="1" applyProtection="1"/>
    <xf numFmtId="0" fontId="0" fillId="2" borderId="5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7" fillId="3" borderId="0" xfId="0" applyFont="1" applyFill="1"/>
    <xf numFmtId="0" fontId="7" fillId="3" borderId="0" xfId="0" applyFont="1" applyFill="1" applyAlignment="1">
      <alignment horizontal="center"/>
    </xf>
    <xf numFmtId="2" fontId="7" fillId="3" borderId="0" xfId="0" applyNumberFormat="1" applyFont="1" applyFill="1"/>
    <xf numFmtId="0" fontId="7" fillId="3" borderId="0" xfId="0" applyNumberFormat="1" applyFont="1" applyFill="1"/>
    <xf numFmtId="0" fontId="0" fillId="0" borderId="0" xfId="0" applyNumberFormat="1"/>
    <xf numFmtId="0" fontId="9" fillId="0" borderId="0" xfId="0" applyFont="1" applyAlignment="1">
      <alignment horizontal="center"/>
    </xf>
    <xf numFmtId="0" fontId="0" fillId="0" borderId="0" xfId="0" applyFill="1"/>
    <xf numFmtId="0" fontId="11" fillId="0" borderId="0" xfId="0" applyFont="1" applyAlignment="1">
      <alignment vertical="top"/>
    </xf>
    <xf numFmtId="0" fontId="9" fillId="3" borderId="9" xfId="0" applyFont="1" applyFill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3" borderId="9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9" fillId="0" borderId="0" xfId="0" applyFont="1" applyAlignment="1">
      <alignment horizontal="center" vertical="top"/>
    </xf>
    <xf numFmtId="0" fontId="0" fillId="4" borderId="9" xfId="0" applyFill="1" applyBorder="1" applyAlignment="1">
      <alignment vertical="top" wrapText="1"/>
    </xf>
    <xf numFmtId="0" fontId="0" fillId="0" borderId="0" xfId="0" applyFill="1" applyAlignment="1">
      <alignment vertical="top"/>
    </xf>
    <xf numFmtId="0" fontId="9" fillId="5" borderId="9" xfId="0" applyFont="1" applyFill="1" applyBorder="1" applyAlignment="1">
      <alignment horizontal="center" vertical="top" wrapText="1"/>
    </xf>
    <xf numFmtId="0" fontId="0" fillId="0" borderId="9" xfId="0" applyBorder="1" applyAlignment="1">
      <alignment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2" fontId="0" fillId="0" borderId="0" xfId="0" applyNumberFormat="1" applyAlignment="1">
      <alignment horizontal="center" vertical="top"/>
    </xf>
    <xf numFmtId="0" fontId="9" fillId="0" borderId="0" xfId="0" applyFont="1" applyAlignment="1">
      <alignment horizontal="left" vertical="top" wrapText="1"/>
    </xf>
    <xf numFmtId="0" fontId="11" fillId="0" borderId="0" xfId="0" applyFont="1" applyAlignment="1">
      <alignment vertical="top" wrapText="1"/>
    </xf>
    <xf numFmtId="1" fontId="10" fillId="3" borderId="9" xfId="0" applyNumberFormat="1" applyFont="1" applyFill="1" applyBorder="1" applyAlignment="1">
      <alignment horizontal="center" vertical="top" wrapText="1"/>
    </xf>
    <xf numFmtId="2" fontId="9" fillId="3" borderId="9" xfId="0" applyNumberFormat="1" applyFont="1" applyFill="1" applyBorder="1" applyAlignment="1">
      <alignment horizontal="center" vertical="top" wrapText="1"/>
    </xf>
    <xf numFmtId="0" fontId="8" fillId="3" borderId="9" xfId="0" applyFont="1" applyFill="1" applyBorder="1" applyAlignment="1">
      <alignment vertical="top" wrapText="1"/>
    </xf>
    <xf numFmtId="0" fontId="0" fillId="3" borderId="9" xfId="0" applyFill="1" applyBorder="1" applyAlignment="1">
      <alignment horizontal="center" vertical="top" wrapText="1"/>
    </xf>
    <xf numFmtId="1" fontId="6" fillId="6" borderId="9" xfId="0" applyNumberFormat="1" applyFont="1" applyFill="1" applyBorder="1" applyAlignment="1">
      <alignment horizontal="center" vertical="top" wrapText="1"/>
    </xf>
    <xf numFmtId="2" fontId="0" fillId="3" borderId="9" xfId="0" applyNumberFormat="1" applyFill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1" fontId="9" fillId="3" borderId="9" xfId="0" applyNumberFormat="1" applyFont="1" applyFill="1" applyBorder="1" applyAlignment="1">
      <alignment horizontal="center" vertical="top" wrapText="1"/>
    </xf>
    <xf numFmtId="2" fontId="10" fillId="3" borderId="9" xfId="0" applyNumberFormat="1" applyFont="1" applyFill="1" applyBorder="1" applyAlignment="1">
      <alignment horizontal="center" vertical="top" wrapText="1"/>
    </xf>
    <xf numFmtId="1" fontId="0" fillId="3" borderId="9" xfId="0" applyNumberFormat="1" applyFill="1" applyBorder="1" applyAlignment="1">
      <alignment horizontal="center" vertical="top" wrapText="1"/>
    </xf>
    <xf numFmtId="2" fontId="6" fillId="6" borderId="9" xfId="0" applyNumberFormat="1" applyFont="1" applyFill="1" applyBorder="1" applyAlignment="1">
      <alignment horizontal="center" vertical="top" wrapText="1"/>
    </xf>
    <xf numFmtId="0" fontId="8" fillId="0" borderId="0" xfId="0" applyFont="1" applyAlignment="1"/>
    <xf numFmtId="1" fontId="12" fillId="7" borderId="9" xfId="0" applyNumberFormat="1" applyFont="1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top" wrapText="1"/>
    </xf>
    <xf numFmtId="2" fontId="0" fillId="4" borderId="9" xfId="0" applyNumberFormat="1" applyFill="1" applyBorder="1" applyAlignment="1">
      <alignment horizontal="center" vertical="top" wrapText="1"/>
    </xf>
    <xf numFmtId="0" fontId="0" fillId="0" borderId="9" xfId="0" applyBorder="1" applyAlignment="1">
      <alignment horizontal="center" vertical="top" wrapText="1"/>
    </xf>
    <xf numFmtId="1" fontId="0" fillId="0" borderId="9" xfId="0" applyNumberFormat="1" applyBorder="1" applyAlignment="1">
      <alignment horizontal="center" vertical="top" wrapText="1"/>
    </xf>
    <xf numFmtId="2" fontId="0" fillId="0" borderId="9" xfId="0" applyNumberFormat="1" applyBorder="1" applyAlignment="1">
      <alignment horizontal="center" vertical="top" wrapText="1"/>
    </xf>
    <xf numFmtId="165" fontId="9" fillId="3" borderId="9" xfId="0" applyNumberFormat="1" applyFont="1" applyFill="1" applyBorder="1" applyAlignment="1">
      <alignment horizontal="center" vertical="top" wrapText="1"/>
    </xf>
    <xf numFmtId="165" fontId="0" fillId="4" borderId="9" xfId="0" applyNumberFormat="1" applyFill="1" applyBorder="1" applyAlignment="1">
      <alignment horizontal="center" vertical="top" wrapText="1"/>
    </xf>
    <xf numFmtId="165" fontId="0" fillId="0" borderId="9" xfId="0" applyNumberFormat="1" applyBorder="1" applyAlignment="1">
      <alignment horizontal="center" vertical="top" wrapText="1"/>
    </xf>
    <xf numFmtId="165" fontId="0" fillId="0" borderId="0" xfId="0" applyNumberFormat="1" applyAlignment="1">
      <alignment horizontal="center" vertical="top"/>
    </xf>
    <xf numFmtId="165" fontId="0" fillId="3" borderId="9" xfId="0" applyNumberFormat="1" applyFill="1" applyBorder="1" applyAlignment="1">
      <alignment horizontal="center" vertical="top" wrapText="1"/>
    </xf>
    <xf numFmtId="0" fontId="13" fillId="3" borderId="9" xfId="0" applyFont="1" applyFill="1" applyBorder="1" applyAlignment="1">
      <alignment horizontal="center"/>
    </xf>
    <xf numFmtId="0" fontId="14" fillId="4" borderId="9" xfId="0" applyFont="1" applyFill="1" applyBorder="1" applyAlignment="1">
      <alignment vertical="top"/>
    </xf>
    <xf numFmtId="0" fontId="14" fillId="0" borderId="9" xfId="0" applyFont="1" applyFill="1" applyBorder="1" applyAlignment="1"/>
    <xf numFmtId="0" fontId="14" fillId="0" borderId="0" xfId="0" applyFont="1" applyAlignment="1"/>
    <xf numFmtId="0" fontId="9" fillId="0" borderId="0" xfId="0" applyFont="1" applyAlignment="1">
      <alignment horizontal="left" vertical="top" shrinkToFit="1"/>
    </xf>
    <xf numFmtId="0" fontId="9" fillId="3" borderId="9" xfId="0" applyFont="1" applyFill="1" applyBorder="1" applyAlignment="1">
      <alignment horizontal="center" vertical="top" shrinkToFit="1"/>
    </xf>
    <xf numFmtId="0" fontId="0" fillId="4" borderId="9" xfId="0" applyFill="1" applyBorder="1" applyAlignment="1">
      <alignment vertical="top" shrinkToFit="1"/>
    </xf>
    <xf numFmtId="0" fontId="0" fillId="0" borderId="9" xfId="0" applyBorder="1" applyAlignment="1">
      <alignment vertical="top" shrinkToFit="1"/>
    </xf>
    <xf numFmtId="0" fontId="0" fillId="0" borderId="0" xfId="0" applyAlignment="1">
      <alignment vertical="top" shrinkToFit="1"/>
    </xf>
    <xf numFmtId="0" fontId="15" fillId="0" borderId="0" xfId="0" applyFont="1" applyAlignment="1">
      <alignment vertical="top"/>
    </xf>
    <xf numFmtId="0" fontId="17" fillId="0" borderId="0" xfId="0" applyFont="1" applyAlignment="1">
      <alignment textRotation="90" wrapText="1"/>
    </xf>
    <xf numFmtId="0" fontId="19" fillId="0" borderId="0" xfId="0" applyFont="1" applyAlignment="1">
      <alignment horizontal="center" vertical="center"/>
    </xf>
    <xf numFmtId="0" fontId="8" fillId="0" borderId="0" xfId="0" applyFont="1" applyAlignment="1">
      <alignment wrapText="1"/>
    </xf>
    <xf numFmtId="0" fontId="7" fillId="3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Alignment="1" applyProtection="1">
      <alignment horizontal="left" wrapText="1"/>
      <protection locked="0"/>
    </xf>
    <xf numFmtId="0" fontId="29" fillId="0" borderId="9" xfId="0" applyFont="1" applyBorder="1" applyAlignment="1">
      <alignment vertical="top" wrapText="1"/>
    </xf>
    <xf numFmtId="0" fontId="29" fillId="0" borderId="0" xfId="0" applyFont="1" applyAlignment="1">
      <alignment vertical="top"/>
    </xf>
    <xf numFmtId="0" fontId="5" fillId="0" borderId="0" xfId="0" applyFont="1"/>
    <xf numFmtId="0" fontId="0" fillId="0" borderId="0" xfId="0" applyAlignment="1">
      <alignment horizontal="center" wrapText="1"/>
    </xf>
    <xf numFmtId="0" fontId="0" fillId="8" borderId="0" xfId="0" applyFill="1" applyProtection="1"/>
    <xf numFmtId="0" fontId="0" fillId="8" borderId="0" xfId="0" applyFill="1" applyBorder="1" applyProtection="1"/>
    <xf numFmtId="0" fontId="6" fillId="8" borderId="0" xfId="0" applyFont="1" applyFill="1" applyBorder="1" applyProtection="1"/>
    <xf numFmtId="0" fontId="5" fillId="8" borderId="0" xfId="0" applyFont="1" applyFill="1" applyProtection="1"/>
    <xf numFmtId="0" fontId="5" fillId="8" borderId="0" xfId="0" applyFont="1" applyFill="1" applyBorder="1" applyProtection="1"/>
    <xf numFmtId="0" fontId="4" fillId="8" borderId="0" xfId="0" applyFont="1" applyFill="1" applyProtection="1"/>
    <xf numFmtId="0" fontId="0" fillId="8" borderId="0" xfId="0" applyFill="1" applyProtection="1">
      <protection locked="0"/>
    </xf>
    <xf numFmtId="0" fontId="32" fillId="8" borderId="10" xfId="0" applyFont="1" applyFill="1" applyBorder="1" applyProtection="1"/>
    <xf numFmtId="0" fontId="32" fillId="8" borderId="11" xfId="0" applyFont="1" applyFill="1" applyBorder="1" applyProtection="1"/>
    <xf numFmtId="0" fontId="32" fillId="8" borderId="12" xfId="0" applyFont="1" applyFill="1" applyBorder="1" applyProtection="1"/>
    <xf numFmtId="49" fontId="33" fillId="8" borderId="13" xfId="0" applyNumberFormat="1" applyFont="1" applyFill="1" applyBorder="1" applyProtection="1"/>
    <xf numFmtId="0" fontId="32" fillId="8" borderId="14" xfId="0" applyFont="1" applyFill="1" applyBorder="1" applyProtection="1"/>
    <xf numFmtId="49" fontId="33" fillId="8" borderId="15" xfId="0" applyNumberFormat="1" applyFont="1" applyFill="1" applyBorder="1" applyProtection="1"/>
    <xf numFmtId="0" fontId="32" fillId="8" borderId="16" xfId="0" applyFont="1" applyFill="1" applyBorder="1" applyProtection="1"/>
    <xf numFmtId="0" fontId="33" fillId="8" borderId="17" xfId="0" applyFont="1" applyFill="1" applyBorder="1" applyProtection="1"/>
    <xf numFmtId="0" fontId="33" fillId="8" borderId="18" xfId="0" applyFont="1" applyFill="1" applyBorder="1" applyProtection="1"/>
    <xf numFmtId="0" fontId="33" fillId="8" borderId="10" xfId="0" applyFont="1" applyFill="1" applyBorder="1" applyProtection="1"/>
    <xf numFmtId="0" fontId="33" fillId="8" borderId="19" xfId="0" applyFont="1" applyFill="1" applyBorder="1" applyProtection="1"/>
    <xf numFmtId="2" fontId="32" fillId="8" borderId="19" xfId="0" applyNumberFormat="1" applyFont="1" applyFill="1" applyBorder="1" applyProtection="1"/>
    <xf numFmtId="0" fontId="33" fillId="8" borderId="11" xfId="0" applyFont="1" applyFill="1" applyBorder="1" applyProtection="1"/>
    <xf numFmtId="0" fontId="0" fillId="0" borderId="0" xfId="0" applyAlignment="1">
      <alignment wrapText="1"/>
    </xf>
    <xf numFmtId="49" fontId="7" fillId="3" borderId="0" xfId="0" applyNumberFormat="1" applyFont="1" applyFill="1"/>
    <xf numFmtId="49" fontId="0" fillId="0" borderId="0" xfId="0" applyNumberForma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5" fillId="4" borderId="9" xfId="1" applyFont="1" applyFill="1" applyBorder="1" applyAlignment="1" applyProtection="1">
      <alignment vertical="top" wrapText="1"/>
    </xf>
    <xf numFmtId="0" fontId="35" fillId="8" borderId="10" xfId="0" applyFont="1" applyFill="1" applyBorder="1" applyAlignment="1" applyProtection="1">
      <alignment horizontal="center"/>
      <protection locked="0"/>
    </xf>
    <xf numFmtId="0" fontId="35" fillId="8" borderId="11" xfId="0" applyFont="1" applyFill="1" applyBorder="1" applyAlignment="1" applyProtection="1">
      <alignment horizontal="center"/>
      <protection locked="0"/>
    </xf>
    <xf numFmtId="0" fontId="34" fillId="8" borderId="0" xfId="0" applyFont="1" applyFill="1" applyAlignment="1" applyProtection="1">
      <alignment horizontal="center"/>
    </xf>
    <xf numFmtId="0" fontId="34" fillId="0" borderId="0" xfId="0" applyFont="1" applyAlignment="1">
      <alignment horizontal="center"/>
    </xf>
    <xf numFmtId="0" fontId="28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1" fontId="9" fillId="0" borderId="0" xfId="0" applyNumberFormat="1" applyFont="1" applyAlignment="1">
      <alignment horizontal="left" vertical="top" wrapText="1"/>
    </xf>
    <xf numFmtId="2" fontId="9" fillId="0" borderId="0" xfId="0" applyNumberFormat="1" applyFont="1" applyAlignment="1">
      <alignment horizontal="left" vertical="top" wrapText="1"/>
    </xf>
    <xf numFmtId="0" fontId="15" fillId="0" borderId="0" xfId="0" applyFont="1" applyAlignment="1">
      <alignment vertical="top" wrapText="1"/>
    </xf>
    <xf numFmtId="0" fontId="16" fillId="0" borderId="0" xfId="0" applyFont="1" applyAlignment="1">
      <alignment vertical="top" wrapText="1"/>
    </xf>
    <xf numFmtId="0" fontId="9" fillId="3" borderId="20" xfId="0" applyFont="1" applyFill="1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7" xfId="0" applyBorder="1" applyAlignment="1">
      <alignment horizontal="center" vertical="top" wrapText="1"/>
    </xf>
    <xf numFmtId="2" fontId="6" fillId="6" borderId="20" xfId="0" applyNumberFormat="1" applyFont="1" applyFill="1" applyBorder="1" applyAlignment="1">
      <alignment horizontal="center" vertical="top" wrapText="1"/>
    </xf>
    <xf numFmtId="0" fontId="25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0" fontId="26" fillId="0" borderId="0" xfId="0" applyFont="1" applyAlignment="1">
      <alignment horizontal="center" vertical="center" wrapText="1"/>
    </xf>
    <xf numFmtId="1" fontId="21" fillId="0" borderId="0" xfId="0" applyNumberFormat="1" applyFont="1" applyAlignment="1">
      <alignment horizontal="center" vertical="top" wrapText="1"/>
    </xf>
    <xf numFmtId="0" fontId="23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2" fillId="0" borderId="0" xfId="0" applyFont="1" applyAlignment="1">
      <alignment horizontal="center" wrapText="1"/>
    </xf>
    <xf numFmtId="0" fontId="19" fillId="0" borderId="0" xfId="0" applyFont="1" applyAlignment="1">
      <alignment horizontal="center" wrapText="1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20" fillId="0" borderId="0" xfId="0" applyFont="1" applyAlignment="1">
      <alignment wrapText="1"/>
    </xf>
    <xf numFmtId="0" fontId="20" fillId="0" borderId="0" xfId="0" applyFont="1" applyAlignment="1"/>
    <xf numFmtId="1" fontId="19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0" borderId="0" xfId="0"/>
    <xf numFmtId="1" fontId="19" fillId="0" borderId="0" xfId="0" applyNumberFormat="1" applyFont="1" applyAlignment="1">
      <alignment horizontal="left" vertical="center" wrapText="1"/>
    </xf>
    <xf numFmtId="165" fontId="19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1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Hyperlink" xfId="1" builtinId="8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worksheet" Target="worksheets/sheet25.xml"/><Relationship Id="rId39" Type="http://schemas.microsoft.com/office/2006/relationships/vbaProject" Target="vbaProject.bin"/><Relationship Id="rId21" Type="http://schemas.openxmlformats.org/officeDocument/2006/relationships/worksheet" Target="worksheets/sheet20.xml"/><Relationship Id="rId34" Type="http://schemas.openxmlformats.org/officeDocument/2006/relationships/worksheet" Target="worksheets/sheet3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5" Type="http://schemas.openxmlformats.org/officeDocument/2006/relationships/worksheet" Target="worksheets/sheet24.xml"/><Relationship Id="rId33" Type="http://schemas.openxmlformats.org/officeDocument/2006/relationships/worksheet" Target="worksheets/sheet3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worksheet" Target="worksheets/sheet19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10.xml"/><Relationship Id="rId24" Type="http://schemas.openxmlformats.org/officeDocument/2006/relationships/worksheet" Target="worksheets/sheet23.xml"/><Relationship Id="rId32" Type="http://schemas.openxmlformats.org/officeDocument/2006/relationships/worksheet" Target="worksheets/sheet3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worksheet" Target="worksheets/sheet22.xml"/><Relationship Id="rId28" Type="http://schemas.openxmlformats.org/officeDocument/2006/relationships/worksheet" Target="worksheets/sheet27.xml"/><Relationship Id="rId36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worksheet" Target="worksheets/sheet18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openxmlformats.org/officeDocument/2006/relationships/worksheet" Target="worksheets/sheet21.xml"/><Relationship Id="rId27" Type="http://schemas.openxmlformats.org/officeDocument/2006/relationships/worksheet" Target="worksheets/sheet26.xml"/><Relationship Id="rId30" Type="http://schemas.openxmlformats.org/officeDocument/2006/relationships/worksheet" Target="worksheets/sheet29.xml"/><Relationship Id="rId35" Type="http://schemas.openxmlformats.org/officeDocument/2006/relationships/theme" Target="theme/theme1.xml"/><Relationship Id="rId8" Type="http://schemas.openxmlformats.org/officeDocument/2006/relationships/worksheet" Target="worksheets/sheet7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contest_life!$K$29</c:f>
              <c:strCache>
                <c:ptCount val="1"/>
                <c:pt idx="0">
                  <c:v>4,737</c:v>
                </c:pt>
              </c:strCache>
            </c:strRef>
          </c:tx>
          <c:invertIfNegative val="0"/>
          <c:val>
            <c:numRef>
              <c:f>contest_life!$L$29</c:f>
              <c:numCache>
                <c:formatCode>General</c:formatCode>
                <c:ptCount val="1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4132608"/>
        <c:axId val="60748288"/>
      </c:barChart>
      <c:catAx>
        <c:axId val="544132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0748288"/>
        <c:crosses val="autoZero"/>
        <c:auto val="1"/>
        <c:lblAlgn val="ctr"/>
        <c:lblOffset val="100"/>
        <c:noMultiLvlLbl val="0"/>
      </c:catAx>
      <c:valAx>
        <c:axId val="6074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44132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Verhältnis dw/mlS - Platz 1bis 6</a:t>
            </a:r>
          </a:p>
        </c:rich>
      </c:tx>
      <c:layout>
        <c:manualLayout>
          <c:xMode val="edge"/>
          <c:yMode val="edge"/>
          <c:x val="0.263671875"/>
          <c:y val="3.2994923857868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763020833333334"/>
          <c:y val="0.14974637847296665"/>
          <c:w val="0.73502604166666663"/>
          <c:h val="0.81472182186139486"/>
        </c:manualLayout>
      </c:layout>
      <c:barChart>
        <c:barDir val="bar"/>
        <c:grouping val="clustered"/>
        <c:varyColors val="0"/>
        <c:ser>
          <c:idx val="2"/>
          <c:order val="0"/>
          <c:tx>
            <c:v>Verhältnis mlS/dw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verhaeltniss!$B$3:$B$8</c:f>
              <c:strCache>
                <c:ptCount val="6"/>
                <c:pt idx="0">
                  <c:v>Titanic II</c:v>
                </c:pt>
                <c:pt idx="1">
                  <c:v>Little Nemo</c:v>
                </c:pt>
                <c:pt idx="2">
                  <c:v>Hong Nga 1</c:v>
                </c:pt>
                <c:pt idx="3">
                  <c:v>Under Water</c:v>
                </c:pt>
                <c:pt idx="4">
                  <c:v>Skipper</c:v>
                </c:pt>
                <c:pt idx="5">
                  <c:v>sensor 2013</c:v>
                </c:pt>
              </c:strCache>
            </c:strRef>
          </c:cat>
          <c:val>
            <c:numRef>
              <c:f>verhaeltniss!$E$3:$E$8</c:f>
              <c:numCache>
                <c:formatCode>0.00</c:formatCode>
                <c:ptCount val="6"/>
                <c:pt idx="0">
                  <c:v>1.4373913043478259</c:v>
                </c:pt>
                <c:pt idx="1">
                  <c:v>0.95463917525773201</c:v>
                </c:pt>
                <c:pt idx="2">
                  <c:v>0.88071428571428567</c:v>
                </c:pt>
                <c:pt idx="3">
                  <c:v>0.67388888888888876</c:v>
                </c:pt>
                <c:pt idx="4">
                  <c:v>0.38717391304347826</c:v>
                </c:pt>
                <c:pt idx="5">
                  <c:v>0.37623762376237624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40"/>
        <c:axId val="549271552"/>
        <c:axId val="532775488"/>
      </c:barChart>
      <c:catAx>
        <c:axId val="5492715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53277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32775488"/>
        <c:scaling>
          <c:orientation val="minMax"/>
        </c:scaling>
        <c:delete val="1"/>
        <c:axPos val="t"/>
        <c:numFmt formatCode="0.00" sourceLinked="1"/>
        <c:majorTickMark val="out"/>
        <c:minorTickMark val="none"/>
        <c:tickLblPos val="nextTo"/>
        <c:crossAx val="54927155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val="666699"/>
        </a:gs>
        <a:gs pos="100000">
          <a:srgbClr val="003366"/>
        </a:gs>
      </a:gsLst>
      <a:path path="rect">
        <a:fillToRect l="50000" t="50000" r="50000" b="50000"/>
      </a:path>
    </a:gra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de-DE"/>
              <a:t>Tragfähigkeit - Platz 1 bis 6</a:t>
            </a:r>
          </a:p>
        </c:rich>
      </c:tx>
      <c:layout>
        <c:manualLayout>
          <c:xMode val="edge"/>
          <c:yMode val="edge"/>
          <c:x val="0.28888952517298977"/>
          <c:y val="3.29949238578680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424263633712452"/>
          <c:y val="0.14974637847296665"/>
          <c:w val="0.60808229274371006"/>
          <c:h val="0.81472182186139486"/>
        </c:manualLayout>
      </c:layout>
      <c:barChart>
        <c:barDir val="bar"/>
        <c:grouping val="clustered"/>
        <c:varyColors val="0"/>
        <c:ser>
          <c:idx val="3"/>
          <c:order val="0"/>
          <c:tx>
            <c:v>Vorhersage</c:v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'd-weight'!$J$3:$J$8</c:f>
              <c:strCache>
                <c:ptCount val="4"/>
                <c:pt idx="0">
                  <c:v>Titanic II</c:v>
                </c:pt>
                <c:pt idx="1">
                  <c:v>Little Nemo</c:v>
                </c:pt>
                <c:pt idx="2">
                  <c:v>Hong Nga 1</c:v>
                </c:pt>
                <c:pt idx="3">
                  <c:v>Skipper</c:v>
                </c:pt>
              </c:strCache>
            </c:strRef>
          </c:cat>
          <c:val>
            <c:numRef>
              <c:f>'d-weight'!$L$3:$L$8</c:f>
              <c:numCache>
                <c:formatCode>General</c:formatCode>
                <c:ptCount val="6"/>
                <c:pt idx="0">
                  <c:v>500</c:v>
                </c:pt>
                <c:pt idx="1">
                  <c:v>1</c:v>
                </c:pt>
                <c:pt idx="2">
                  <c:v>200</c:v>
                </c:pt>
                <c:pt idx="3">
                  <c:v>350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v>Deathweight</c:v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1"/>
            <c:showPercent val="0"/>
            <c:showBubbleSize val="0"/>
            <c:showLeaderLines val="0"/>
          </c:dLbls>
          <c:cat>
            <c:strRef>
              <c:f>'d-weight'!$J$3:$J$8</c:f>
              <c:strCache>
                <c:ptCount val="4"/>
                <c:pt idx="0">
                  <c:v>Titanic II</c:v>
                </c:pt>
                <c:pt idx="1">
                  <c:v>Little Nemo</c:v>
                </c:pt>
                <c:pt idx="2">
                  <c:v>Hong Nga 1</c:v>
                </c:pt>
                <c:pt idx="3">
                  <c:v>Skipper</c:v>
                </c:pt>
              </c:strCache>
            </c:strRef>
          </c:cat>
          <c:val>
            <c:numRef>
              <c:f>'d-weight'!$K$3:$K$8</c:f>
              <c:numCache>
                <c:formatCode>General</c:formatCode>
                <c:ptCount val="6"/>
                <c:pt idx="0">
                  <c:v>9.9179999999999993</c:v>
                </c:pt>
                <c:pt idx="1">
                  <c:v>9.26</c:v>
                </c:pt>
                <c:pt idx="2">
                  <c:v>6.165</c:v>
                </c:pt>
                <c:pt idx="3">
                  <c:v>3.5619999999999998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549081088"/>
        <c:axId val="60748864"/>
      </c:barChart>
      <c:catAx>
        <c:axId val="54908108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de-DE"/>
          </a:p>
        </c:txPr>
        <c:crossAx val="607488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0748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4908108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 rotWithShape="0">
      <a:gsLst>
        <a:gs pos="0">
          <a:srgbClr val="666699"/>
        </a:gs>
        <a:gs pos="100000">
          <a:srgbClr val="003366"/>
        </a:gs>
      </a:gsLst>
      <a:path path="rect">
        <a:fillToRect l="50000" t="50000" r="50000" b="50000"/>
      </a:path>
    </a:gra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de-DE"/>
    </a:p>
  </c:txPr>
  <c:printSettings>
    <c:headerFooter alignWithMargins="0"/>
    <c:pageMargins b="0.984251969" l="0.78740157499999996" r="0.78740157499999996" t="0.984251969" header="0.5" footer="0.5"/>
    <c:pageSetup paperSize="9" orientation="landscape" horizontalDpi="-3" verticalDpi="300"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77" workbookViewId="0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0" dropStyle="combo" dx="16" fmlaLink="$U$44" fmlaRange="all_data!$B$3:$B$144" sel="56" val="52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image" Target="../media/image5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jpeg"/><Relationship Id="rId5" Type="http://schemas.openxmlformats.org/officeDocument/2006/relationships/image" Target="../media/image3.jpe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1027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1428750</xdr:colOff>
      <xdr:row>0</xdr:row>
      <xdr:rowOff>28575</xdr:rowOff>
    </xdr:from>
    <xdr:to>
      <xdr:col>14</xdr:col>
      <xdr:colOff>742950</xdr:colOff>
      <xdr:row>23</xdr:row>
      <xdr:rowOff>57150</xdr:rowOff>
    </xdr:to>
    <xdr:graphicFrame macro="">
      <xdr:nvGraphicFramePr>
        <xdr:cNvPr id="333666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38100</xdr:colOff>
      <xdr:row>0</xdr:row>
      <xdr:rowOff>28575</xdr:rowOff>
    </xdr:from>
    <xdr:to>
      <xdr:col>5</xdr:col>
      <xdr:colOff>1381125</xdr:colOff>
      <xdr:row>23</xdr:row>
      <xdr:rowOff>57150</xdr:rowOff>
    </xdr:to>
    <xdr:graphicFrame macro="">
      <xdr:nvGraphicFramePr>
        <xdr:cNvPr id="333667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oneCell">
    <xdr:from>
      <xdr:col>6</xdr:col>
      <xdr:colOff>295275</xdr:colOff>
      <xdr:row>29</xdr:row>
      <xdr:rowOff>114300</xdr:rowOff>
    </xdr:from>
    <xdr:to>
      <xdr:col>10</xdr:col>
      <xdr:colOff>0</xdr:colOff>
      <xdr:row>34</xdr:row>
      <xdr:rowOff>0</xdr:rowOff>
    </xdr:to>
    <xdr:pic>
      <xdr:nvPicPr>
        <xdr:cNvPr id="333668" name="Picture 12" descr="uni-logo-104-blau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4886325"/>
          <a:ext cx="762000" cy="733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590550</xdr:colOff>
      <xdr:row>30</xdr:row>
      <xdr:rowOff>114300</xdr:rowOff>
    </xdr:from>
    <xdr:to>
      <xdr:col>13</xdr:col>
      <xdr:colOff>666750</xdr:colOff>
      <xdr:row>33</xdr:row>
      <xdr:rowOff>85725</xdr:rowOff>
    </xdr:to>
    <xdr:pic>
      <xdr:nvPicPr>
        <xdr:cNvPr id="333669" name="Picture 17" descr="paperboat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0" y="5048250"/>
          <a:ext cx="8382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34</xdr:row>
      <xdr:rowOff>57150</xdr:rowOff>
    </xdr:from>
    <xdr:to>
      <xdr:col>1</xdr:col>
      <xdr:colOff>552450</xdr:colOff>
      <xdr:row>37</xdr:row>
      <xdr:rowOff>114300</xdr:rowOff>
    </xdr:to>
    <xdr:pic>
      <xdr:nvPicPr>
        <xdr:cNvPr id="333670" name="Picture 18" descr="gelb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5676900"/>
          <a:ext cx="5429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19050</xdr:colOff>
      <xdr:row>34</xdr:row>
      <xdr:rowOff>57150</xdr:rowOff>
    </xdr:from>
    <xdr:to>
      <xdr:col>2</xdr:col>
      <xdr:colOff>561975</xdr:colOff>
      <xdr:row>37</xdr:row>
      <xdr:rowOff>114300</xdr:rowOff>
    </xdr:to>
    <xdr:pic>
      <xdr:nvPicPr>
        <xdr:cNvPr id="333671" name="Picture 19" descr="ro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5676900"/>
          <a:ext cx="5429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600075</xdr:colOff>
      <xdr:row>34</xdr:row>
      <xdr:rowOff>57150</xdr:rowOff>
    </xdr:from>
    <xdr:to>
      <xdr:col>2</xdr:col>
      <xdr:colOff>1143000</xdr:colOff>
      <xdr:row>37</xdr:row>
      <xdr:rowOff>114300</xdr:rowOff>
    </xdr:to>
    <xdr:pic>
      <xdr:nvPicPr>
        <xdr:cNvPr id="333672" name="Picture 20" descr="gruen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3025" y="5676900"/>
          <a:ext cx="542925" cy="542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25</xdr:row>
          <xdr:rowOff>133350</xdr:rowOff>
        </xdr:from>
        <xdr:to>
          <xdr:col>14</xdr:col>
          <xdr:colOff>200025</xdr:colOff>
          <xdr:row>27</xdr:row>
          <xdr:rowOff>47625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Manuelle Eingabe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25</xdr:row>
          <xdr:rowOff>161925</xdr:rowOff>
        </xdr:from>
        <xdr:to>
          <xdr:col>12</xdr:col>
          <xdr:colOff>142875</xdr:colOff>
          <xdr:row>27</xdr:row>
          <xdr:rowOff>38100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34</xdr:row>
          <xdr:rowOff>104775</xdr:rowOff>
        </xdr:from>
        <xdr:to>
          <xdr:col>13</xdr:col>
          <xdr:colOff>752475</xdr:colOff>
          <xdr:row>36</xdr:row>
          <xdr:rowOff>19050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Drucke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27</xdr:row>
          <xdr:rowOff>152400</xdr:rowOff>
        </xdr:from>
        <xdr:to>
          <xdr:col>14</xdr:col>
          <xdr:colOff>190500</xdr:colOff>
          <xdr:row>29</xdr:row>
          <xdr:rowOff>47625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Erfassen&amp;Auswerten 1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53</xdr:row>
          <xdr:rowOff>47625</xdr:rowOff>
        </xdr:from>
        <xdr:to>
          <xdr:col>2</xdr:col>
          <xdr:colOff>657225</xdr:colOff>
          <xdr:row>55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Connect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48</xdr:row>
          <xdr:rowOff>19050</xdr:rowOff>
        </xdr:from>
        <xdr:to>
          <xdr:col>2</xdr:col>
          <xdr:colOff>828675</xdr:colOff>
          <xdr:row>49</xdr:row>
          <xdr:rowOff>133350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Erfassen&amp;Auswerten 2</a:t>
              </a:r>
            </a:p>
            <a:p>
              <a:pPr algn="ctr" rtl="0">
                <a:defRPr sz="1000"/>
              </a:pPr>
              <a:endParaRPr lang="de-DE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12559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135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99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46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76200</xdr:rowOff>
    </xdr:from>
    <xdr:to>
      <xdr:col>7</xdr:col>
      <xdr:colOff>619125</xdr:colOff>
      <xdr:row>45</xdr:row>
      <xdr:rowOff>85725</xdr:rowOff>
    </xdr:to>
    <xdr:pic>
      <xdr:nvPicPr>
        <xdr:cNvPr id="156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342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66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76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87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197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207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114300</xdr:rowOff>
    </xdr:from>
    <xdr:to>
      <xdr:col>7</xdr:col>
      <xdr:colOff>619125</xdr:colOff>
      <xdr:row>45</xdr:row>
      <xdr:rowOff>123825</xdr:rowOff>
    </xdr:to>
    <xdr:pic>
      <xdr:nvPicPr>
        <xdr:cNvPr id="217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723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2279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9140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2382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9140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114300</xdr:rowOff>
    </xdr:from>
    <xdr:to>
      <xdr:col>7</xdr:col>
      <xdr:colOff>619125</xdr:colOff>
      <xdr:row>45</xdr:row>
      <xdr:rowOff>123825</xdr:rowOff>
    </xdr:to>
    <xdr:pic>
      <xdr:nvPicPr>
        <xdr:cNvPr id="2996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723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2894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2791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2689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9140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2586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41045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2484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9140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43</xdr:row>
      <xdr:rowOff>0</xdr:rowOff>
    </xdr:from>
    <xdr:to>
      <xdr:col>7</xdr:col>
      <xdr:colOff>619125</xdr:colOff>
      <xdr:row>45</xdr:row>
      <xdr:rowOff>171450</xdr:rowOff>
    </xdr:to>
    <xdr:pic>
      <xdr:nvPicPr>
        <xdr:cNvPr id="3098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53300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3201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2472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152400</xdr:rowOff>
    </xdr:from>
    <xdr:to>
      <xdr:col>7</xdr:col>
      <xdr:colOff>619125</xdr:colOff>
      <xdr:row>45</xdr:row>
      <xdr:rowOff>161925</xdr:rowOff>
    </xdr:to>
    <xdr:pic>
      <xdr:nvPicPr>
        <xdr:cNvPr id="330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4377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340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2472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350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2472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304800</xdr:colOff>
      <xdr:row>42</xdr:row>
      <xdr:rowOff>133350</xdr:rowOff>
    </xdr:from>
    <xdr:to>
      <xdr:col>7</xdr:col>
      <xdr:colOff>619125</xdr:colOff>
      <xdr:row>45</xdr:row>
      <xdr:rowOff>142875</xdr:rowOff>
    </xdr:to>
    <xdr:pic>
      <xdr:nvPicPr>
        <xdr:cNvPr id="361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324725"/>
          <a:ext cx="1838325" cy="495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vonne.wessels@gymnasium-papenburg.de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mailto:benno.weischer@t-online.de" TargetMode="External"/><Relationship Id="rId5" Type="http://schemas.openxmlformats.org/officeDocument/2006/relationships/hyperlink" Target="mailto:frankhollje@t-online.de" TargetMode="External"/><Relationship Id="rId4" Type="http://schemas.openxmlformats.org/officeDocument/2006/relationships/hyperlink" Target="mailto:frankhollje@t-online.de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9.bin"/><Relationship Id="rId7" Type="http://schemas.openxmlformats.org/officeDocument/2006/relationships/ctrlProp" Target="../ctrlProps/ctrlProp2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4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vmlDrawing" Target="../drawings/vmlDrawing7.vml"/><Relationship Id="rId4" Type="http://schemas.openxmlformats.org/officeDocument/2006/relationships/drawing" Target="../drawings/drawing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28.bin"/><Relationship Id="rId5" Type="http://schemas.openxmlformats.org/officeDocument/2006/relationships/vmlDrawing" Target="../drawings/vmlDrawing8.vml"/><Relationship Id="rId4" Type="http://schemas.openxmlformats.org/officeDocument/2006/relationships/drawing" Target="../drawings/drawing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rinterSettings" Target="../printerSettings/printerSettings32.bin"/><Relationship Id="rId1" Type="http://schemas.openxmlformats.org/officeDocument/2006/relationships/printerSettings" Target="../printerSettings/printerSettings31.bin"/><Relationship Id="rId5" Type="http://schemas.openxmlformats.org/officeDocument/2006/relationships/vmlDrawing" Target="../drawings/vmlDrawing9.vml"/><Relationship Id="rId4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5" Type="http://schemas.openxmlformats.org/officeDocument/2006/relationships/vmlDrawing" Target="../drawings/vmlDrawing11.vml"/><Relationship Id="rId4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rinterSettings" Target="../printerSettings/printerSettings41.bin"/><Relationship Id="rId1" Type="http://schemas.openxmlformats.org/officeDocument/2006/relationships/printerSettings" Target="../printerSettings/printerSettings40.bin"/><Relationship Id="rId5" Type="http://schemas.openxmlformats.org/officeDocument/2006/relationships/vmlDrawing" Target="../drawings/vmlDrawing12.vml"/><Relationship Id="rId4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Relationship Id="rId5" Type="http://schemas.openxmlformats.org/officeDocument/2006/relationships/vmlDrawing" Target="../drawings/vmlDrawing13.vml"/><Relationship Id="rId4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rinterSettings" Target="../printerSettings/printerSettings47.bin"/><Relationship Id="rId1" Type="http://schemas.openxmlformats.org/officeDocument/2006/relationships/printerSettings" Target="../printerSettings/printerSettings46.bin"/><Relationship Id="rId5" Type="http://schemas.openxmlformats.org/officeDocument/2006/relationships/vmlDrawing" Target="../drawings/vmlDrawing14.vml"/><Relationship Id="rId4" Type="http://schemas.openxmlformats.org/officeDocument/2006/relationships/drawing" Target="../drawings/drawing1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rinterSettings" Target="../printerSettings/printerSettings50.bin"/><Relationship Id="rId1" Type="http://schemas.openxmlformats.org/officeDocument/2006/relationships/printerSettings" Target="../printerSettings/printerSettings49.bin"/><Relationship Id="rId5" Type="http://schemas.openxmlformats.org/officeDocument/2006/relationships/vmlDrawing" Target="../drawings/vmlDrawing15.vml"/><Relationship Id="rId4" Type="http://schemas.openxmlformats.org/officeDocument/2006/relationships/drawing" Target="../drawings/drawing1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rinterSettings" Target="../printerSettings/printerSettings53.bin"/><Relationship Id="rId1" Type="http://schemas.openxmlformats.org/officeDocument/2006/relationships/printerSettings" Target="../printerSettings/printerSettings52.bin"/><Relationship Id="rId5" Type="http://schemas.openxmlformats.org/officeDocument/2006/relationships/vmlDrawing" Target="../drawings/vmlDrawing16.vml"/><Relationship Id="rId4" Type="http://schemas.openxmlformats.org/officeDocument/2006/relationships/drawing" Target="../drawings/drawing1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7.bin"/><Relationship Id="rId2" Type="http://schemas.openxmlformats.org/officeDocument/2006/relationships/printerSettings" Target="../printerSettings/printerSettings56.bin"/><Relationship Id="rId1" Type="http://schemas.openxmlformats.org/officeDocument/2006/relationships/printerSettings" Target="../printerSettings/printerSettings55.bin"/><Relationship Id="rId5" Type="http://schemas.openxmlformats.org/officeDocument/2006/relationships/vmlDrawing" Target="../drawings/vmlDrawing17.vml"/><Relationship Id="rId4" Type="http://schemas.openxmlformats.org/officeDocument/2006/relationships/drawing" Target="../drawings/drawing1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0.bin"/><Relationship Id="rId2" Type="http://schemas.openxmlformats.org/officeDocument/2006/relationships/printerSettings" Target="../printerSettings/printerSettings59.bin"/><Relationship Id="rId1" Type="http://schemas.openxmlformats.org/officeDocument/2006/relationships/printerSettings" Target="../printerSettings/printerSettings58.bin"/><Relationship Id="rId5" Type="http://schemas.openxmlformats.org/officeDocument/2006/relationships/vmlDrawing" Target="../drawings/vmlDrawing18.v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3.bin"/><Relationship Id="rId2" Type="http://schemas.openxmlformats.org/officeDocument/2006/relationships/printerSettings" Target="../printerSettings/printerSettings62.bin"/><Relationship Id="rId1" Type="http://schemas.openxmlformats.org/officeDocument/2006/relationships/printerSettings" Target="../printerSettings/printerSettings61.bin"/><Relationship Id="rId5" Type="http://schemas.openxmlformats.org/officeDocument/2006/relationships/vmlDrawing" Target="../drawings/vmlDrawing19.vml"/><Relationship Id="rId4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6.bin"/><Relationship Id="rId2" Type="http://schemas.openxmlformats.org/officeDocument/2006/relationships/printerSettings" Target="../printerSettings/printerSettings65.bin"/><Relationship Id="rId1" Type="http://schemas.openxmlformats.org/officeDocument/2006/relationships/printerSettings" Target="../printerSettings/printerSettings64.bin"/><Relationship Id="rId5" Type="http://schemas.openxmlformats.org/officeDocument/2006/relationships/vmlDrawing" Target="../drawings/vmlDrawing20.vml"/><Relationship Id="rId4" Type="http://schemas.openxmlformats.org/officeDocument/2006/relationships/drawing" Target="../drawings/drawing1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9.bin"/><Relationship Id="rId2" Type="http://schemas.openxmlformats.org/officeDocument/2006/relationships/printerSettings" Target="../printerSettings/printerSettings68.bin"/><Relationship Id="rId1" Type="http://schemas.openxmlformats.org/officeDocument/2006/relationships/printerSettings" Target="../printerSettings/printerSettings67.bin"/><Relationship Id="rId5" Type="http://schemas.openxmlformats.org/officeDocument/2006/relationships/vmlDrawing" Target="../drawings/vmlDrawing21.vml"/><Relationship Id="rId4" Type="http://schemas.openxmlformats.org/officeDocument/2006/relationships/drawing" Target="../drawings/drawing19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2.bin"/><Relationship Id="rId2" Type="http://schemas.openxmlformats.org/officeDocument/2006/relationships/printerSettings" Target="../printerSettings/printerSettings71.bin"/><Relationship Id="rId1" Type="http://schemas.openxmlformats.org/officeDocument/2006/relationships/printerSettings" Target="../printerSettings/printerSettings70.bin"/><Relationship Id="rId5" Type="http://schemas.openxmlformats.org/officeDocument/2006/relationships/vmlDrawing" Target="../drawings/vmlDrawing22.vml"/><Relationship Id="rId4" Type="http://schemas.openxmlformats.org/officeDocument/2006/relationships/drawing" Target="../drawings/drawing20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5.bin"/><Relationship Id="rId2" Type="http://schemas.openxmlformats.org/officeDocument/2006/relationships/printerSettings" Target="../printerSettings/printerSettings74.bin"/><Relationship Id="rId1" Type="http://schemas.openxmlformats.org/officeDocument/2006/relationships/printerSettings" Target="../printerSettings/printerSettings73.bin"/><Relationship Id="rId5" Type="http://schemas.openxmlformats.org/officeDocument/2006/relationships/vmlDrawing" Target="../drawings/vmlDrawing23.vml"/><Relationship Id="rId4" Type="http://schemas.openxmlformats.org/officeDocument/2006/relationships/drawing" Target="../drawings/drawing2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8.bin"/><Relationship Id="rId2" Type="http://schemas.openxmlformats.org/officeDocument/2006/relationships/printerSettings" Target="../printerSettings/printerSettings77.bin"/><Relationship Id="rId1" Type="http://schemas.openxmlformats.org/officeDocument/2006/relationships/printerSettings" Target="../printerSettings/printerSettings76.bin"/><Relationship Id="rId5" Type="http://schemas.openxmlformats.org/officeDocument/2006/relationships/vmlDrawing" Target="../drawings/vmlDrawing24.vml"/><Relationship Id="rId4" Type="http://schemas.openxmlformats.org/officeDocument/2006/relationships/drawing" Target="../drawings/drawing2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1.bin"/><Relationship Id="rId2" Type="http://schemas.openxmlformats.org/officeDocument/2006/relationships/printerSettings" Target="../printerSettings/printerSettings80.bin"/><Relationship Id="rId1" Type="http://schemas.openxmlformats.org/officeDocument/2006/relationships/printerSettings" Target="../printerSettings/printerSettings79.bin"/><Relationship Id="rId5" Type="http://schemas.openxmlformats.org/officeDocument/2006/relationships/vmlDrawing" Target="../drawings/vmlDrawing25.vml"/><Relationship Id="rId4" Type="http://schemas.openxmlformats.org/officeDocument/2006/relationships/drawing" Target="../drawings/drawing2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4.bin"/><Relationship Id="rId2" Type="http://schemas.openxmlformats.org/officeDocument/2006/relationships/printerSettings" Target="../printerSettings/printerSettings83.bin"/><Relationship Id="rId1" Type="http://schemas.openxmlformats.org/officeDocument/2006/relationships/printerSettings" Target="../printerSettings/printerSettings82.bin"/><Relationship Id="rId5" Type="http://schemas.openxmlformats.org/officeDocument/2006/relationships/vmlDrawing" Target="../drawings/vmlDrawing26.vml"/><Relationship Id="rId4" Type="http://schemas.openxmlformats.org/officeDocument/2006/relationships/drawing" Target="../drawings/drawing24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7.bin"/><Relationship Id="rId2" Type="http://schemas.openxmlformats.org/officeDocument/2006/relationships/printerSettings" Target="../printerSettings/printerSettings86.bin"/><Relationship Id="rId1" Type="http://schemas.openxmlformats.org/officeDocument/2006/relationships/printerSettings" Target="../printerSettings/printerSettings85.bin"/><Relationship Id="rId5" Type="http://schemas.openxmlformats.org/officeDocument/2006/relationships/vmlDrawing" Target="../drawings/vmlDrawing27.vml"/><Relationship Id="rId4" Type="http://schemas.openxmlformats.org/officeDocument/2006/relationships/drawing" Target="../drawings/drawing2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0.bin"/><Relationship Id="rId2" Type="http://schemas.openxmlformats.org/officeDocument/2006/relationships/printerSettings" Target="../printerSettings/printerSettings89.bin"/><Relationship Id="rId1" Type="http://schemas.openxmlformats.org/officeDocument/2006/relationships/printerSettings" Target="../printerSettings/printerSettings88.bin"/><Relationship Id="rId5" Type="http://schemas.openxmlformats.org/officeDocument/2006/relationships/vmlDrawing" Target="../drawings/vmlDrawing28.vml"/><Relationship Id="rId4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1">
    <tabColor indexed="12"/>
  </sheetPr>
  <dimension ref="A1:O406"/>
  <sheetViews>
    <sheetView zoomScaleNormal="100" workbookViewId="0">
      <pane ySplit="1" topLeftCell="A17" activePane="bottomLeft" state="frozen"/>
      <selection pane="bottomLeft" activeCell="E12" sqref="E12"/>
    </sheetView>
  </sheetViews>
  <sheetFormatPr baseColWidth="10" defaultRowHeight="12.75"/>
  <cols>
    <col min="1" max="1" width="5.7109375" customWidth="1"/>
    <col min="2" max="2" width="28.7109375" style="103" customWidth="1"/>
    <col min="3" max="3" width="8" style="1" customWidth="1"/>
    <col min="4" max="4" width="3.140625" style="1" customWidth="1"/>
    <col min="5" max="5" width="3.28515625" style="1" customWidth="1"/>
    <col min="6" max="6" width="9.28515625" style="1" customWidth="1"/>
    <col min="7" max="7" width="6.85546875" style="1" customWidth="1"/>
    <col min="8" max="8" width="30.140625" style="75" customWidth="1"/>
    <col min="9" max="9" width="24.42578125" customWidth="1"/>
    <col min="10" max="10" width="5.140625" customWidth="1"/>
    <col min="11" max="11" width="25.5703125" customWidth="1"/>
    <col min="12" max="12" width="9.85546875" customWidth="1"/>
    <col min="13" max="13" width="16.7109375" customWidth="1"/>
    <col min="14" max="14" width="21" customWidth="1"/>
    <col min="15" max="15" width="35.85546875" customWidth="1"/>
  </cols>
  <sheetData>
    <row r="1" spans="1:15" s="16" customFormat="1" ht="15">
      <c r="A1" s="16" t="s">
        <v>0</v>
      </c>
      <c r="B1" s="102" t="s">
        <v>27</v>
      </c>
      <c r="C1" s="17" t="s">
        <v>5</v>
      </c>
      <c r="D1" s="17" t="s">
        <v>6</v>
      </c>
      <c r="E1" s="17" t="s">
        <v>1</v>
      </c>
      <c r="F1" s="17" t="s">
        <v>7</v>
      </c>
      <c r="G1" s="17" t="s">
        <v>2</v>
      </c>
      <c r="H1" s="74" t="s">
        <v>19</v>
      </c>
      <c r="I1" s="16" t="s">
        <v>20</v>
      </c>
      <c r="J1" s="16" t="s">
        <v>21</v>
      </c>
      <c r="K1" s="16" t="s">
        <v>22</v>
      </c>
      <c r="L1" s="16" t="s">
        <v>23</v>
      </c>
      <c r="M1" s="16" t="s">
        <v>24</v>
      </c>
      <c r="N1" s="16" t="s">
        <v>25</v>
      </c>
      <c r="O1" s="16" t="s">
        <v>26</v>
      </c>
    </row>
    <row r="2" spans="1:15" s="16" customFormat="1" ht="15">
      <c r="B2" s="102"/>
      <c r="C2" s="17" t="s">
        <v>3</v>
      </c>
      <c r="D2" s="17" t="s">
        <v>3</v>
      </c>
      <c r="E2" s="17" t="s">
        <v>4</v>
      </c>
      <c r="F2" s="17" t="s">
        <v>3</v>
      </c>
      <c r="G2" s="17"/>
      <c r="H2" s="74"/>
    </row>
    <row r="3" spans="1:15">
      <c r="A3" s="1">
        <v>66</v>
      </c>
      <c r="B3" s="103" t="s">
        <v>231</v>
      </c>
      <c r="C3" s="2">
        <v>8.1</v>
      </c>
      <c r="E3" s="3"/>
      <c r="F3" s="1">
        <v>1</v>
      </c>
      <c r="H3" s="75" t="s">
        <v>232</v>
      </c>
      <c r="I3" t="s">
        <v>205</v>
      </c>
      <c r="K3" s="105" t="s">
        <v>206</v>
      </c>
      <c r="L3">
        <v>73447</v>
      </c>
      <c r="M3" t="s">
        <v>207</v>
      </c>
    </row>
    <row r="4" spans="1:15">
      <c r="A4" s="1">
        <v>69</v>
      </c>
      <c r="B4" s="103" t="s">
        <v>237</v>
      </c>
      <c r="C4" s="2">
        <v>8.5</v>
      </c>
      <c r="E4" s="3"/>
      <c r="F4" s="1">
        <v>1</v>
      </c>
      <c r="H4" s="75" t="s">
        <v>238</v>
      </c>
      <c r="I4" t="s">
        <v>205</v>
      </c>
      <c r="K4" s="105" t="s">
        <v>206</v>
      </c>
      <c r="L4">
        <v>73447</v>
      </c>
      <c r="M4" t="s">
        <v>207</v>
      </c>
    </row>
    <row r="5" spans="1:15">
      <c r="A5" s="1">
        <v>58</v>
      </c>
      <c r="B5" s="103" t="s">
        <v>216</v>
      </c>
      <c r="C5" s="2">
        <v>8.8000000000000007</v>
      </c>
      <c r="E5" s="3"/>
      <c r="F5" s="1">
        <v>1</v>
      </c>
      <c r="H5" s="75" t="s">
        <v>217</v>
      </c>
      <c r="I5" t="s">
        <v>205</v>
      </c>
      <c r="K5" s="105" t="s">
        <v>206</v>
      </c>
      <c r="L5">
        <v>73447</v>
      </c>
      <c r="M5" t="s">
        <v>207</v>
      </c>
      <c r="O5" s="4"/>
    </row>
    <row r="6" spans="1:15">
      <c r="A6" s="1">
        <v>56</v>
      </c>
      <c r="B6" s="103" t="s">
        <v>212</v>
      </c>
      <c r="C6" s="2">
        <v>8.5</v>
      </c>
      <c r="E6" s="3"/>
      <c r="F6" s="1">
        <v>1</v>
      </c>
      <c r="H6" s="75" t="s">
        <v>213</v>
      </c>
      <c r="I6" t="s">
        <v>205</v>
      </c>
      <c r="K6" s="105" t="s">
        <v>206</v>
      </c>
      <c r="L6">
        <v>73447</v>
      </c>
      <c r="M6" t="s">
        <v>207</v>
      </c>
      <c r="O6" s="4"/>
    </row>
    <row r="7" spans="1:15">
      <c r="A7" s="1">
        <v>62</v>
      </c>
      <c r="B7" s="103" t="s">
        <v>224</v>
      </c>
      <c r="C7" s="2">
        <v>9</v>
      </c>
      <c r="E7" s="3"/>
      <c r="F7" s="1">
        <v>1</v>
      </c>
      <c r="H7" s="75" t="s">
        <v>225</v>
      </c>
      <c r="I7" t="s">
        <v>205</v>
      </c>
      <c r="K7" s="105" t="s">
        <v>206</v>
      </c>
      <c r="L7">
        <v>73447</v>
      </c>
      <c r="M7" t="s">
        <v>207</v>
      </c>
    </row>
    <row r="8" spans="1:15">
      <c r="A8" s="1">
        <v>7</v>
      </c>
      <c r="B8" s="103" t="s">
        <v>104</v>
      </c>
      <c r="C8" s="2">
        <v>9.4</v>
      </c>
      <c r="E8" s="3"/>
      <c r="F8" s="1">
        <v>1</v>
      </c>
      <c r="H8" s="75" t="s">
        <v>105</v>
      </c>
      <c r="I8" t="s">
        <v>106</v>
      </c>
      <c r="M8" t="s">
        <v>107</v>
      </c>
    </row>
    <row r="9" spans="1:15" ht="38.25">
      <c r="A9" s="1">
        <v>115</v>
      </c>
      <c r="B9" s="103" t="s">
        <v>341</v>
      </c>
      <c r="C9" s="2">
        <v>9.4</v>
      </c>
      <c r="E9" s="3"/>
      <c r="F9" s="1">
        <v>1</v>
      </c>
      <c r="H9" s="75" t="s">
        <v>343</v>
      </c>
      <c r="I9" t="s">
        <v>342</v>
      </c>
      <c r="K9" t="s">
        <v>344</v>
      </c>
      <c r="L9">
        <v>17506</v>
      </c>
      <c r="M9" t="s">
        <v>345</v>
      </c>
    </row>
    <row r="10" spans="1:15" ht="38.25">
      <c r="A10" s="1">
        <v>105</v>
      </c>
      <c r="B10" s="103" t="s">
        <v>316</v>
      </c>
      <c r="C10" s="2">
        <v>12</v>
      </c>
      <c r="E10" s="3"/>
      <c r="F10" s="1">
        <v>1</v>
      </c>
      <c r="H10" s="75" t="s">
        <v>317</v>
      </c>
      <c r="I10" t="s">
        <v>258</v>
      </c>
      <c r="K10" s="101" t="s">
        <v>259</v>
      </c>
      <c r="L10">
        <v>48147</v>
      </c>
      <c r="M10" t="s">
        <v>260</v>
      </c>
    </row>
    <row r="11" spans="1:15">
      <c r="A11" s="1">
        <v>64</v>
      </c>
      <c r="B11" s="103" t="s">
        <v>228</v>
      </c>
      <c r="C11" s="2">
        <v>9.3000000000000007</v>
      </c>
      <c r="E11" s="3"/>
      <c r="F11" s="1">
        <v>1</v>
      </c>
      <c r="H11" s="75" t="s">
        <v>196</v>
      </c>
      <c r="I11" t="s">
        <v>205</v>
      </c>
      <c r="K11" s="105" t="s">
        <v>206</v>
      </c>
      <c r="L11">
        <v>73447</v>
      </c>
      <c r="M11" t="s">
        <v>207</v>
      </c>
      <c r="O11" s="4"/>
    </row>
    <row r="12" spans="1:15">
      <c r="A12" s="1">
        <v>2</v>
      </c>
      <c r="B12" s="103" t="s">
        <v>88</v>
      </c>
      <c r="C12" s="2">
        <v>10</v>
      </c>
      <c r="E12" s="3"/>
      <c r="F12" s="1">
        <v>1</v>
      </c>
      <c r="G12" s="1" t="s">
        <v>83</v>
      </c>
      <c r="H12" s="75" t="s">
        <v>84</v>
      </c>
      <c r="K12" t="s">
        <v>85</v>
      </c>
      <c r="L12">
        <v>21682</v>
      </c>
      <c r="M12" t="s">
        <v>86</v>
      </c>
      <c r="N12" t="s">
        <v>87</v>
      </c>
    </row>
    <row r="13" spans="1:15" ht="25.5">
      <c r="A13" s="1">
        <v>123</v>
      </c>
      <c r="B13" s="103" t="s">
        <v>360</v>
      </c>
      <c r="C13" s="2">
        <v>9.6</v>
      </c>
      <c r="E13" s="3"/>
      <c r="F13" s="1">
        <v>1</v>
      </c>
      <c r="H13" s="75" t="s">
        <v>359</v>
      </c>
      <c r="I13" t="s">
        <v>342</v>
      </c>
      <c r="K13" t="s">
        <v>344</v>
      </c>
      <c r="L13">
        <v>17506</v>
      </c>
      <c r="M13" t="s">
        <v>345</v>
      </c>
    </row>
    <row r="14" spans="1:15">
      <c r="A14" s="1">
        <v>67</v>
      </c>
      <c r="B14" s="103" t="s">
        <v>233</v>
      </c>
      <c r="C14" s="2">
        <v>8.5</v>
      </c>
      <c r="E14" s="3"/>
      <c r="F14" s="1">
        <v>1</v>
      </c>
      <c r="H14" s="75" t="s">
        <v>234</v>
      </c>
      <c r="I14" t="s">
        <v>205</v>
      </c>
      <c r="K14" s="105" t="s">
        <v>206</v>
      </c>
      <c r="L14">
        <v>73447</v>
      </c>
      <c r="M14" t="s">
        <v>207</v>
      </c>
    </row>
    <row r="15" spans="1:15" ht="38.25">
      <c r="A15" s="1">
        <v>120</v>
      </c>
      <c r="B15" s="103" t="s">
        <v>353</v>
      </c>
      <c r="C15" s="2">
        <v>10.1</v>
      </c>
      <c r="E15" s="3"/>
      <c r="F15" s="1">
        <v>1</v>
      </c>
      <c r="H15" s="75" t="s">
        <v>354</v>
      </c>
      <c r="I15" t="s">
        <v>342</v>
      </c>
      <c r="K15" t="s">
        <v>344</v>
      </c>
      <c r="L15">
        <v>17506</v>
      </c>
      <c r="M15" t="s">
        <v>345</v>
      </c>
    </row>
    <row r="16" spans="1:15" ht="25.5">
      <c r="A16" s="1">
        <v>48</v>
      </c>
      <c r="B16" s="103" t="s">
        <v>194</v>
      </c>
      <c r="C16" s="2">
        <v>9.1</v>
      </c>
      <c r="E16" s="3"/>
      <c r="F16" s="1">
        <v>1</v>
      </c>
      <c r="H16" s="75" t="s">
        <v>195</v>
      </c>
      <c r="I16" t="s">
        <v>180</v>
      </c>
      <c r="K16" s="105" t="s">
        <v>181</v>
      </c>
      <c r="L16">
        <v>21406</v>
      </c>
      <c r="M16" t="s">
        <v>182</v>
      </c>
      <c r="O16" s="4"/>
    </row>
    <row r="17" spans="1:15">
      <c r="A17" s="1">
        <v>60</v>
      </c>
      <c r="B17" s="103" t="s">
        <v>220</v>
      </c>
      <c r="C17" s="2">
        <v>6.5</v>
      </c>
      <c r="E17" s="3"/>
      <c r="F17" s="1">
        <v>1</v>
      </c>
      <c r="H17" s="75" t="s">
        <v>221</v>
      </c>
      <c r="I17" t="s">
        <v>205</v>
      </c>
      <c r="K17" s="105" t="s">
        <v>206</v>
      </c>
      <c r="L17">
        <v>73447</v>
      </c>
      <c r="M17" t="s">
        <v>207</v>
      </c>
    </row>
    <row r="18" spans="1:15">
      <c r="A18" s="1">
        <v>106</v>
      </c>
      <c r="B18" s="103" t="s">
        <v>318</v>
      </c>
      <c r="C18" s="2">
        <v>9.5</v>
      </c>
      <c r="E18" s="3"/>
      <c r="F18" s="1">
        <v>1</v>
      </c>
      <c r="H18" s="75" t="s">
        <v>319</v>
      </c>
      <c r="K18" t="s">
        <v>320</v>
      </c>
      <c r="L18">
        <v>21449</v>
      </c>
      <c r="M18" t="s">
        <v>321</v>
      </c>
    </row>
    <row r="19" spans="1:15">
      <c r="A19" s="1">
        <v>53</v>
      </c>
      <c r="B19" s="103" t="s">
        <v>203</v>
      </c>
      <c r="C19" s="2">
        <v>4.5</v>
      </c>
      <c r="E19" s="3"/>
      <c r="F19" s="1">
        <v>1</v>
      </c>
      <c r="H19" s="75" t="s">
        <v>204</v>
      </c>
      <c r="I19" t="s">
        <v>205</v>
      </c>
      <c r="K19" s="105" t="s">
        <v>206</v>
      </c>
      <c r="L19">
        <v>73447</v>
      </c>
      <c r="M19" t="s">
        <v>207</v>
      </c>
    </row>
    <row r="20" spans="1:15">
      <c r="A20" s="1">
        <v>70</v>
      </c>
      <c r="B20" s="103" t="s">
        <v>239</v>
      </c>
      <c r="C20" s="2">
        <v>7.8</v>
      </c>
      <c r="E20" s="3"/>
      <c r="F20" s="1">
        <v>1</v>
      </c>
      <c r="H20" s="76" t="s">
        <v>240</v>
      </c>
      <c r="I20" t="s">
        <v>205</v>
      </c>
      <c r="K20" s="105" t="s">
        <v>206</v>
      </c>
      <c r="L20">
        <v>73447</v>
      </c>
      <c r="M20" t="s">
        <v>207</v>
      </c>
    </row>
    <row r="21" spans="1:15" ht="25.5">
      <c r="A21" s="1">
        <v>46</v>
      </c>
      <c r="B21" s="103" t="s">
        <v>191</v>
      </c>
      <c r="C21" s="2">
        <v>9.9</v>
      </c>
      <c r="E21" s="3"/>
      <c r="F21" s="1">
        <v>1</v>
      </c>
      <c r="H21" s="75" t="s">
        <v>192</v>
      </c>
      <c r="I21" t="s">
        <v>180</v>
      </c>
      <c r="K21" s="105" t="s">
        <v>181</v>
      </c>
      <c r="L21">
        <v>21406</v>
      </c>
      <c r="M21" t="s">
        <v>182</v>
      </c>
      <c r="O21" s="4"/>
    </row>
    <row r="22" spans="1:15">
      <c r="A22" s="1">
        <v>116</v>
      </c>
      <c r="B22" s="103" t="s">
        <v>346</v>
      </c>
      <c r="C22" s="2">
        <v>6.9</v>
      </c>
      <c r="E22" s="3"/>
      <c r="F22" s="1">
        <v>1</v>
      </c>
      <c r="H22" s="75" t="s">
        <v>347</v>
      </c>
      <c r="I22" t="s">
        <v>342</v>
      </c>
      <c r="K22" t="s">
        <v>344</v>
      </c>
      <c r="L22">
        <v>17506</v>
      </c>
      <c r="M22" t="s">
        <v>345</v>
      </c>
    </row>
    <row r="23" spans="1:15">
      <c r="A23" s="1">
        <v>68</v>
      </c>
      <c r="B23" s="103" t="s">
        <v>235</v>
      </c>
      <c r="C23" s="2">
        <v>8.1999999999999993</v>
      </c>
      <c r="E23" s="3"/>
      <c r="F23" s="1">
        <v>1</v>
      </c>
      <c r="H23" s="75" t="s">
        <v>236</v>
      </c>
      <c r="I23" t="s">
        <v>205</v>
      </c>
      <c r="K23" s="105" t="s">
        <v>206</v>
      </c>
      <c r="L23">
        <v>73447</v>
      </c>
      <c r="M23" t="s">
        <v>207</v>
      </c>
    </row>
    <row r="24" spans="1:15">
      <c r="A24" s="1">
        <v>117</v>
      </c>
      <c r="B24" s="103" t="s">
        <v>348</v>
      </c>
      <c r="C24" s="2">
        <v>5.3</v>
      </c>
      <c r="E24" s="3"/>
      <c r="F24" s="1">
        <v>1</v>
      </c>
      <c r="H24" s="75" t="s">
        <v>349</v>
      </c>
      <c r="I24" t="s">
        <v>342</v>
      </c>
      <c r="K24" t="s">
        <v>344</v>
      </c>
      <c r="L24">
        <v>17506</v>
      </c>
      <c r="M24" t="s">
        <v>345</v>
      </c>
    </row>
    <row r="25" spans="1:15" ht="25.5">
      <c r="A25" s="1">
        <v>43</v>
      </c>
      <c r="B25" s="103" t="s">
        <v>186</v>
      </c>
      <c r="C25" s="2">
        <v>9.4</v>
      </c>
      <c r="E25" s="3"/>
      <c r="F25" s="1">
        <v>1</v>
      </c>
      <c r="H25" s="75" t="s">
        <v>187</v>
      </c>
      <c r="I25" t="s">
        <v>180</v>
      </c>
      <c r="K25" s="105" t="s">
        <v>181</v>
      </c>
      <c r="L25">
        <v>21406</v>
      </c>
      <c r="M25" t="s">
        <v>182</v>
      </c>
    </row>
    <row r="26" spans="1:15" ht="25.5">
      <c r="A26" s="1">
        <v>77</v>
      </c>
      <c r="B26" s="103" t="s">
        <v>256</v>
      </c>
      <c r="C26" s="2">
        <v>8.9</v>
      </c>
      <c r="E26" s="3"/>
      <c r="F26" s="1">
        <v>1</v>
      </c>
      <c r="H26" s="75" t="s">
        <v>257</v>
      </c>
      <c r="I26" t="s">
        <v>258</v>
      </c>
      <c r="K26" s="101" t="s">
        <v>259</v>
      </c>
      <c r="L26">
        <v>48147</v>
      </c>
      <c r="M26" t="s">
        <v>260</v>
      </c>
      <c r="O26" s="4"/>
    </row>
    <row r="27" spans="1:15">
      <c r="A27" s="1">
        <v>5</v>
      </c>
      <c r="B27" s="103" t="s">
        <v>94</v>
      </c>
      <c r="C27" s="2">
        <v>7.5</v>
      </c>
      <c r="E27" s="3"/>
      <c r="F27" s="1">
        <v>1</v>
      </c>
      <c r="H27" s="75" t="s">
        <v>95</v>
      </c>
      <c r="I27" t="s">
        <v>96</v>
      </c>
      <c r="K27" t="s">
        <v>97</v>
      </c>
      <c r="L27">
        <v>26871</v>
      </c>
      <c r="M27" t="s">
        <v>98</v>
      </c>
      <c r="O27" s="4" t="s">
        <v>99</v>
      </c>
    </row>
    <row r="28" spans="1:15">
      <c r="A28" s="1">
        <v>57</v>
      </c>
      <c r="B28" s="103" t="s">
        <v>214</v>
      </c>
      <c r="C28" s="2">
        <v>9.6999999999999993</v>
      </c>
      <c r="E28" s="3"/>
      <c r="F28" s="1">
        <v>1</v>
      </c>
      <c r="H28" s="75" t="s">
        <v>215</v>
      </c>
      <c r="I28" t="s">
        <v>205</v>
      </c>
      <c r="K28" s="105" t="s">
        <v>206</v>
      </c>
      <c r="L28">
        <v>73447</v>
      </c>
      <c r="M28" t="s">
        <v>207</v>
      </c>
      <c r="O28" s="4"/>
    </row>
    <row r="29" spans="1:15" ht="25.5">
      <c r="A29" s="1">
        <v>122</v>
      </c>
      <c r="B29" s="103" t="s">
        <v>357</v>
      </c>
      <c r="C29" s="2">
        <v>14.8</v>
      </c>
      <c r="E29" s="3"/>
      <c r="F29" s="1">
        <v>1</v>
      </c>
      <c r="H29" s="75" t="s">
        <v>358</v>
      </c>
      <c r="I29" t="s">
        <v>342</v>
      </c>
      <c r="K29" t="s">
        <v>344</v>
      </c>
      <c r="L29">
        <v>17506</v>
      </c>
      <c r="M29" t="s">
        <v>345</v>
      </c>
    </row>
    <row r="30" spans="1:15" ht="25.5">
      <c r="A30" s="1">
        <v>47</v>
      </c>
      <c r="B30" s="103" t="s">
        <v>193</v>
      </c>
      <c r="C30" s="2">
        <v>9.6999999999999993</v>
      </c>
      <c r="D30"/>
      <c r="E30" s="3"/>
      <c r="F30" s="1">
        <v>1</v>
      </c>
      <c r="H30" s="75" t="s">
        <v>192</v>
      </c>
      <c r="I30" t="s">
        <v>180</v>
      </c>
      <c r="K30" s="105" t="s">
        <v>181</v>
      </c>
      <c r="L30">
        <v>21406</v>
      </c>
      <c r="M30" t="s">
        <v>182</v>
      </c>
      <c r="O30" s="4"/>
    </row>
    <row r="31" spans="1:15" ht="25.5">
      <c r="A31" s="1">
        <v>50</v>
      </c>
      <c r="B31" s="103" t="s">
        <v>197</v>
      </c>
      <c r="C31" s="2">
        <v>7.9</v>
      </c>
      <c r="E31" s="3"/>
      <c r="F31" s="1">
        <v>1</v>
      </c>
      <c r="H31" s="75" t="s">
        <v>198</v>
      </c>
      <c r="I31" t="s">
        <v>180</v>
      </c>
      <c r="K31" s="105" t="s">
        <v>181</v>
      </c>
      <c r="L31">
        <v>21406</v>
      </c>
      <c r="M31" t="s">
        <v>182</v>
      </c>
    </row>
    <row r="32" spans="1:15" ht="25.5">
      <c r="A32" s="1">
        <v>121</v>
      </c>
      <c r="B32" s="103" t="s">
        <v>355</v>
      </c>
      <c r="C32" s="2">
        <v>11.1</v>
      </c>
      <c r="E32" s="3"/>
      <c r="F32" s="1">
        <v>1</v>
      </c>
      <c r="H32" s="75" t="s">
        <v>356</v>
      </c>
      <c r="I32" t="s">
        <v>342</v>
      </c>
      <c r="K32" t="s">
        <v>344</v>
      </c>
      <c r="L32">
        <v>17506</v>
      </c>
      <c r="M32" t="s">
        <v>345</v>
      </c>
    </row>
    <row r="33" spans="1:15" ht="25.5">
      <c r="A33" s="1">
        <v>40</v>
      </c>
      <c r="B33" s="103" t="s">
        <v>178</v>
      </c>
      <c r="C33" s="2">
        <v>9.6999999999999993</v>
      </c>
      <c r="E33" s="3"/>
      <c r="F33" s="1">
        <v>1</v>
      </c>
      <c r="H33" s="75" t="s">
        <v>179</v>
      </c>
      <c r="I33" t="s">
        <v>180</v>
      </c>
      <c r="K33" s="105" t="s">
        <v>181</v>
      </c>
      <c r="L33">
        <v>21406</v>
      </c>
      <c r="M33" t="s">
        <v>182</v>
      </c>
    </row>
    <row r="34" spans="1:15">
      <c r="A34" s="1">
        <v>71</v>
      </c>
      <c r="B34" s="103" t="s">
        <v>241</v>
      </c>
      <c r="C34" s="2">
        <v>9.1999999999999993</v>
      </c>
      <c r="E34" s="3"/>
      <c r="F34" s="1">
        <v>1</v>
      </c>
      <c r="H34" s="75" t="s">
        <v>242</v>
      </c>
      <c r="I34" t="s">
        <v>205</v>
      </c>
      <c r="K34" s="105" t="s">
        <v>206</v>
      </c>
      <c r="L34">
        <v>73447</v>
      </c>
      <c r="M34" t="s">
        <v>207</v>
      </c>
      <c r="O34" s="4"/>
    </row>
    <row r="35" spans="1:15">
      <c r="A35" s="1">
        <v>63</v>
      </c>
      <c r="B35" s="103" t="s">
        <v>226</v>
      </c>
      <c r="C35" s="2">
        <v>9.1999999999999993</v>
      </c>
      <c r="E35" s="3"/>
      <c r="F35" s="1">
        <v>1</v>
      </c>
      <c r="H35" s="75" t="s">
        <v>227</v>
      </c>
      <c r="I35" t="s">
        <v>205</v>
      </c>
      <c r="K35" s="105" t="s">
        <v>206</v>
      </c>
      <c r="L35">
        <v>73447</v>
      </c>
      <c r="M35" t="s">
        <v>207</v>
      </c>
    </row>
    <row r="36" spans="1:15" ht="38.25">
      <c r="A36" s="1">
        <v>44</v>
      </c>
      <c r="B36" s="103" t="s">
        <v>188</v>
      </c>
      <c r="C36" s="2">
        <v>5.6</v>
      </c>
      <c r="E36" s="3"/>
      <c r="F36" s="1">
        <v>1</v>
      </c>
      <c r="H36" s="75" t="s">
        <v>189</v>
      </c>
      <c r="I36" t="s">
        <v>180</v>
      </c>
      <c r="K36" s="105" t="s">
        <v>181</v>
      </c>
      <c r="L36">
        <v>21406</v>
      </c>
      <c r="M36" t="s">
        <v>182</v>
      </c>
      <c r="O36" s="4"/>
    </row>
    <row r="37" spans="1:15" ht="25.5">
      <c r="A37" s="1">
        <v>41</v>
      </c>
      <c r="B37" s="103" t="s">
        <v>183</v>
      </c>
      <c r="C37" s="2">
        <v>9.4</v>
      </c>
      <c r="E37" s="3"/>
      <c r="F37" s="1">
        <v>1</v>
      </c>
      <c r="H37" s="75" t="s">
        <v>184</v>
      </c>
      <c r="I37" t="s">
        <v>180</v>
      </c>
      <c r="K37" s="105" t="s">
        <v>181</v>
      </c>
      <c r="L37">
        <v>21406</v>
      </c>
      <c r="M37" t="s">
        <v>182</v>
      </c>
      <c r="O37" s="4"/>
    </row>
    <row r="38" spans="1:15" ht="25.5">
      <c r="A38" s="1">
        <v>42</v>
      </c>
      <c r="B38" s="103" t="s">
        <v>185</v>
      </c>
      <c r="C38" s="2">
        <v>10</v>
      </c>
      <c r="E38" s="3"/>
      <c r="F38" s="1">
        <v>1</v>
      </c>
      <c r="H38" s="75" t="s">
        <v>184</v>
      </c>
      <c r="I38" t="s">
        <v>180</v>
      </c>
      <c r="K38" s="105" t="s">
        <v>181</v>
      </c>
      <c r="L38">
        <v>21406</v>
      </c>
      <c r="M38" t="s">
        <v>182</v>
      </c>
      <c r="O38" s="4"/>
    </row>
    <row r="39" spans="1:15">
      <c r="A39" s="1">
        <v>103</v>
      </c>
      <c r="B39" s="103" t="s">
        <v>311</v>
      </c>
      <c r="C39" s="2">
        <v>10.1</v>
      </c>
      <c r="E39" s="3"/>
      <c r="F39" s="1">
        <v>1</v>
      </c>
      <c r="H39" s="75" t="s">
        <v>312</v>
      </c>
      <c r="M39" t="s">
        <v>271</v>
      </c>
    </row>
    <row r="40" spans="1:15">
      <c r="A40" s="1">
        <v>1</v>
      </c>
      <c r="B40" s="103" t="s">
        <v>82</v>
      </c>
      <c r="C40" s="2">
        <v>9.9</v>
      </c>
      <c r="E40" s="3"/>
      <c r="F40" s="1">
        <v>1</v>
      </c>
      <c r="G40" s="1" t="s">
        <v>83</v>
      </c>
      <c r="H40" s="75" t="s">
        <v>84</v>
      </c>
      <c r="K40" t="s">
        <v>85</v>
      </c>
      <c r="L40">
        <v>21682</v>
      </c>
      <c r="M40" t="s">
        <v>86</v>
      </c>
      <c r="N40" t="s">
        <v>87</v>
      </c>
      <c r="O40" s="4"/>
    </row>
    <row r="41" spans="1:15" ht="25.5">
      <c r="A41" s="1">
        <v>118</v>
      </c>
      <c r="B41" s="103" t="s">
        <v>350</v>
      </c>
      <c r="C41" s="2">
        <v>18.600000000000001</v>
      </c>
      <c r="E41" s="3"/>
      <c r="F41" s="1">
        <v>1</v>
      </c>
      <c r="H41" s="75" t="s">
        <v>351</v>
      </c>
      <c r="I41" t="s">
        <v>342</v>
      </c>
      <c r="K41" t="s">
        <v>344</v>
      </c>
      <c r="L41">
        <v>17506</v>
      </c>
      <c r="M41" t="s">
        <v>345</v>
      </c>
    </row>
    <row r="42" spans="1:15">
      <c r="A42" s="1">
        <v>45</v>
      </c>
      <c r="B42" s="103" t="s">
        <v>190</v>
      </c>
      <c r="C42" s="2">
        <v>8.4</v>
      </c>
      <c r="E42" s="3"/>
      <c r="F42" s="1">
        <v>1</v>
      </c>
      <c r="H42" s="75" t="s">
        <v>196</v>
      </c>
      <c r="I42" t="s">
        <v>180</v>
      </c>
      <c r="K42" s="105" t="s">
        <v>181</v>
      </c>
      <c r="L42">
        <v>21406</v>
      </c>
      <c r="M42" t="s">
        <v>182</v>
      </c>
    </row>
    <row r="43" spans="1:15" ht="25.5">
      <c r="A43" s="1">
        <v>37</v>
      </c>
      <c r="B43" s="103" t="s">
        <v>167</v>
      </c>
      <c r="C43" s="2">
        <v>4.9000000000000004</v>
      </c>
      <c r="E43" s="3"/>
      <c r="F43" s="1">
        <v>1</v>
      </c>
      <c r="H43" s="75" t="s">
        <v>168</v>
      </c>
      <c r="I43" t="s">
        <v>164</v>
      </c>
      <c r="K43" s="105" t="s">
        <v>169</v>
      </c>
      <c r="L43">
        <v>24232</v>
      </c>
      <c r="M43" t="s">
        <v>170</v>
      </c>
    </row>
    <row r="44" spans="1:15" ht="38.25">
      <c r="A44" s="1">
        <v>102</v>
      </c>
      <c r="B44" s="103" t="s">
        <v>308</v>
      </c>
      <c r="C44" s="2">
        <v>10.6</v>
      </c>
      <c r="E44" s="3"/>
      <c r="F44" s="1">
        <v>1</v>
      </c>
      <c r="H44" s="75" t="s">
        <v>309</v>
      </c>
      <c r="I44" t="s">
        <v>310</v>
      </c>
    </row>
    <row r="45" spans="1:15" ht="25.5">
      <c r="A45" s="1">
        <v>119</v>
      </c>
      <c r="B45" s="103" t="s">
        <v>352</v>
      </c>
      <c r="C45" s="2">
        <v>10.8</v>
      </c>
      <c r="E45" s="3"/>
      <c r="F45" s="1">
        <v>1</v>
      </c>
      <c r="H45" s="75" t="s">
        <v>351</v>
      </c>
      <c r="I45" t="s">
        <v>342</v>
      </c>
      <c r="K45" t="s">
        <v>344</v>
      </c>
      <c r="L45">
        <v>17506</v>
      </c>
      <c r="M45" t="s">
        <v>345</v>
      </c>
    </row>
    <row r="46" spans="1:15" ht="38.25">
      <c r="A46" s="1">
        <v>49</v>
      </c>
      <c r="B46" s="103" t="s">
        <v>199</v>
      </c>
      <c r="C46" s="2">
        <v>9.5</v>
      </c>
      <c r="E46" s="3"/>
      <c r="F46" s="1">
        <v>1</v>
      </c>
      <c r="H46" s="75" t="s">
        <v>189</v>
      </c>
      <c r="I46" t="s">
        <v>180</v>
      </c>
      <c r="K46" s="105" t="s">
        <v>181</v>
      </c>
      <c r="L46">
        <v>21406</v>
      </c>
      <c r="M46" t="s">
        <v>182</v>
      </c>
      <c r="O46" s="4"/>
    </row>
    <row r="47" spans="1:15">
      <c r="A47" s="1">
        <v>81</v>
      </c>
      <c r="B47" s="103" t="s">
        <v>267</v>
      </c>
      <c r="C47" s="2">
        <v>1.4</v>
      </c>
      <c r="E47" s="3"/>
      <c r="F47" s="1">
        <v>8</v>
      </c>
      <c r="H47" s="75" t="s">
        <v>268</v>
      </c>
      <c r="I47" t="s">
        <v>164</v>
      </c>
      <c r="K47" s="105" t="s">
        <v>173</v>
      </c>
      <c r="L47">
        <v>24148</v>
      </c>
      <c r="M47" t="s">
        <v>166</v>
      </c>
    </row>
    <row r="48" spans="1:15" ht="38.25">
      <c r="A48" s="1">
        <v>108</v>
      </c>
      <c r="B48" s="103" t="s">
        <v>327</v>
      </c>
      <c r="C48" s="2">
        <v>9.3000000000000007</v>
      </c>
      <c r="E48" s="3"/>
      <c r="F48" s="1">
        <v>200</v>
      </c>
      <c r="H48" s="75" t="s">
        <v>329</v>
      </c>
      <c r="K48" t="s">
        <v>328</v>
      </c>
      <c r="L48">
        <v>21502</v>
      </c>
      <c r="M48" t="s">
        <v>326</v>
      </c>
    </row>
    <row r="49" spans="1:15">
      <c r="A49" s="1">
        <v>3</v>
      </c>
      <c r="B49" s="103" t="s">
        <v>92</v>
      </c>
      <c r="C49" s="2">
        <v>7</v>
      </c>
      <c r="E49" s="3"/>
      <c r="F49" s="1">
        <v>200</v>
      </c>
      <c r="H49" s="75" t="s">
        <v>91</v>
      </c>
      <c r="I49" t="s">
        <v>89</v>
      </c>
      <c r="K49" t="s">
        <v>90</v>
      </c>
      <c r="L49">
        <v>21680</v>
      </c>
      <c r="M49" t="s">
        <v>86</v>
      </c>
      <c r="O49" s="4"/>
    </row>
    <row r="50" spans="1:15">
      <c r="A50" s="1">
        <v>4</v>
      </c>
      <c r="B50" s="103" t="s">
        <v>93</v>
      </c>
      <c r="C50" s="2">
        <v>7.1</v>
      </c>
      <c r="E50" s="3"/>
      <c r="F50" s="1">
        <v>200</v>
      </c>
      <c r="H50" s="75" t="s">
        <v>91</v>
      </c>
      <c r="I50" t="s">
        <v>89</v>
      </c>
      <c r="K50" t="s">
        <v>90</v>
      </c>
      <c r="L50">
        <v>21680</v>
      </c>
      <c r="M50" t="s">
        <v>86</v>
      </c>
    </row>
    <row r="51" spans="1:15">
      <c r="A51" s="1">
        <v>54</v>
      </c>
      <c r="B51" s="103" t="s">
        <v>208</v>
      </c>
      <c r="C51" s="2">
        <v>8.9</v>
      </c>
      <c r="E51" s="3"/>
      <c r="F51" s="1">
        <v>200</v>
      </c>
      <c r="H51" s="75" t="s">
        <v>209</v>
      </c>
      <c r="I51" t="s">
        <v>205</v>
      </c>
      <c r="K51" s="105" t="s">
        <v>206</v>
      </c>
      <c r="L51">
        <v>73447</v>
      </c>
      <c r="M51" t="s">
        <v>207</v>
      </c>
      <c r="O51" s="4"/>
    </row>
    <row r="52" spans="1:15">
      <c r="A52" s="1">
        <v>55</v>
      </c>
      <c r="B52" s="103" t="s">
        <v>210</v>
      </c>
      <c r="C52" s="2">
        <v>10</v>
      </c>
      <c r="E52" s="3"/>
      <c r="F52" s="1">
        <v>220</v>
      </c>
      <c r="H52" s="75" t="s">
        <v>211</v>
      </c>
      <c r="I52" t="s">
        <v>205</v>
      </c>
      <c r="K52" s="105" t="s">
        <v>206</v>
      </c>
      <c r="L52">
        <v>73447</v>
      </c>
      <c r="M52" t="s">
        <v>207</v>
      </c>
    </row>
    <row r="53" spans="1:15">
      <c r="A53" s="1">
        <v>85</v>
      </c>
      <c r="B53" s="103" t="s">
        <v>278</v>
      </c>
      <c r="C53" s="2">
        <v>10.3</v>
      </c>
      <c r="E53" s="3"/>
      <c r="F53" s="1">
        <v>300</v>
      </c>
      <c r="G53" s="1" t="s">
        <v>83</v>
      </c>
      <c r="H53" s="75" t="s">
        <v>279</v>
      </c>
      <c r="I53" t="s">
        <v>274</v>
      </c>
      <c r="K53" s="101"/>
      <c r="M53" t="s">
        <v>275</v>
      </c>
    </row>
    <row r="54" spans="1:15">
      <c r="A54" s="1">
        <v>82</v>
      </c>
      <c r="B54" s="103" t="s">
        <v>269</v>
      </c>
      <c r="C54" s="2">
        <v>10.1</v>
      </c>
      <c r="E54" s="3"/>
      <c r="F54" s="1">
        <v>300</v>
      </c>
      <c r="H54" s="75" t="s">
        <v>270</v>
      </c>
      <c r="K54" s="101"/>
      <c r="M54" t="s">
        <v>271</v>
      </c>
    </row>
    <row r="55" spans="1:15">
      <c r="A55" s="1">
        <v>84</v>
      </c>
      <c r="B55" s="103" t="s">
        <v>276</v>
      </c>
      <c r="C55" s="2">
        <v>9.1999999999999993</v>
      </c>
      <c r="E55" s="3"/>
      <c r="F55" s="1">
        <v>350</v>
      </c>
      <c r="G55" s="1" t="s">
        <v>83</v>
      </c>
      <c r="H55" s="75" t="s">
        <v>277</v>
      </c>
      <c r="I55" t="s">
        <v>274</v>
      </c>
      <c r="K55" s="101"/>
      <c r="M55" t="s">
        <v>275</v>
      </c>
    </row>
    <row r="56" spans="1:15">
      <c r="A56" s="1">
        <v>61</v>
      </c>
      <c r="B56" s="103" t="s">
        <v>222</v>
      </c>
      <c r="C56" s="2">
        <v>10</v>
      </c>
      <c r="E56" s="3"/>
      <c r="F56" s="1">
        <v>500</v>
      </c>
      <c r="H56" s="75" t="s">
        <v>223</v>
      </c>
      <c r="I56" t="s">
        <v>205</v>
      </c>
      <c r="K56" s="105" t="s">
        <v>206</v>
      </c>
      <c r="L56">
        <v>73447</v>
      </c>
      <c r="M56" t="s">
        <v>207</v>
      </c>
    </row>
    <row r="57" spans="1:15" ht="25.5">
      <c r="A57" s="1">
        <v>38</v>
      </c>
      <c r="B57" s="103" t="s">
        <v>171</v>
      </c>
      <c r="C57" s="2">
        <v>10</v>
      </c>
      <c r="E57" s="3"/>
      <c r="F57" s="1">
        <v>500</v>
      </c>
      <c r="H57" s="75" t="s">
        <v>172</v>
      </c>
      <c r="I57" t="s">
        <v>164</v>
      </c>
      <c r="K57" s="105" t="s">
        <v>173</v>
      </c>
      <c r="L57">
        <v>24148</v>
      </c>
      <c r="M57" t="s">
        <v>166</v>
      </c>
      <c r="O57" s="4"/>
    </row>
    <row r="58" spans="1:15" ht="38.25">
      <c r="A58" s="1">
        <v>129</v>
      </c>
      <c r="B58" s="104" t="s">
        <v>376</v>
      </c>
      <c r="C58" s="2">
        <v>6.9</v>
      </c>
      <c r="E58" s="3"/>
      <c r="F58" s="1">
        <v>500</v>
      </c>
      <c r="H58" s="75" t="s">
        <v>377</v>
      </c>
      <c r="I58" t="s">
        <v>324</v>
      </c>
      <c r="K58" t="s">
        <v>325</v>
      </c>
      <c r="L58">
        <v>21502</v>
      </c>
      <c r="M58" t="s">
        <v>326</v>
      </c>
    </row>
    <row r="59" spans="1:15" ht="51">
      <c r="A59" s="1">
        <v>107</v>
      </c>
      <c r="B59" s="103" t="s">
        <v>322</v>
      </c>
      <c r="C59" s="2">
        <v>5.9</v>
      </c>
      <c r="E59" s="3"/>
      <c r="F59" s="1">
        <v>600</v>
      </c>
      <c r="H59" s="75" t="s">
        <v>323</v>
      </c>
      <c r="I59" t="s">
        <v>324</v>
      </c>
      <c r="K59" t="s">
        <v>325</v>
      </c>
      <c r="L59">
        <v>21502</v>
      </c>
      <c r="M59" t="s">
        <v>326</v>
      </c>
    </row>
    <row r="60" spans="1:15">
      <c r="A60" s="1">
        <v>76</v>
      </c>
      <c r="B60" s="103" t="s">
        <v>254</v>
      </c>
      <c r="C60" s="2">
        <v>9.8000000000000007</v>
      </c>
      <c r="E60" s="3"/>
      <c r="F60" s="1">
        <v>600</v>
      </c>
      <c r="H60" s="75" t="s">
        <v>255</v>
      </c>
      <c r="I60" t="s">
        <v>164</v>
      </c>
      <c r="K60" s="105" t="s">
        <v>173</v>
      </c>
      <c r="L60">
        <v>24148</v>
      </c>
      <c r="M60" t="s">
        <v>166</v>
      </c>
    </row>
    <row r="61" spans="1:15" ht="25.5">
      <c r="A61" s="1">
        <v>101</v>
      </c>
      <c r="B61" s="103" t="s">
        <v>306</v>
      </c>
      <c r="C61" s="2">
        <v>6.4</v>
      </c>
      <c r="E61" s="3"/>
      <c r="F61" s="1">
        <v>648</v>
      </c>
      <c r="H61" s="75" t="s">
        <v>307</v>
      </c>
      <c r="I61" t="s">
        <v>164</v>
      </c>
      <c r="K61" s="105" t="s">
        <v>173</v>
      </c>
      <c r="L61">
        <v>24148</v>
      </c>
      <c r="M61" t="s">
        <v>166</v>
      </c>
    </row>
    <row r="62" spans="1:15" ht="25.5">
      <c r="A62" s="1">
        <v>79</v>
      </c>
      <c r="B62" s="103" t="s">
        <v>263</v>
      </c>
      <c r="C62" s="2">
        <v>5.3</v>
      </c>
      <c r="E62" s="3"/>
      <c r="F62" s="1">
        <v>660</v>
      </c>
      <c r="H62" s="75" t="s">
        <v>264</v>
      </c>
      <c r="I62" t="s">
        <v>164</v>
      </c>
      <c r="K62" s="105" t="s">
        <v>173</v>
      </c>
      <c r="L62">
        <v>24148</v>
      </c>
      <c r="M62" t="s">
        <v>166</v>
      </c>
    </row>
    <row r="63" spans="1:15" ht="25.5">
      <c r="A63" s="1">
        <v>75</v>
      </c>
      <c r="B63" s="103" t="s">
        <v>252</v>
      </c>
      <c r="C63" s="2">
        <v>5.4</v>
      </c>
      <c r="E63" s="3"/>
      <c r="F63" s="1">
        <v>700</v>
      </c>
      <c r="H63" s="75" t="s">
        <v>253</v>
      </c>
      <c r="I63" t="s">
        <v>164</v>
      </c>
      <c r="K63" s="105" t="s">
        <v>173</v>
      </c>
      <c r="L63">
        <v>24148</v>
      </c>
      <c r="M63" t="s">
        <v>166</v>
      </c>
    </row>
    <row r="64" spans="1:15">
      <c r="A64" s="1">
        <v>17</v>
      </c>
      <c r="B64" s="103" t="s">
        <v>125</v>
      </c>
      <c r="C64" s="2">
        <v>10.5</v>
      </c>
      <c r="E64" s="3"/>
      <c r="F64" s="1">
        <v>750</v>
      </c>
      <c r="H64" s="75" t="s">
        <v>126</v>
      </c>
      <c r="I64" t="s">
        <v>106</v>
      </c>
      <c r="M64" t="s">
        <v>107</v>
      </c>
    </row>
    <row r="65" spans="1:15">
      <c r="A65" s="1">
        <v>14</v>
      </c>
      <c r="B65" s="103" t="s">
        <v>119</v>
      </c>
      <c r="C65" s="2">
        <v>9.8000000000000007</v>
      </c>
      <c r="E65" s="3"/>
      <c r="F65" s="1">
        <v>752</v>
      </c>
      <c r="H65" s="75" t="s">
        <v>120</v>
      </c>
      <c r="I65" t="s">
        <v>106</v>
      </c>
      <c r="M65" t="s">
        <v>107</v>
      </c>
      <c r="O65" s="4"/>
    </row>
    <row r="66" spans="1:15">
      <c r="A66" s="1">
        <v>33</v>
      </c>
      <c r="B66" s="103" t="s">
        <v>156</v>
      </c>
      <c r="C66" s="2">
        <v>6.8</v>
      </c>
      <c r="E66" s="3"/>
      <c r="F66" s="1">
        <v>800</v>
      </c>
      <c r="H66" s="75" t="s">
        <v>157</v>
      </c>
      <c r="I66" t="s">
        <v>106</v>
      </c>
      <c r="M66" t="s">
        <v>107</v>
      </c>
      <c r="O66" s="4"/>
    </row>
    <row r="67" spans="1:15">
      <c r="A67" s="1">
        <v>21</v>
      </c>
      <c r="B67" s="103" t="s">
        <v>133</v>
      </c>
      <c r="C67" s="2">
        <v>7.2</v>
      </c>
      <c r="E67" s="3"/>
      <c r="F67" s="1">
        <v>800</v>
      </c>
      <c r="G67" s="80"/>
      <c r="H67" s="75" t="s">
        <v>134</v>
      </c>
      <c r="I67" t="s">
        <v>106</v>
      </c>
      <c r="M67" t="s">
        <v>107</v>
      </c>
      <c r="O67" s="4"/>
    </row>
    <row r="68" spans="1:15">
      <c r="A68" s="1">
        <v>20</v>
      </c>
      <c r="B68" s="103" t="s">
        <v>131</v>
      </c>
      <c r="C68" s="2">
        <v>9.9</v>
      </c>
      <c r="E68" s="3"/>
      <c r="F68" s="1">
        <v>800</v>
      </c>
      <c r="H68" s="75" t="s">
        <v>132</v>
      </c>
      <c r="I68" t="s">
        <v>106</v>
      </c>
      <c r="M68" t="s">
        <v>107</v>
      </c>
      <c r="O68" s="4"/>
    </row>
    <row r="69" spans="1:15" ht="38.25">
      <c r="A69" s="1">
        <v>74</v>
      </c>
      <c r="B69" s="103" t="s">
        <v>250</v>
      </c>
      <c r="C69" s="2">
        <v>9.8000000000000007</v>
      </c>
      <c r="E69" s="3"/>
      <c r="F69" s="1">
        <v>876</v>
      </c>
      <c r="H69" s="75" t="s">
        <v>251</v>
      </c>
      <c r="I69" t="s">
        <v>164</v>
      </c>
      <c r="K69" s="105" t="s">
        <v>173</v>
      </c>
      <c r="L69">
        <v>24148</v>
      </c>
      <c r="M69" t="s">
        <v>166</v>
      </c>
    </row>
    <row r="70" spans="1:15">
      <c r="A70" s="1">
        <v>19</v>
      </c>
      <c r="B70" s="103" t="s">
        <v>129</v>
      </c>
      <c r="C70" s="2">
        <v>10</v>
      </c>
      <c r="E70" s="3"/>
      <c r="F70" s="1">
        <v>900</v>
      </c>
      <c r="H70" s="75" t="s">
        <v>130</v>
      </c>
      <c r="I70" t="s">
        <v>106</v>
      </c>
      <c r="M70" t="s">
        <v>107</v>
      </c>
      <c r="O70" s="4"/>
    </row>
    <row r="71" spans="1:15" ht="38.25">
      <c r="A71" s="1">
        <v>51</v>
      </c>
      <c r="B71" s="103" t="s">
        <v>200</v>
      </c>
      <c r="C71" s="2">
        <v>9.5</v>
      </c>
      <c r="E71" s="3"/>
      <c r="F71" s="1">
        <v>900</v>
      </c>
      <c r="H71" s="75" t="s">
        <v>201</v>
      </c>
      <c r="I71" t="s">
        <v>164</v>
      </c>
      <c r="K71" s="105" t="s">
        <v>173</v>
      </c>
      <c r="L71">
        <v>24148</v>
      </c>
      <c r="M71" t="s">
        <v>166</v>
      </c>
    </row>
    <row r="72" spans="1:15" ht="38.25">
      <c r="A72" s="1">
        <v>52</v>
      </c>
      <c r="B72" s="103" t="s">
        <v>202</v>
      </c>
      <c r="C72" s="2">
        <v>6</v>
      </c>
      <c r="E72" s="3"/>
      <c r="F72" s="1">
        <v>900</v>
      </c>
      <c r="H72" s="75" t="s">
        <v>201</v>
      </c>
      <c r="I72" t="s">
        <v>164</v>
      </c>
      <c r="K72" s="105" t="s">
        <v>173</v>
      </c>
      <c r="L72">
        <v>24148</v>
      </c>
      <c r="M72" t="s">
        <v>166</v>
      </c>
      <c r="O72" s="4"/>
    </row>
    <row r="73" spans="1:15" ht="25.5">
      <c r="A73" s="1">
        <v>80</v>
      </c>
      <c r="B73" s="103" t="s">
        <v>265</v>
      </c>
      <c r="C73" s="2">
        <v>5.0999999999999996</v>
      </c>
      <c r="E73" s="3"/>
      <c r="F73" s="1">
        <v>950</v>
      </c>
      <c r="H73" s="75" t="s">
        <v>266</v>
      </c>
      <c r="I73" t="s">
        <v>164</v>
      </c>
      <c r="K73" s="105" t="s">
        <v>173</v>
      </c>
      <c r="L73">
        <v>24148</v>
      </c>
      <c r="M73" t="s">
        <v>166</v>
      </c>
    </row>
    <row r="74" spans="1:15">
      <c r="A74" s="1">
        <v>36</v>
      </c>
      <c r="B74" s="103" t="s">
        <v>162</v>
      </c>
      <c r="C74" s="2">
        <v>8.6999999999999993</v>
      </c>
      <c r="E74" s="3"/>
      <c r="F74" s="1">
        <v>964</v>
      </c>
      <c r="H74" s="75" t="s">
        <v>163</v>
      </c>
      <c r="I74" t="s">
        <v>164</v>
      </c>
      <c r="K74" s="79" t="s">
        <v>165</v>
      </c>
      <c r="L74">
        <v>24149</v>
      </c>
      <c r="M74" t="s">
        <v>166</v>
      </c>
      <c r="O74" s="4"/>
    </row>
    <row r="75" spans="1:15">
      <c r="A75" s="1">
        <v>83</v>
      </c>
      <c r="B75" s="103" t="s">
        <v>272</v>
      </c>
      <c r="C75" s="2">
        <v>9.5</v>
      </c>
      <c r="E75" s="3"/>
      <c r="F75" s="1">
        <v>1000</v>
      </c>
      <c r="G75" s="1" t="s">
        <v>83</v>
      </c>
      <c r="H75" s="75" t="s">
        <v>273</v>
      </c>
      <c r="I75" t="s">
        <v>274</v>
      </c>
      <c r="K75" s="101"/>
      <c r="M75" t="s">
        <v>275</v>
      </c>
    </row>
    <row r="76" spans="1:15">
      <c r="A76" s="1">
        <v>59</v>
      </c>
      <c r="B76" s="103" t="s">
        <v>218</v>
      </c>
      <c r="C76" s="2">
        <v>9.9</v>
      </c>
      <c r="E76" s="3"/>
      <c r="F76" s="1">
        <v>1000</v>
      </c>
      <c r="H76" s="75" t="s">
        <v>219</v>
      </c>
      <c r="I76" t="s">
        <v>205</v>
      </c>
      <c r="K76" s="105" t="s">
        <v>206</v>
      </c>
      <c r="L76">
        <v>73447</v>
      </c>
      <c r="M76" t="s">
        <v>207</v>
      </c>
      <c r="O76" s="4"/>
    </row>
    <row r="77" spans="1:15">
      <c r="A77" s="1">
        <v>132</v>
      </c>
      <c r="B77" s="104" t="s">
        <v>382</v>
      </c>
      <c r="C77" s="2">
        <v>9.5</v>
      </c>
      <c r="E77" s="3"/>
      <c r="F77" s="1">
        <v>1000</v>
      </c>
      <c r="H77" s="75" t="s">
        <v>383</v>
      </c>
      <c r="I77" t="s">
        <v>106</v>
      </c>
      <c r="M77" t="s">
        <v>107</v>
      </c>
    </row>
    <row r="78" spans="1:15">
      <c r="A78" s="1">
        <v>133</v>
      </c>
      <c r="B78" s="104" t="s">
        <v>384</v>
      </c>
      <c r="C78" s="2">
        <v>9.6999999999999993</v>
      </c>
      <c r="E78" s="3"/>
      <c r="F78" s="1">
        <v>1000</v>
      </c>
      <c r="H78" s="103" t="s">
        <v>335</v>
      </c>
      <c r="I78" s="103" t="s">
        <v>335</v>
      </c>
      <c r="K78" t="s">
        <v>336</v>
      </c>
      <c r="L78">
        <v>86609</v>
      </c>
      <c r="M78" t="s">
        <v>246</v>
      </c>
    </row>
    <row r="79" spans="1:15">
      <c r="A79" s="1">
        <v>111</v>
      </c>
      <c r="B79" s="103" t="s">
        <v>337</v>
      </c>
      <c r="C79" s="2">
        <v>9.1999999999999993</v>
      </c>
      <c r="E79" s="3"/>
      <c r="F79" s="1">
        <v>1000</v>
      </c>
      <c r="H79" s="103" t="s">
        <v>335</v>
      </c>
      <c r="I79" s="103" t="s">
        <v>335</v>
      </c>
      <c r="K79" t="s">
        <v>336</v>
      </c>
      <c r="L79">
        <v>86609</v>
      </c>
      <c r="M79" t="s">
        <v>246</v>
      </c>
    </row>
    <row r="80" spans="1:15">
      <c r="A80" s="1">
        <v>135</v>
      </c>
      <c r="B80" s="104" t="s">
        <v>386</v>
      </c>
      <c r="C80" s="2">
        <v>9.5</v>
      </c>
      <c r="E80" s="3"/>
      <c r="F80" s="1">
        <v>1000</v>
      </c>
      <c r="H80" s="103" t="s">
        <v>335</v>
      </c>
      <c r="I80" s="103" t="s">
        <v>335</v>
      </c>
      <c r="K80" t="s">
        <v>336</v>
      </c>
      <c r="L80">
        <v>86609</v>
      </c>
      <c r="M80" t="s">
        <v>246</v>
      </c>
    </row>
    <row r="81" spans="1:15">
      <c r="A81" s="1">
        <v>112</v>
      </c>
      <c r="B81" s="103" t="s">
        <v>338</v>
      </c>
      <c r="C81" s="2">
        <v>7.4</v>
      </c>
      <c r="E81" s="3"/>
      <c r="F81" s="1">
        <v>1000</v>
      </c>
      <c r="H81" s="103" t="s">
        <v>335</v>
      </c>
      <c r="I81" s="103" t="s">
        <v>335</v>
      </c>
      <c r="K81" t="s">
        <v>336</v>
      </c>
      <c r="L81">
        <v>86609</v>
      </c>
      <c r="M81" t="s">
        <v>246</v>
      </c>
    </row>
    <row r="82" spans="1:15" ht="38.25">
      <c r="A82" s="1">
        <v>127</v>
      </c>
      <c r="B82" s="104" t="s">
        <v>372</v>
      </c>
      <c r="C82" s="2">
        <v>4.0999999999999996</v>
      </c>
      <c r="E82" s="3"/>
      <c r="F82" s="1">
        <v>1000</v>
      </c>
      <c r="H82" s="75" t="s">
        <v>373</v>
      </c>
      <c r="I82" t="s">
        <v>324</v>
      </c>
      <c r="K82" t="s">
        <v>325</v>
      </c>
      <c r="L82">
        <v>21502</v>
      </c>
      <c r="M82" t="s">
        <v>326</v>
      </c>
    </row>
    <row r="83" spans="1:15">
      <c r="A83" s="1">
        <v>136</v>
      </c>
      <c r="B83" s="104" t="s">
        <v>387</v>
      </c>
      <c r="C83" s="2">
        <v>10</v>
      </c>
      <c r="E83" s="3"/>
      <c r="F83" s="1">
        <v>1000</v>
      </c>
      <c r="H83" s="103" t="s">
        <v>335</v>
      </c>
      <c r="I83" s="103" t="s">
        <v>335</v>
      </c>
      <c r="K83" t="s">
        <v>336</v>
      </c>
      <c r="L83">
        <v>86609</v>
      </c>
      <c r="M83" t="s">
        <v>246</v>
      </c>
    </row>
    <row r="84" spans="1:15">
      <c r="A84" s="1">
        <v>114</v>
      </c>
      <c r="B84" s="103" t="s">
        <v>340</v>
      </c>
      <c r="C84" s="2">
        <v>10.7</v>
      </c>
      <c r="E84" s="3"/>
      <c r="F84" s="1">
        <v>1000</v>
      </c>
      <c r="H84" s="103" t="s">
        <v>335</v>
      </c>
      <c r="I84" s="103" t="s">
        <v>335</v>
      </c>
      <c r="K84" t="s">
        <v>336</v>
      </c>
      <c r="L84">
        <v>86609</v>
      </c>
      <c r="M84" t="s">
        <v>246</v>
      </c>
    </row>
    <row r="85" spans="1:15">
      <c r="A85" s="1">
        <v>8</v>
      </c>
      <c r="B85" s="103" t="s">
        <v>108</v>
      </c>
      <c r="C85" s="2">
        <v>9.1999999999999993</v>
      </c>
      <c r="E85" s="3"/>
      <c r="F85" s="1">
        <v>1000</v>
      </c>
      <c r="H85" s="75" t="s">
        <v>105</v>
      </c>
      <c r="I85" t="s">
        <v>106</v>
      </c>
      <c r="M85" t="s">
        <v>107</v>
      </c>
    </row>
    <row r="86" spans="1:15">
      <c r="A86" s="1">
        <v>134</v>
      </c>
      <c r="B86" s="104" t="s">
        <v>385</v>
      </c>
      <c r="C86" s="2">
        <v>10</v>
      </c>
      <c r="E86" s="3"/>
      <c r="F86" s="1">
        <v>1000</v>
      </c>
      <c r="H86" s="103" t="s">
        <v>335</v>
      </c>
      <c r="I86" s="103" t="s">
        <v>335</v>
      </c>
      <c r="K86" t="s">
        <v>336</v>
      </c>
      <c r="L86">
        <v>86609</v>
      </c>
      <c r="M86" t="s">
        <v>246</v>
      </c>
    </row>
    <row r="87" spans="1:15">
      <c r="A87" s="1">
        <v>113</v>
      </c>
      <c r="B87" s="103" t="s">
        <v>339</v>
      </c>
      <c r="C87" s="2">
        <v>8.3000000000000007</v>
      </c>
      <c r="E87" s="3"/>
      <c r="F87" s="1">
        <v>1000</v>
      </c>
      <c r="H87" s="103" t="s">
        <v>335</v>
      </c>
      <c r="I87" s="103" t="s">
        <v>335</v>
      </c>
      <c r="K87" t="s">
        <v>336</v>
      </c>
      <c r="L87">
        <v>86609</v>
      </c>
      <c r="M87" t="s">
        <v>246</v>
      </c>
    </row>
    <row r="88" spans="1:15" ht="38.25">
      <c r="A88" s="1">
        <v>78</v>
      </c>
      <c r="B88" s="103" t="s">
        <v>261</v>
      </c>
      <c r="C88" s="2">
        <v>8.9</v>
      </c>
      <c r="E88" s="3"/>
      <c r="F88" s="1">
        <v>1000</v>
      </c>
      <c r="G88" s="1" t="s">
        <v>83</v>
      </c>
      <c r="H88" s="75" t="s">
        <v>262</v>
      </c>
      <c r="I88" t="s">
        <v>164</v>
      </c>
      <c r="K88" s="105" t="s">
        <v>173</v>
      </c>
      <c r="L88">
        <v>24148</v>
      </c>
      <c r="M88" t="s">
        <v>166</v>
      </c>
    </row>
    <row r="89" spans="1:15">
      <c r="A89" s="1">
        <v>110</v>
      </c>
      <c r="B89" s="103" t="s">
        <v>334</v>
      </c>
      <c r="C89" s="2">
        <v>9.6999999999999993</v>
      </c>
      <c r="E89" s="3"/>
      <c r="F89" s="1">
        <v>1000</v>
      </c>
      <c r="H89" s="103" t="s">
        <v>335</v>
      </c>
      <c r="I89" s="103" t="s">
        <v>335</v>
      </c>
      <c r="K89" t="s">
        <v>336</v>
      </c>
      <c r="L89">
        <v>86609</v>
      </c>
      <c r="M89" t="s">
        <v>246</v>
      </c>
    </row>
    <row r="90" spans="1:15">
      <c r="A90" s="1">
        <v>11</v>
      </c>
      <c r="B90" s="103" t="s">
        <v>113</v>
      </c>
      <c r="C90" s="2">
        <v>9.6999999999999993</v>
      </c>
      <c r="E90" s="3"/>
      <c r="F90" s="1">
        <v>1000</v>
      </c>
      <c r="H90" s="75" t="s">
        <v>114</v>
      </c>
      <c r="I90" t="s">
        <v>106</v>
      </c>
      <c r="M90" t="s">
        <v>107</v>
      </c>
      <c r="O90" s="4"/>
    </row>
    <row r="91" spans="1:15" ht="51">
      <c r="A91" s="1">
        <v>128</v>
      </c>
      <c r="B91" s="104" t="s">
        <v>374</v>
      </c>
      <c r="C91" s="2">
        <v>8.1999999999999993</v>
      </c>
      <c r="E91" s="3"/>
      <c r="F91" s="1">
        <v>1000</v>
      </c>
      <c r="H91" s="75" t="s">
        <v>375</v>
      </c>
      <c r="I91" t="s">
        <v>324</v>
      </c>
      <c r="K91" t="s">
        <v>325</v>
      </c>
      <c r="L91">
        <v>21502</v>
      </c>
      <c r="M91" t="s">
        <v>326</v>
      </c>
    </row>
    <row r="92" spans="1:15">
      <c r="A92" s="1">
        <v>29</v>
      </c>
      <c r="B92" s="103" t="s">
        <v>148</v>
      </c>
      <c r="C92" s="2">
        <v>14</v>
      </c>
      <c r="E92" s="3"/>
      <c r="F92" s="1">
        <v>1200</v>
      </c>
      <c r="H92" s="75" t="s">
        <v>149</v>
      </c>
      <c r="I92" t="s">
        <v>106</v>
      </c>
      <c r="M92" t="s">
        <v>107</v>
      </c>
      <c r="O92" s="4"/>
    </row>
    <row r="93" spans="1:15">
      <c r="A93" s="1">
        <v>25</v>
      </c>
      <c r="B93" s="103" t="s">
        <v>141</v>
      </c>
      <c r="C93" s="2">
        <v>10</v>
      </c>
      <c r="E93" s="3"/>
      <c r="F93" s="1">
        <v>1200</v>
      </c>
      <c r="H93" s="75" t="s">
        <v>142</v>
      </c>
      <c r="I93" t="s">
        <v>106</v>
      </c>
      <c r="M93" t="s">
        <v>107</v>
      </c>
      <c r="O93" s="4"/>
    </row>
    <row r="94" spans="1:15">
      <c r="A94" s="1">
        <v>35</v>
      </c>
      <c r="B94" s="103" t="s">
        <v>160</v>
      </c>
      <c r="C94" s="2">
        <v>10.5</v>
      </c>
      <c r="E94" s="3"/>
      <c r="F94" s="1">
        <v>1300</v>
      </c>
      <c r="H94" s="75" t="s">
        <v>161</v>
      </c>
      <c r="I94" t="s">
        <v>106</v>
      </c>
      <c r="K94" s="79"/>
      <c r="M94" t="s">
        <v>107</v>
      </c>
      <c r="O94" s="4"/>
    </row>
    <row r="95" spans="1:15">
      <c r="A95" s="1">
        <v>23</v>
      </c>
      <c r="B95" s="103" t="s">
        <v>137</v>
      </c>
      <c r="C95" s="2">
        <v>5.3</v>
      </c>
      <c r="E95" s="3"/>
      <c r="F95" s="1">
        <v>1300</v>
      </c>
      <c r="H95" s="75" t="s">
        <v>138</v>
      </c>
      <c r="I95" t="s">
        <v>106</v>
      </c>
      <c r="M95" t="s">
        <v>107</v>
      </c>
    </row>
    <row r="96" spans="1:15">
      <c r="A96" s="1">
        <v>130</v>
      </c>
      <c r="B96" s="104" t="s">
        <v>378</v>
      </c>
      <c r="C96" s="2">
        <v>8.4</v>
      </c>
      <c r="E96" s="3"/>
      <c r="F96" s="1">
        <v>1350</v>
      </c>
      <c r="H96" s="75" t="s">
        <v>379</v>
      </c>
      <c r="I96" t="s">
        <v>106</v>
      </c>
      <c r="M96" t="s">
        <v>107</v>
      </c>
    </row>
    <row r="97" spans="1:15">
      <c r="A97" s="1">
        <v>13</v>
      </c>
      <c r="B97" s="103" t="s">
        <v>117</v>
      </c>
      <c r="C97" s="2">
        <v>9.1999999999999993</v>
      </c>
      <c r="E97" s="3"/>
      <c r="F97" s="1">
        <v>1353</v>
      </c>
      <c r="H97" s="75" t="s">
        <v>118</v>
      </c>
      <c r="I97" t="s">
        <v>106</v>
      </c>
      <c r="M97" t="s">
        <v>107</v>
      </c>
      <c r="O97" s="4"/>
    </row>
    <row r="98" spans="1:15" ht="38.25">
      <c r="A98" s="1">
        <v>100</v>
      </c>
      <c r="B98" s="103" t="s">
        <v>304</v>
      </c>
      <c r="C98" s="2">
        <v>9.6</v>
      </c>
      <c r="E98" s="3"/>
      <c r="F98" s="1">
        <v>1397</v>
      </c>
      <c r="H98" s="75" t="s">
        <v>305</v>
      </c>
      <c r="I98" t="s">
        <v>258</v>
      </c>
      <c r="K98" s="101" t="s">
        <v>259</v>
      </c>
      <c r="L98">
        <v>48147</v>
      </c>
      <c r="M98" t="s">
        <v>260</v>
      </c>
    </row>
    <row r="99" spans="1:15">
      <c r="A99" s="1">
        <v>10</v>
      </c>
      <c r="B99" s="103" t="s">
        <v>111</v>
      </c>
      <c r="C99" s="2">
        <v>8.6999999999999993</v>
      </c>
      <c r="E99" s="3"/>
      <c r="F99" s="1">
        <v>1400</v>
      </c>
      <c r="H99" s="75" t="s">
        <v>112</v>
      </c>
      <c r="I99" t="s">
        <v>106</v>
      </c>
      <c r="M99" t="s">
        <v>107</v>
      </c>
      <c r="O99" s="4"/>
    </row>
    <row r="100" spans="1:15">
      <c r="A100" s="1">
        <v>30</v>
      </c>
      <c r="B100" s="103" t="s">
        <v>150</v>
      </c>
      <c r="C100" s="2">
        <v>9.5</v>
      </c>
      <c r="E100" s="3"/>
      <c r="F100" s="1">
        <v>1400</v>
      </c>
      <c r="H100" s="75" t="s">
        <v>151</v>
      </c>
      <c r="I100" t="s">
        <v>106</v>
      </c>
      <c r="M100" t="s">
        <v>107</v>
      </c>
      <c r="O100" s="4"/>
    </row>
    <row r="101" spans="1:15">
      <c r="A101" s="1">
        <v>16</v>
      </c>
      <c r="B101" s="103" t="s">
        <v>124</v>
      </c>
      <c r="C101" s="2">
        <v>9.8000000000000007</v>
      </c>
      <c r="E101" s="3"/>
      <c r="F101" s="1">
        <v>1500</v>
      </c>
      <c r="H101" s="75" t="s">
        <v>123</v>
      </c>
      <c r="I101" t="s">
        <v>106</v>
      </c>
      <c r="M101" t="s">
        <v>107</v>
      </c>
      <c r="O101" s="4"/>
    </row>
    <row r="102" spans="1:15">
      <c r="A102" s="1">
        <v>34</v>
      </c>
      <c r="B102" s="103" t="s">
        <v>158</v>
      </c>
      <c r="C102" s="2">
        <v>8.3000000000000007</v>
      </c>
      <c r="E102" s="3"/>
      <c r="F102" s="1">
        <v>1500</v>
      </c>
      <c r="H102" s="75" t="s">
        <v>159</v>
      </c>
      <c r="I102" t="s">
        <v>106</v>
      </c>
      <c r="K102" s="79"/>
      <c r="M102" t="s">
        <v>107</v>
      </c>
      <c r="O102" s="4"/>
    </row>
    <row r="103" spans="1:15">
      <c r="A103" s="1">
        <v>24</v>
      </c>
      <c r="B103" s="103" t="s">
        <v>139</v>
      </c>
      <c r="C103" s="2">
        <v>9.6999999999999993</v>
      </c>
      <c r="E103" s="3"/>
      <c r="F103" s="1">
        <v>1600</v>
      </c>
      <c r="H103" s="75" t="s">
        <v>140</v>
      </c>
      <c r="I103" t="s">
        <v>106</v>
      </c>
      <c r="M103" t="s">
        <v>107</v>
      </c>
      <c r="O103" s="4"/>
    </row>
    <row r="104" spans="1:15">
      <c r="A104" s="1">
        <v>131</v>
      </c>
      <c r="B104" s="104" t="s">
        <v>380</v>
      </c>
      <c r="C104" s="2">
        <v>9.9</v>
      </c>
      <c r="E104" s="3"/>
      <c r="F104" s="1">
        <v>1600</v>
      </c>
      <c r="H104" s="75" t="s">
        <v>381</v>
      </c>
      <c r="I104" t="s">
        <v>106</v>
      </c>
      <c r="M104" t="s">
        <v>107</v>
      </c>
    </row>
    <row r="105" spans="1:15">
      <c r="A105" s="1">
        <v>9</v>
      </c>
      <c r="B105" s="103" t="s">
        <v>109</v>
      </c>
      <c r="C105" s="2">
        <v>9.8000000000000007</v>
      </c>
      <c r="E105" s="3"/>
      <c r="F105" s="1">
        <v>1673</v>
      </c>
      <c r="H105" s="75" t="s">
        <v>110</v>
      </c>
      <c r="I105" t="s">
        <v>106</v>
      </c>
      <c r="M105" t="s">
        <v>107</v>
      </c>
      <c r="O105" s="4"/>
    </row>
    <row r="106" spans="1:15">
      <c r="A106" s="1">
        <v>12</v>
      </c>
      <c r="B106" s="103" t="s">
        <v>115</v>
      </c>
      <c r="C106" s="2">
        <v>9.6999999999999993</v>
      </c>
      <c r="E106" s="3"/>
      <c r="F106" s="1">
        <v>1700</v>
      </c>
      <c r="H106" s="75" t="s">
        <v>116</v>
      </c>
      <c r="I106" t="s">
        <v>106</v>
      </c>
      <c r="M106" t="s">
        <v>107</v>
      </c>
      <c r="O106" s="4"/>
    </row>
    <row r="107" spans="1:15">
      <c r="A107" s="1">
        <v>28</v>
      </c>
      <c r="B107" s="103" t="s">
        <v>146</v>
      </c>
      <c r="C107" s="2">
        <v>9.6999999999999993</v>
      </c>
      <c r="E107" s="3"/>
      <c r="F107" s="1">
        <v>1700</v>
      </c>
      <c r="H107" s="75" t="s">
        <v>147</v>
      </c>
      <c r="I107" t="s">
        <v>106</v>
      </c>
      <c r="M107" t="s">
        <v>107</v>
      </c>
      <c r="O107" s="4"/>
    </row>
    <row r="108" spans="1:15">
      <c r="A108" s="1">
        <v>18</v>
      </c>
      <c r="B108" s="103" t="s">
        <v>127</v>
      </c>
      <c r="C108" s="2">
        <v>10.199999999999999</v>
      </c>
      <c r="E108" s="3"/>
      <c r="F108" s="1">
        <v>1800</v>
      </c>
      <c r="H108" s="75" t="s">
        <v>128</v>
      </c>
      <c r="I108" t="s">
        <v>106</v>
      </c>
      <c r="M108" t="s">
        <v>107</v>
      </c>
      <c r="O108" s="4"/>
    </row>
    <row r="109" spans="1:15">
      <c r="A109" s="1">
        <v>27</v>
      </c>
      <c r="B109" s="103" t="s">
        <v>144</v>
      </c>
      <c r="C109" s="2">
        <v>9.4</v>
      </c>
      <c r="E109" s="3"/>
      <c r="F109" s="1">
        <v>1800</v>
      </c>
      <c r="H109" s="75" t="s">
        <v>145</v>
      </c>
      <c r="I109" t="s">
        <v>106</v>
      </c>
      <c r="M109" t="s">
        <v>107</v>
      </c>
      <c r="O109" s="4"/>
    </row>
    <row r="110" spans="1:15">
      <c r="A110" s="1">
        <v>31</v>
      </c>
      <c r="B110" s="103" t="s">
        <v>152</v>
      </c>
      <c r="C110" s="2">
        <v>9.8000000000000007</v>
      </c>
      <c r="E110" s="3"/>
      <c r="F110" s="1">
        <v>1863</v>
      </c>
      <c r="H110" s="75" t="s">
        <v>153</v>
      </c>
      <c r="I110" t="s">
        <v>106</v>
      </c>
      <c r="M110" t="s">
        <v>107</v>
      </c>
    </row>
    <row r="111" spans="1:15">
      <c r="A111" s="1">
        <v>15</v>
      </c>
      <c r="B111" s="103" t="s">
        <v>121</v>
      </c>
      <c r="C111" s="2">
        <v>9.8000000000000007</v>
      </c>
      <c r="E111" s="3"/>
      <c r="F111" s="1">
        <v>1900</v>
      </c>
      <c r="H111" s="75" t="s">
        <v>122</v>
      </c>
      <c r="I111" t="s">
        <v>106</v>
      </c>
      <c r="M111" t="s">
        <v>107</v>
      </c>
    </row>
    <row r="112" spans="1:15" ht="25.5">
      <c r="A112" s="1">
        <v>39</v>
      </c>
      <c r="B112" s="103" t="s">
        <v>174</v>
      </c>
      <c r="C112" s="2">
        <v>9.6</v>
      </c>
      <c r="E112" s="3"/>
      <c r="F112" s="1">
        <v>2000</v>
      </c>
      <c r="H112" s="75" t="s">
        <v>175</v>
      </c>
      <c r="I112" t="s">
        <v>164</v>
      </c>
      <c r="K112" s="105" t="s">
        <v>176</v>
      </c>
      <c r="L112">
        <v>24253</v>
      </c>
      <c r="M112" t="s">
        <v>177</v>
      </c>
    </row>
    <row r="113" spans="1:15">
      <c r="A113" s="1">
        <v>32</v>
      </c>
      <c r="B113" s="103" t="s">
        <v>154</v>
      </c>
      <c r="C113" s="2">
        <v>9.6999999999999993</v>
      </c>
      <c r="E113" s="3"/>
      <c r="F113" s="1">
        <v>2000</v>
      </c>
      <c r="H113" s="75" t="s">
        <v>155</v>
      </c>
      <c r="I113" t="s">
        <v>106</v>
      </c>
      <c r="M113" t="s">
        <v>107</v>
      </c>
    </row>
    <row r="114" spans="1:15">
      <c r="A114" s="1">
        <v>92</v>
      </c>
      <c r="B114" s="103" t="s">
        <v>290</v>
      </c>
      <c r="C114" s="2">
        <v>10.5</v>
      </c>
      <c r="E114" s="3"/>
      <c r="F114" s="1">
        <v>2000</v>
      </c>
      <c r="H114" s="75" t="s">
        <v>75</v>
      </c>
      <c r="K114" t="s">
        <v>291</v>
      </c>
      <c r="L114">
        <v>18249</v>
      </c>
      <c r="M114" t="s">
        <v>292</v>
      </c>
    </row>
    <row r="115" spans="1:15">
      <c r="A115" s="1">
        <v>99</v>
      </c>
      <c r="B115" s="103" t="s">
        <v>303</v>
      </c>
      <c r="C115" s="2">
        <v>8.1999999999999993</v>
      </c>
      <c r="E115" s="3"/>
      <c r="F115" s="1">
        <v>2000</v>
      </c>
      <c r="H115" s="75" t="s">
        <v>302</v>
      </c>
      <c r="M115" t="s">
        <v>296</v>
      </c>
    </row>
    <row r="116" spans="1:15">
      <c r="A116" s="1">
        <v>104</v>
      </c>
      <c r="B116" s="103" t="s">
        <v>313</v>
      </c>
      <c r="C116" s="2">
        <v>9.8000000000000007</v>
      </c>
      <c r="E116" s="3"/>
      <c r="F116" s="1">
        <v>2000</v>
      </c>
      <c r="H116" s="75" t="s">
        <v>314</v>
      </c>
      <c r="K116" t="s">
        <v>315</v>
      </c>
      <c r="L116">
        <v>18057</v>
      </c>
      <c r="M116" t="s">
        <v>271</v>
      </c>
    </row>
    <row r="117" spans="1:15">
      <c r="A117" s="1">
        <v>94</v>
      </c>
      <c r="B117" s="103" t="s">
        <v>294</v>
      </c>
      <c r="C117" s="2">
        <v>8.6</v>
      </c>
      <c r="E117" s="3"/>
      <c r="F117" s="1">
        <v>2000</v>
      </c>
      <c r="H117" s="75" t="s">
        <v>295</v>
      </c>
      <c r="M117" t="s">
        <v>296</v>
      </c>
    </row>
    <row r="118" spans="1:15">
      <c r="A118" s="1">
        <v>95</v>
      </c>
      <c r="B118" s="103" t="s">
        <v>297</v>
      </c>
      <c r="C118" s="2">
        <v>10</v>
      </c>
      <c r="E118" s="3"/>
      <c r="F118" s="1">
        <v>2000</v>
      </c>
      <c r="H118" s="75" t="s">
        <v>295</v>
      </c>
      <c r="M118" t="s">
        <v>296</v>
      </c>
    </row>
    <row r="119" spans="1:15">
      <c r="A119" s="1">
        <v>98</v>
      </c>
      <c r="B119" s="103" t="s">
        <v>301</v>
      </c>
      <c r="C119" s="2">
        <v>8.6999999999999993</v>
      </c>
      <c r="E119" s="3"/>
      <c r="F119" s="1">
        <v>2000</v>
      </c>
      <c r="H119" s="75" t="s">
        <v>302</v>
      </c>
      <c r="M119" t="s">
        <v>296</v>
      </c>
    </row>
    <row r="120" spans="1:15">
      <c r="A120" s="1">
        <v>93</v>
      </c>
      <c r="B120" s="103" t="s">
        <v>293</v>
      </c>
      <c r="C120" s="2">
        <v>10.199999999999999</v>
      </c>
      <c r="E120" s="3"/>
      <c r="F120" s="1">
        <v>2000</v>
      </c>
      <c r="H120" s="75" t="s">
        <v>75</v>
      </c>
      <c r="K120" t="s">
        <v>291</v>
      </c>
      <c r="L120">
        <v>18249</v>
      </c>
      <c r="M120" t="s">
        <v>292</v>
      </c>
    </row>
    <row r="121" spans="1:15">
      <c r="A121" s="1">
        <v>65</v>
      </c>
      <c r="B121" s="103" t="s">
        <v>229</v>
      </c>
      <c r="C121" s="2">
        <v>9.5</v>
      </c>
      <c r="E121" s="3"/>
      <c r="F121" s="1">
        <v>2000</v>
      </c>
      <c r="H121" s="75" t="s">
        <v>230</v>
      </c>
      <c r="I121" t="s">
        <v>205</v>
      </c>
      <c r="K121" s="105" t="s">
        <v>206</v>
      </c>
      <c r="L121">
        <v>73447</v>
      </c>
      <c r="M121" t="s">
        <v>207</v>
      </c>
    </row>
    <row r="122" spans="1:15">
      <c r="A122" s="1">
        <v>91</v>
      </c>
      <c r="B122" s="103" t="s">
        <v>289</v>
      </c>
      <c r="C122" s="2">
        <v>8.3000000000000007</v>
      </c>
      <c r="E122" s="3"/>
      <c r="F122" s="1">
        <v>2000</v>
      </c>
      <c r="H122" s="75" t="s">
        <v>288</v>
      </c>
    </row>
    <row r="123" spans="1:15">
      <c r="A123" s="1">
        <v>90</v>
      </c>
      <c r="B123" s="103" t="s">
        <v>287</v>
      </c>
      <c r="C123" s="2">
        <v>8.1999999999999993</v>
      </c>
      <c r="E123" s="3"/>
      <c r="F123" s="1">
        <v>2000</v>
      </c>
      <c r="H123" s="75" t="s">
        <v>288</v>
      </c>
    </row>
    <row r="124" spans="1:15">
      <c r="A124" s="1">
        <v>96</v>
      </c>
      <c r="B124" s="103" t="s">
        <v>298</v>
      </c>
      <c r="C124" s="2">
        <v>9.8000000000000007</v>
      </c>
      <c r="E124" s="3"/>
      <c r="F124" s="1">
        <v>2000</v>
      </c>
      <c r="H124" s="75" t="s">
        <v>300</v>
      </c>
      <c r="K124" t="s">
        <v>291</v>
      </c>
      <c r="L124">
        <v>18249</v>
      </c>
      <c r="M124" t="s">
        <v>292</v>
      </c>
    </row>
    <row r="125" spans="1:15">
      <c r="A125" s="1">
        <v>97</v>
      </c>
      <c r="B125" s="103" t="s">
        <v>299</v>
      </c>
      <c r="C125" s="2">
        <v>8.6999999999999993</v>
      </c>
      <c r="E125" s="3"/>
      <c r="F125" s="1">
        <v>2000</v>
      </c>
      <c r="H125" s="75" t="s">
        <v>300</v>
      </c>
      <c r="K125" t="s">
        <v>291</v>
      </c>
      <c r="L125">
        <v>18249</v>
      </c>
      <c r="M125" t="s">
        <v>292</v>
      </c>
    </row>
    <row r="126" spans="1:15">
      <c r="A126" s="1">
        <v>22</v>
      </c>
      <c r="B126" s="103" t="s">
        <v>135</v>
      </c>
      <c r="C126" s="2">
        <v>10</v>
      </c>
      <c r="E126" s="3"/>
      <c r="F126" s="1">
        <v>2100</v>
      </c>
      <c r="H126" s="75" t="s">
        <v>136</v>
      </c>
      <c r="I126" t="s">
        <v>106</v>
      </c>
      <c r="M126" t="s">
        <v>107</v>
      </c>
      <c r="O126" s="4"/>
    </row>
    <row r="127" spans="1:15" ht="25.5">
      <c r="A127" s="1">
        <v>73</v>
      </c>
      <c r="B127" s="103" t="s">
        <v>249</v>
      </c>
      <c r="C127" s="2">
        <v>10.4</v>
      </c>
      <c r="E127" s="3"/>
      <c r="F127" s="1">
        <v>2200</v>
      </c>
      <c r="G127" s="1" t="s">
        <v>83</v>
      </c>
      <c r="H127" s="75" t="s">
        <v>244</v>
      </c>
      <c r="K127" s="101" t="s">
        <v>245</v>
      </c>
      <c r="L127">
        <v>86609</v>
      </c>
      <c r="M127" t="s">
        <v>246</v>
      </c>
      <c r="N127" t="s">
        <v>247</v>
      </c>
      <c r="O127" s="4" t="s">
        <v>248</v>
      </c>
    </row>
    <row r="128" spans="1:15" ht="25.5">
      <c r="A128" s="1">
        <v>6</v>
      </c>
      <c r="B128" s="103" t="s">
        <v>100</v>
      </c>
      <c r="C128" s="2">
        <v>9.4</v>
      </c>
      <c r="E128" s="3"/>
      <c r="F128" s="1">
        <v>2225</v>
      </c>
      <c r="G128" s="1" t="s">
        <v>83</v>
      </c>
      <c r="H128" s="75" t="s">
        <v>101</v>
      </c>
      <c r="K128" t="s">
        <v>102</v>
      </c>
      <c r="L128">
        <v>24248</v>
      </c>
      <c r="M128" t="s">
        <v>103</v>
      </c>
    </row>
    <row r="129" spans="1:15">
      <c r="A129" s="1">
        <v>124</v>
      </c>
      <c r="B129" s="103" t="s">
        <v>361</v>
      </c>
      <c r="C129" s="2">
        <v>9.5</v>
      </c>
      <c r="E129" s="3"/>
      <c r="F129" s="1">
        <v>2250</v>
      </c>
      <c r="H129" s="75" t="s">
        <v>362</v>
      </c>
      <c r="K129" t="s">
        <v>363</v>
      </c>
      <c r="L129">
        <v>10559</v>
      </c>
      <c r="M129" t="s">
        <v>364</v>
      </c>
      <c r="N129" t="s">
        <v>365</v>
      </c>
      <c r="O129" s="4" t="s">
        <v>366</v>
      </c>
    </row>
    <row r="130" spans="1:15">
      <c r="A130" s="1">
        <v>89</v>
      </c>
      <c r="B130" s="103" t="s">
        <v>286</v>
      </c>
      <c r="C130" s="2">
        <v>9.8000000000000007</v>
      </c>
      <c r="E130" s="3"/>
      <c r="F130" s="1">
        <v>2500</v>
      </c>
      <c r="H130" s="75" t="s">
        <v>284</v>
      </c>
      <c r="K130" t="s">
        <v>285</v>
      </c>
      <c r="L130">
        <v>18055</v>
      </c>
      <c r="M130" t="s">
        <v>271</v>
      </c>
    </row>
    <row r="131" spans="1:15">
      <c r="A131" s="1">
        <v>26</v>
      </c>
      <c r="B131" s="103" t="s">
        <v>143</v>
      </c>
      <c r="C131" s="2">
        <v>9.4</v>
      </c>
      <c r="E131" s="3"/>
      <c r="F131" s="1">
        <v>2700</v>
      </c>
      <c r="H131" s="75" t="s">
        <v>136</v>
      </c>
      <c r="I131" t="s">
        <v>106</v>
      </c>
      <c r="M131" t="s">
        <v>107</v>
      </c>
      <c r="O131" s="4"/>
    </row>
    <row r="132" spans="1:15" ht="25.5">
      <c r="A132" s="1">
        <v>72</v>
      </c>
      <c r="B132" s="103" t="s">
        <v>243</v>
      </c>
      <c r="C132" s="2">
        <v>10</v>
      </c>
      <c r="E132" s="3"/>
      <c r="F132" s="1">
        <v>2800</v>
      </c>
      <c r="G132" s="1" t="s">
        <v>83</v>
      </c>
      <c r="H132" s="75" t="s">
        <v>244</v>
      </c>
      <c r="K132" s="101" t="s">
        <v>245</v>
      </c>
      <c r="L132">
        <v>86609</v>
      </c>
      <c r="M132" t="s">
        <v>246</v>
      </c>
      <c r="N132" t="s">
        <v>247</v>
      </c>
      <c r="O132" s="4" t="s">
        <v>248</v>
      </c>
    </row>
    <row r="133" spans="1:15">
      <c r="A133" s="1">
        <v>126</v>
      </c>
      <c r="B133" s="104" t="s">
        <v>370</v>
      </c>
      <c r="C133" s="2">
        <v>11.2</v>
      </c>
      <c r="E133" s="3"/>
      <c r="F133" s="1">
        <v>2900</v>
      </c>
      <c r="H133" s="75" t="s">
        <v>371</v>
      </c>
      <c r="I133" t="s">
        <v>369</v>
      </c>
    </row>
    <row r="134" spans="1:15">
      <c r="A134" s="1">
        <v>88</v>
      </c>
      <c r="B134" s="103" t="s">
        <v>283</v>
      </c>
      <c r="C134" s="2">
        <v>10</v>
      </c>
      <c r="E134" s="3"/>
      <c r="F134" s="1">
        <v>3200</v>
      </c>
      <c r="H134" s="75" t="s">
        <v>284</v>
      </c>
      <c r="K134" t="s">
        <v>285</v>
      </c>
      <c r="L134">
        <v>18055</v>
      </c>
      <c r="M134" t="s">
        <v>271</v>
      </c>
    </row>
    <row r="135" spans="1:15">
      <c r="A135" s="1">
        <v>86</v>
      </c>
      <c r="B135" s="103" t="s">
        <v>280</v>
      </c>
      <c r="C135" s="2">
        <v>7.5</v>
      </c>
      <c r="E135" s="3"/>
      <c r="F135" s="1">
        <v>3500</v>
      </c>
      <c r="G135" s="1" t="s">
        <v>83</v>
      </c>
      <c r="H135" s="75" t="s">
        <v>281</v>
      </c>
      <c r="I135" t="s">
        <v>274</v>
      </c>
      <c r="K135" s="101"/>
      <c r="M135" t="s">
        <v>275</v>
      </c>
    </row>
    <row r="136" spans="1:15">
      <c r="A136" s="1">
        <v>125</v>
      </c>
      <c r="B136" s="104" t="s">
        <v>367</v>
      </c>
      <c r="C136" s="2">
        <v>7.7</v>
      </c>
      <c r="E136" s="3"/>
      <c r="F136" s="1">
        <v>4000</v>
      </c>
      <c r="H136" s="75" t="s">
        <v>368</v>
      </c>
      <c r="I136" t="s">
        <v>369</v>
      </c>
    </row>
    <row r="137" spans="1:15">
      <c r="A137" s="1">
        <v>109</v>
      </c>
      <c r="B137" s="103" t="s">
        <v>330</v>
      </c>
      <c r="C137" s="2">
        <v>11</v>
      </c>
      <c r="E137" s="3"/>
      <c r="F137" s="1">
        <v>4500</v>
      </c>
      <c r="H137" s="75" t="s">
        <v>331</v>
      </c>
      <c r="K137" t="s">
        <v>332</v>
      </c>
      <c r="L137">
        <v>18528</v>
      </c>
      <c r="M137" t="s">
        <v>333</v>
      </c>
    </row>
    <row r="138" spans="1:15">
      <c r="A138" s="1">
        <v>87</v>
      </c>
      <c r="B138" s="103" t="s">
        <v>282</v>
      </c>
      <c r="C138" s="2">
        <v>11.3</v>
      </c>
      <c r="E138" s="3"/>
      <c r="F138" s="1">
        <v>4500</v>
      </c>
      <c r="H138" s="75" t="s">
        <v>281</v>
      </c>
      <c r="I138" t="s">
        <v>274</v>
      </c>
      <c r="K138" s="101"/>
      <c r="M138" t="s">
        <v>275</v>
      </c>
    </row>
    <row r="139" spans="1:15">
      <c r="A139" s="1">
        <v>137</v>
      </c>
      <c r="C139" s="2"/>
      <c r="E139" s="3"/>
    </row>
    <row r="140" spans="1:15">
      <c r="A140" s="1">
        <v>138</v>
      </c>
      <c r="C140" s="2"/>
      <c r="E140" s="3"/>
    </row>
    <row r="141" spans="1:15">
      <c r="A141" s="1">
        <v>139</v>
      </c>
      <c r="C141" s="2"/>
      <c r="E141" s="3"/>
    </row>
    <row r="142" spans="1:15">
      <c r="A142" s="1">
        <v>140</v>
      </c>
      <c r="C142" s="2"/>
      <c r="E142" s="3"/>
    </row>
    <row r="143" spans="1:15">
      <c r="A143" s="1">
        <v>141</v>
      </c>
      <c r="C143" s="2"/>
      <c r="E143" s="3"/>
    </row>
    <row r="144" spans="1:15">
      <c r="A144" s="1">
        <v>142</v>
      </c>
      <c r="C144" s="2"/>
      <c r="E144" s="3"/>
    </row>
    <row r="145" spans="1:5">
      <c r="A145" s="1">
        <v>143</v>
      </c>
      <c r="C145" s="2"/>
      <c r="E145" s="3"/>
    </row>
    <row r="146" spans="1:5">
      <c r="A146" s="1">
        <v>144</v>
      </c>
      <c r="C146" s="2"/>
      <c r="E146" s="3"/>
    </row>
    <row r="147" spans="1:5">
      <c r="A147" s="1">
        <v>145</v>
      </c>
      <c r="C147" s="2"/>
      <c r="E147" s="3"/>
    </row>
    <row r="148" spans="1:5">
      <c r="A148" s="1">
        <v>146</v>
      </c>
      <c r="C148" s="2"/>
      <c r="E148" s="3"/>
    </row>
    <row r="149" spans="1:5">
      <c r="A149" s="1">
        <v>147</v>
      </c>
      <c r="C149" s="2"/>
      <c r="E149" s="3"/>
    </row>
    <row r="150" spans="1:5">
      <c r="A150" s="1">
        <v>148</v>
      </c>
      <c r="C150" s="2"/>
      <c r="E150" s="3"/>
    </row>
    <row r="151" spans="1:5">
      <c r="A151" s="1">
        <v>149</v>
      </c>
      <c r="C151" s="2"/>
      <c r="E151" s="3"/>
    </row>
    <row r="152" spans="1:5">
      <c r="A152" s="1">
        <v>150</v>
      </c>
      <c r="C152" s="2"/>
      <c r="E152" s="3"/>
    </row>
    <row r="153" spans="1:5">
      <c r="A153" s="1">
        <v>151</v>
      </c>
      <c r="C153" s="2"/>
      <c r="E153" s="3"/>
    </row>
    <row r="154" spans="1:5">
      <c r="A154" s="1">
        <v>152</v>
      </c>
      <c r="C154" s="2"/>
      <c r="E154" s="3"/>
    </row>
    <row r="155" spans="1:5">
      <c r="A155" s="1">
        <v>153</v>
      </c>
      <c r="C155" s="2"/>
      <c r="E155" s="3"/>
    </row>
    <row r="156" spans="1:5">
      <c r="A156" s="1">
        <v>154</v>
      </c>
      <c r="C156" s="2"/>
      <c r="E156" s="3"/>
    </row>
    <row r="157" spans="1:5">
      <c r="A157" s="1">
        <v>155</v>
      </c>
      <c r="C157" s="2"/>
      <c r="E157" s="3"/>
    </row>
    <row r="158" spans="1:5">
      <c r="A158" s="1">
        <v>156</v>
      </c>
      <c r="C158" s="2"/>
      <c r="E158" s="3"/>
    </row>
    <row r="159" spans="1:5">
      <c r="A159" s="1">
        <v>157</v>
      </c>
      <c r="C159" s="2"/>
      <c r="E159" s="3"/>
    </row>
    <row r="160" spans="1:5">
      <c r="A160" s="1">
        <v>158</v>
      </c>
      <c r="C160" s="2"/>
      <c r="E160" s="3"/>
    </row>
    <row r="161" spans="1:5">
      <c r="A161" s="1">
        <v>159</v>
      </c>
      <c r="C161" s="2"/>
      <c r="E161" s="3"/>
    </row>
    <row r="162" spans="1:5">
      <c r="A162" s="1">
        <v>160</v>
      </c>
      <c r="C162" s="2"/>
      <c r="E162" s="3"/>
    </row>
    <row r="163" spans="1:5">
      <c r="A163" s="1">
        <v>161</v>
      </c>
      <c r="C163" s="2"/>
      <c r="E163" s="3"/>
    </row>
    <row r="164" spans="1:5">
      <c r="A164" s="1">
        <v>162</v>
      </c>
      <c r="C164" s="2"/>
      <c r="E164" s="3"/>
    </row>
    <row r="165" spans="1:5">
      <c r="A165" s="1">
        <v>163</v>
      </c>
      <c r="C165" s="2"/>
      <c r="E165" s="3"/>
    </row>
    <row r="166" spans="1:5">
      <c r="A166" s="1">
        <v>164</v>
      </c>
      <c r="C166" s="2"/>
      <c r="E166" s="3"/>
    </row>
    <row r="167" spans="1:5">
      <c r="A167" s="1">
        <v>165</v>
      </c>
      <c r="C167" s="2"/>
      <c r="E167" s="3"/>
    </row>
    <row r="168" spans="1:5">
      <c r="A168" s="1">
        <v>166</v>
      </c>
      <c r="C168" s="2"/>
      <c r="E168" s="3"/>
    </row>
    <row r="169" spans="1:5">
      <c r="A169" s="1">
        <v>167</v>
      </c>
      <c r="C169" s="2"/>
      <c r="E169" s="3"/>
    </row>
    <row r="170" spans="1:5">
      <c r="A170" s="1">
        <v>168</v>
      </c>
      <c r="C170" s="2"/>
      <c r="E170" s="3"/>
    </row>
    <row r="171" spans="1:5">
      <c r="A171" s="1">
        <v>169</v>
      </c>
      <c r="C171" s="2"/>
      <c r="E171" s="3"/>
    </row>
    <row r="172" spans="1:5">
      <c r="A172" s="1">
        <v>170</v>
      </c>
      <c r="C172" s="2"/>
      <c r="E172" s="3"/>
    </row>
    <row r="173" spans="1:5">
      <c r="A173" s="1">
        <v>171</v>
      </c>
      <c r="C173" s="2"/>
      <c r="E173" s="3"/>
    </row>
    <row r="174" spans="1:5">
      <c r="A174" s="1">
        <v>172</v>
      </c>
      <c r="C174" s="2"/>
      <c r="E174" s="3"/>
    </row>
    <row r="175" spans="1:5">
      <c r="A175" s="1">
        <v>173</v>
      </c>
      <c r="C175" s="2"/>
      <c r="E175" s="3"/>
    </row>
    <row r="176" spans="1:5">
      <c r="A176" s="1">
        <v>174</v>
      </c>
      <c r="C176" s="2"/>
      <c r="E176" s="3"/>
    </row>
    <row r="177" spans="1:15">
      <c r="A177" s="1">
        <v>175</v>
      </c>
      <c r="C177" s="2"/>
      <c r="E177" s="3"/>
    </row>
    <row r="178" spans="1:15">
      <c r="A178" s="1">
        <v>176</v>
      </c>
      <c r="C178" s="2"/>
      <c r="E178" s="3"/>
    </row>
    <row r="179" spans="1:15">
      <c r="A179" s="1">
        <v>177</v>
      </c>
      <c r="C179" s="2"/>
      <c r="E179" s="3"/>
    </row>
    <row r="180" spans="1:15">
      <c r="A180" s="1">
        <v>178</v>
      </c>
      <c r="C180" s="2"/>
      <c r="E180" s="3"/>
    </row>
    <row r="181" spans="1:15">
      <c r="A181" s="1">
        <v>179</v>
      </c>
      <c r="C181" s="2"/>
      <c r="E181" s="3"/>
    </row>
    <row r="182" spans="1:15">
      <c r="A182" s="1">
        <v>180</v>
      </c>
      <c r="C182" s="2"/>
      <c r="E182" s="3"/>
    </row>
    <row r="183" spans="1:15">
      <c r="A183" s="1">
        <v>181</v>
      </c>
      <c r="C183" s="2"/>
      <c r="E183" s="3"/>
    </row>
    <row r="184" spans="1:15">
      <c r="A184" s="1">
        <v>182</v>
      </c>
      <c r="C184" s="2"/>
      <c r="E184" s="3"/>
    </row>
    <row r="185" spans="1:15">
      <c r="A185" s="1">
        <v>183</v>
      </c>
      <c r="C185" s="2"/>
      <c r="E185" s="3"/>
    </row>
    <row r="186" spans="1:15">
      <c r="A186" s="1">
        <v>184</v>
      </c>
      <c r="C186" s="2"/>
      <c r="E186" s="3"/>
    </row>
    <row r="187" spans="1:15">
      <c r="A187" s="1">
        <v>185</v>
      </c>
      <c r="C187" s="2"/>
      <c r="E187" s="3"/>
      <c r="K187" s="101"/>
    </row>
    <row r="188" spans="1:15">
      <c r="A188" s="1">
        <v>186</v>
      </c>
      <c r="C188" s="2"/>
      <c r="E188" s="3"/>
      <c r="K188" s="101"/>
    </row>
    <row r="189" spans="1:15">
      <c r="A189" s="1">
        <v>187</v>
      </c>
      <c r="C189" s="2"/>
      <c r="E189" s="3"/>
      <c r="K189" s="101"/>
    </row>
    <row r="190" spans="1:15">
      <c r="A190" s="1">
        <v>188</v>
      </c>
      <c r="C190" s="2"/>
      <c r="E190" s="3"/>
    </row>
    <row r="191" spans="1:15">
      <c r="A191" s="1">
        <v>189</v>
      </c>
      <c r="C191" s="2"/>
      <c r="E191" s="3"/>
      <c r="K191" s="101"/>
      <c r="O191" s="4"/>
    </row>
    <row r="192" spans="1:15">
      <c r="A192" s="1">
        <v>190</v>
      </c>
      <c r="C192" s="2"/>
      <c r="E192" s="3"/>
    </row>
    <row r="193" spans="1:11">
      <c r="A193" s="1">
        <v>191</v>
      </c>
      <c r="C193" s="2"/>
      <c r="E193" s="3"/>
      <c r="K193" s="101"/>
    </row>
    <row r="194" spans="1:11">
      <c r="A194" s="1">
        <v>192</v>
      </c>
      <c r="C194" s="2"/>
      <c r="E194" s="3"/>
    </row>
    <row r="195" spans="1:11">
      <c r="A195" s="1">
        <v>193</v>
      </c>
      <c r="C195" s="2"/>
      <c r="E195" s="3"/>
      <c r="K195" s="101"/>
    </row>
    <row r="196" spans="1:11">
      <c r="A196" s="1">
        <v>194</v>
      </c>
      <c r="C196" s="2"/>
      <c r="E196" s="3"/>
      <c r="K196" s="101"/>
    </row>
    <row r="197" spans="1:11">
      <c r="A197" s="1">
        <v>195</v>
      </c>
      <c r="C197" s="2"/>
      <c r="E197" s="3"/>
    </row>
    <row r="198" spans="1:11">
      <c r="A198" s="1">
        <v>196</v>
      </c>
      <c r="C198" s="2"/>
      <c r="E198" s="3"/>
      <c r="K198" s="101"/>
    </row>
    <row r="199" spans="1:11">
      <c r="A199" s="1">
        <v>197</v>
      </c>
      <c r="C199" s="2"/>
      <c r="E199" s="3"/>
      <c r="K199" s="101"/>
    </row>
    <row r="200" spans="1:11">
      <c r="A200" s="1">
        <v>198</v>
      </c>
      <c r="C200" s="2"/>
      <c r="E200" s="3"/>
      <c r="K200" s="101"/>
    </row>
    <row r="201" spans="1:11">
      <c r="A201" s="1">
        <v>199</v>
      </c>
      <c r="C201" s="2"/>
      <c r="E201" s="3"/>
      <c r="K201" s="101"/>
    </row>
    <row r="202" spans="1:11">
      <c r="A202" s="1">
        <v>200</v>
      </c>
      <c r="C202" s="2"/>
      <c r="E202" s="3"/>
      <c r="K202" s="101"/>
    </row>
    <row r="203" spans="1:11">
      <c r="A203" s="1">
        <v>201</v>
      </c>
      <c r="C203" s="2"/>
      <c r="E203" s="3"/>
      <c r="K203" s="101"/>
    </row>
    <row r="204" spans="1:11">
      <c r="A204" s="1">
        <v>202</v>
      </c>
      <c r="C204" s="2"/>
      <c r="E204" s="3"/>
      <c r="K204" s="101"/>
    </row>
    <row r="205" spans="1:11">
      <c r="A205" s="1">
        <v>203</v>
      </c>
      <c r="C205" s="2"/>
      <c r="E205" s="3"/>
      <c r="K205" s="101"/>
    </row>
    <row r="206" spans="1:11">
      <c r="A206" s="1">
        <v>204</v>
      </c>
      <c r="C206" s="2"/>
      <c r="E206" s="3"/>
      <c r="K206" s="101"/>
    </row>
    <row r="207" spans="1:11">
      <c r="A207" s="1">
        <v>205</v>
      </c>
      <c r="C207" s="2"/>
      <c r="E207" s="3"/>
      <c r="K207" s="101"/>
    </row>
    <row r="208" spans="1:11">
      <c r="A208" s="1">
        <v>206</v>
      </c>
      <c r="C208" s="2"/>
      <c r="E208" s="3"/>
      <c r="K208" s="101"/>
    </row>
    <row r="209" spans="1:11">
      <c r="A209" s="1">
        <v>207</v>
      </c>
      <c r="C209" s="2"/>
      <c r="E209" s="3"/>
      <c r="K209" s="101"/>
    </row>
    <row r="210" spans="1:11">
      <c r="A210" s="1">
        <v>208</v>
      </c>
      <c r="C210" s="2"/>
      <c r="E210" s="3"/>
    </row>
    <row r="211" spans="1:11">
      <c r="A211" s="1">
        <v>209</v>
      </c>
      <c r="C211" s="2"/>
      <c r="E211" s="3"/>
    </row>
    <row r="212" spans="1:11">
      <c r="A212" s="1">
        <v>210</v>
      </c>
      <c r="C212" s="2"/>
      <c r="E212" s="3"/>
    </row>
    <row r="213" spans="1:11">
      <c r="A213" s="1">
        <v>211</v>
      </c>
      <c r="C213" s="2"/>
      <c r="E213" s="3"/>
    </row>
    <row r="214" spans="1:11">
      <c r="A214" s="1">
        <v>212</v>
      </c>
      <c r="C214" s="2"/>
      <c r="E214" s="3"/>
    </row>
    <row r="215" spans="1:11">
      <c r="A215" s="1">
        <v>213</v>
      </c>
      <c r="C215" s="2"/>
      <c r="E215" s="3"/>
    </row>
    <row r="216" spans="1:11">
      <c r="A216" s="1">
        <v>214</v>
      </c>
      <c r="C216" s="2"/>
      <c r="E216" s="3"/>
    </row>
    <row r="217" spans="1:11">
      <c r="A217" s="1">
        <v>215</v>
      </c>
      <c r="C217" s="2"/>
      <c r="E217" s="3"/>
    </row>
    <row r="218" spans="1:11">
      <c r="A218" s="1">
        <v>216</v>
      </c>
      <c r="C218" s="2"/>
      <c r="E218" s="3"/>
    </row>
    <row r="219" spans="1:11">
      <c r="A219" s="1">
        <v>217</v>
      </c>
      <c r="C219" s="2"/>
      <c r="E219" s="3"/>
    </row>
    <row r="220" spans="1:11">
      <c r="A220" s="1">
        <v>218</v>
      </c>
      <c r="C220" s="2"/>
      <c r="E220" s="3"/>
    </row>
    <row r="221" spans="1:11">
      <c r="A221" s="1">
        <v>219</v>
      </c>
      <c r="C221" s="2"/>
      <c r="E221" s="3"/>
    </row>
    <row r="222" spans="1:11">
      <c r="A222" s="1">
        <v>220</v>
      </c>
      <c r="C222" s="2"/>
      <c r="E222" s="3"/>
    </row>
    <row r="223" spans="1:11">
      <c r="A223" s="1">
        <v>221</v>
      </c>
      <c r="C223" s="2"/>
      <c r="E223" s="3"/>
    </row>
    <row r="224" spans="1:11">
      <c r="A224" s="1">
        <v>222</v>
      </c>
      <c r="C224" s="2"/>
      <c r="E224" s="3"/>
    </row>
    <row r="225" spans="1:5">
      <c r="A225" s="1">
        <v>223</v>
      </c>
      <c r="C225" s="2"/>
      <c r="E225" s="3"/>
    </row>
    <row r="226" spans="1:5">
      <c r="A226" s="1">
        <v>224</v>
      </c>
      <c r="C226" s="2"/>
      <c r="E226" s="3"/>
    </row>
    <row r="227" spans="1:5">
      <c r="A227" s="1">
        <v>225</v>
      </c>
      <c r="C227" s="2"/>
      <c r="E227" s="3"/>
    </row>
    <row r="228" spans="1:5">
      <c r="A228" s="1">
        <v>226</v>
      </c>
      <c r="C228" s="2"/>
      <c r="E228" s="3"/>
    </row>
    <row r="229" spans="1:5">
      <c r="A229" s="1">
        <v>227</v>
      </c>
      <c r="C229" s="2"/>
      <c r="E229" s="3"/>
    </row>
    <row r="230" spans="1:5">
      <c r="A230" s="1">
        <v>228</v>
      </c>
      <c r="C230" s="2"/>
      <c r="E230" s="3"/>
    </row>
    <row r="231" spans="1:5">
      <c r="A231" s="1">
        <v>229</v>
      </c>
      <c r="C231" s="2"/>
      <c r="E231" s="3"/>
    </row>
    <row r="232" spans="1:5">
      <c r="A232" s="1">
        <v>230</v>
      </c>
      <c r="C232" s="2"/>
      <c r="E232" s="3"/>
    </row>
    <row r="233" spans="1:5">
      <c r="A233" s="1">
        <v>231</v>
      </c>
      <c r="C233" s="2"/>
      <c r="E233" s="3"/>
    </row>
    <row r="234" spans="1:5">
      <c r="A234" s="1">
        <v>232</v>
      </c>
      <c r="C234" s="2"/>
      <c r="E234" s="3"/>
    </row>
    <row r="235" spans="1:5">
      <c r="A235" s="1">
        <v>233</v>
      </c>
      <c r="C235" s="2"/>
      <c r="E235" s="3"/>
    </row>
    <row r="236" spans="1:5">
      <c r="A236" s="1">
        <v>234</v>
      </c>
      <c r="C236" s="2"/>
      <c r="E236" s="3"/>
    </row>
    <row r="237" spans="1:5">
      <c r="A237" s="1">
        <v>235</v>
      </c>
      <c r="C237" s="2"/>
      <c r="E237" s="3"/>
    </row>
    <row r="238" spans="1:5">
      <c r="A238" s="1">
        <v>236</v>
      </c>
      <c r="C238" s="2"/>
      <c r="E238" s="3"/>
    </row>
    <row r="239" spans="1:5">
      <c r="A239" s="1">
        <v>237</v>
      </c>
      <c r="C239" s="2"/>
      <c r="E239" s="3"/>
    </row>
    <row r="240" spans="1:5">
      <c r="A240" s="1">
        <v>238</v>
      </c>
      <c r="C240" s="2"/>
      <c r="E240" s="3"/>
    </row>
    <row r="241" spans="1:5">
      <c r="A241" s="1">
        <v>239</v>
      </c>
      <c r="C241" s="2"/>
      <c r="E241" s="3"/>
    </row>
    <row r="242" spans="1:5">
      <c r="A242" s="1">
        <v>240</v>
      </c>
      <c r="C242" s="2"/>
      <c r="E242" s="3"/>
    </row>
    <row r="243" spans="1:5">
      <c r="A243" s="1">
        <v>241</v>
      </c>
      <c r="C243" s="2"/>
      <c r="E243" s="3"/>
    </row>
    <row r="244" spans="1:5">
      <c r="A244" s="1">
        <v>242</v>
      </c>
      <c r="C244" s="2"/>
      <c r="E244" s="3"/>
    </row>
    <row r="245" spans="1:5">
      <c r="A245" s="1">
        <v>243</v>
      </c>
      <c r="C245" s="2"/>
      <c r="E245" s="3"/>
    </row>
    <row r="246" spans="1:5">
      <c r="A246" s="1">
        <v>244</v>
      </c>
      <c r="C246" s="2"/>
      <c r="E246" s="3"/>
    </row>
    <row r="247" spans="1:5">
      <c r="A247" s="1">
        <v>245</v>
      </c>
      <c r="C247" s="2"/>
      <c r="E247" s="3"/>
    </row>
    <row r="248" spans="1:5">
      <c r="A248" s="1">
        <v>246</v>
      </c>
      <c r="C248" s="2"/>
      <c r="E248" s="3"/>
    </row>
    <row r="249" spans="1:5">
      <c r="A249" s="1">
        <v>247</v>
      </c>
      <c r="C249" s="2"/>
      <c r="E249" s="3"/>
    </row>
    <row r="250" spans="1:5">
      <c r="A250" s="1">
        <v>248</v>
      </c>
      <c r="C250" s="2"/>
      <c r="E250" s="3"/>
    </row>
    <row r="251" spans="1:5">
      <c r="A251" s="1">
        <v>249</v>
      </c>
      <c r="C251" s="2"/>
      <c r="E251" s="3"/>
    </row>
    <row r="252" spans="1:5">
      <c r="A252" s="1">
        <v>250</v>
      </c>
      <c r="C252" s="2"/>
      <c r="E252" s="3"/>
    </row>
    <row r="253" spans="1:5">
      <c r="A253" s="1">
        <v>251</v>
      </c>
      <c r="C253" s="2"/>
      <c r="E253" s="3"/>
    </row>
    <row r="254" spans="1:5">
      <c r="A254" s="1">
        <v>252</v>
      </c>
      <c r="C254" s="2"/>
      <c r="E254" s="3"/>
    </row>
    <row r="255" spans="1:5">
      <c r="A255" s="1">
        <v>253</v>
      </c>
      <c r="C255" s="2"/>
      <c r="E255" s="3"/>
    </row>
    <row r="256" spans="1:5">
      <c r="A256" s="1">
        <v>254</v>
      </c>
      <c r="C256" s="2"/>
      <c r="E256" s="3"/>
    </row>
    <row r="257" spans="1:5">
      <c r="A257" s="1">
        <v>255</v>
      </c>
      <c r="C257" s="2"/>
      <c r="E257" s="3"/>
    </row>
    <row r="258" spans="1:5">
      <c r="A258" s="1">
        <v>256</v>
      </c>
      <c r="C258" s="2"/>
      <c r="E258" s="3"/>
    </row>
    <row r="259" spans="1:5">
      <c r="A259" s="1">
        <v>257</v>
      </c>
      <c r="C259" s="2"/>
      <c r="E259" s="3"/>
    </row>
    <row r="260" spans="1:5">
      <c r="A260" s="1">
        <v>258</v>
      </c>
      <c r="C260" s="2"/>
      <c r="E260" s="3"/>
    </row>
    <row r="261" spans="1:5">
      <c r="A261" s="1">
        <v>259</v>
      </c>
      <c r="C261" s="2"/>
      <c r="E261" s="3"/>
    </row>
    <row r="262" spans="1:5">
      <c r="A262" s="1">
        <v>260</v>
      </c>
      <c r="C262" s="2"/>
      <c r="E262" s="3"/>
    </row>
    <row r="263" spans="1:5">
      <c r="A263" s="1">
        <v>261</v>
      </c>
      <c r="C263" s="2"/>
      <c r="E263" s="3"/>
    </row>
    <row r="264" spans="1:5">
      <c r="A264" s="1">
        <v>262</v>
      </c>
      <c r="C264" s="2"/>
      <c r="E264" s="3"/>
    </row>
    <row r="265" spans="1:5">
      <c r="A265" s="1">
        <v>263</v>
      </c>
      <c r="C265" s="2"/>
      <c r="E265" s="3"/>
    </row>
    <row r="266" spans="1:5">
      <c r="A266" s="1">
        <v>264</v>
      </c>
      <c r="C266" s="2"/>
      <c r="E266" s="3"/>
    </row>
    <row r="267" spans="1:5">
      <c r="A267" s="1">
        <v>265</v>
      </c>
      <c r="C267" s="2"/>
      <c r="E267" s="3"/>
    </row>
    <row r="268" spans="1:5">
      <c r="A268" s="1">
        <v>266</v>
      </c>
      <c r="C268" s="2"/>
      <c r="E268" s="3"/>
    </row>
    <row r="269" spans="1:5">
      <c r="A269" s="1">
        <v>267</v>
      </c>
      <c r="C269" s="2"/>
      <c r="E269" s="3"/>
    </row>
    <row r="270" spans="1:5">
      <c r="A270" s="1">
        <v>268</v>
      </c>
      <c r="C270" s="2"/>
      <c r="E270" s="3"/>
    </row>
    <row r="271" spans="1:5">
      <c r="A271" s="1">
        <v>269</v>
      </c>
      <c r="C271" s="2"/>
      <c r="E271" s="3"/>
    </row>
    <row r="272" spans="1:5">
      <c r="A272" s="1">
        <v>270</v>
      </c>
      <c r="C272" s="2"/>
      <c r="E272" s="3"/>
    </row>
    <row r="273" spans="1:5">
      <c r="A273" s="1">
        <v>271</v>
      </c>
      <c r="C273" s="2"/>
      <c r="E273" s="3"/>
    </row>
    <row r="274" spans="1:5">
      <c r="A274" s="1">
        <v>272</v>
      </c>
      <c r="C274" s="2"/>
      <c r="E274" s="3"/>
    </row>
    <row r="275" spans="1:5">
      <c r="A275" s="1">
        <v>273</v>
      </c>
      <c r="C275" s="2"/>
      <c r="E275" s="3"/>
    </row>
    <row r="276" spans="1:5">
      <c r="A276" s="1">
        <v>274</v>
      </c>
      <c r="C276" s="2"/>
      <c r="E276" s="3"/>
    </row>
    <row r="277" spans="1:5">
      <c r="A277" s="1">
        <v>275</v>
      </c>
      <c r="C277" s="2"/>
      <c r="E277" s="3"/>
    </row>
    <row r="278" spans="1:5">
      <c r="A278" s="1">
        <v>276</v>
      </c>
      <c r="C278" s="2"/>
      <c r="E278" s="3"/>
    </row>
    <row r="279" spans="1:5">
      <c r="A279" s="1">
        <v>277</v>
      </c>
      <c r="C279" s="2"/>
      <c r="E279" s="3"/>
    </row>
    <row r="280" spans="1:5">
      <c r="A280" s="1">
        <v>278</v>
      </c>
      <c r="C280" s="2"/>
      <c r="E280" s="3"/>
    </row>
    <row r="281" spans="1:5">
      <c r="A281" s="1">
        <v>279</v>
      </c>
      <c r="C281" s="2"/>
      <c r="E281" s="3"/>
    </row>
    <row r="282" spans="1:5">
      <c r="A282" s="1">
        <v>280</v>
      </c>
      <c r="C282" s="2"/>
      <c r="E282" s="3"/>
    </row>
    <row r="283" spans="1:5">
      <c r="A283" s="1">
        <v>281</v>
      </c>
      <c r="C283" s="2"/>
      <c r="E283" s="3"/>
    </row>
    <row r="284" spans="1:5">
      <c r="A284" s="1">
        <v>282</v>
      </c>
      <c r="C284" s="2"/>
      <c r="E284" s="3"/>
    </row>
    <row r="285" spans="1:5">
      <c r="A285" s="1">
        <v>283</v>
      </c>
      <c r="C285" s="2"/>
      <c r="E285" s="3"/>
    </row>
    <row r="286" spans="1:5">
      <c r="A286" s="1">
        <v>284</v>
      </c>
      <c r="C286" s="2"/>
      <c r="E286" s="3"/>
    </row>
    <row r="287" spans="1:5">
      <c r="A287" s="1">
        <v>285</v>
      </c>
      <c r="C287" s="2"/>
      <c r="E287" s="3"/>
    </row>
    <row r="288" spans="1:5">
      <c r="A288" s="1">
        <v>286</v>
      </c>
      <c r="C288" s="2"/>
      <c r="E288" s="3"/>
    </row>
    <row r="289" spans="1:5">
      <c r="A289" s="1">
        <v>287</v>
      </c>
      <c r="C289" s="2"/>
      <c r="E289" s="3"/>
    </row>
    <row r="290" spans="1:5">
      <c r="A290" s="1">
        <v>288</v>
      </c>
      <c r="C290" s="2"/>
      <c r="E290" s="3"/>
    </row>
    <row r="291" spans="1:5">
      <c r="A291" s="1">
        <v>289</v>
      </c>
      <c r="C291" s="2"/>
      <c r="E291" s="3"/>
    </row>
    <row r="292" spans="1:5">
      <c r="A292" s="1">
        <v>290</v>
      </c>
      <c r="C292" s="2"/>
      <c r="E292" s="3"/>
    </row>
    <row r="293" spans="1:5">
      <c r="A293" s="1">
        <v>291</v>
      </c>
      <c r="C293" s="2"/>
      <c r="E293" s="3"/>
    </row>
    <row r="294" spans="1:5">
      <c r="A294" s="1">
        <v>292</v>
      </c>
      <c r="C294" s="2"/>
      <c r="E294" s="3"/>
    </row>
    <row r="295" spans="1:5">
      <c r="A295" s="1">
        <v>293</v>
      </c>
      <c r="C295" s="2"/>
      <c r="E295" s="3"/>
    </row>
    <row r="296" spans="1:5">
      <c r="A296" s="1">
        <v>294</v>
      </c>
      <c r="C296" s="2"/>
      <c r="E296" s="3"/>
    </row>
    <row r="297" spans="1:5">
      <c r="A297" s="1">
        <v>295</v>
      </c>
      <c r="C297" s="2"/>
      <c r="E297" s="3"/>
    </row>
    <row r="298" spans="1:5">
      <c r="A298" s="1">
        <v>296</v>
      </c>
      <c r="C298" s="2"/>
      <c r="E298" s="3"/>
    </row>
    <row r="299" spans="1:5">
      <c r="A299" s="1">
        <v>297</v>
      </c>
      <c r="C299" s="2"/>
      <c r="E299" s="3"/>
    </row>
    <row r="300" spans="1:5">
      <c r="A300" s="1">
        <v>298</v>
      </c>
      <c r="C300" s="2"/>
    </row>
    <row r="301" spans="1:5">
      <c r="A301" s="1">
        <v>299</v>
      </c>
      <c r="C301" s="2"/>
    </row>
    <row r="302" spans="1:5">
      <c r="A302" s="1">
        <v>300</v>
      </c>
      <c r="C302" s="2"/>
    </row>
    <row r="303" spans="1:5">
      <c r="C303" s="2"/>
    </row>
    <row r="304" spans="1:5">
      <c r="C304" s="2"/>
    </row>
    <row r="305" spans="3:3">
      <c r="C305" s="2"/>
    </row>
    <row r="306" spans="3:3">
      <c r="C306" s="2"/>
    </row>
    <row r="307" spans="3:3">
      <c r="C307" s="2"/>
    </row>
    <row r="308" spans="3:3">
      <c r="C308" s="2"/>
    </row>
    <row r="309" spans="3:3">
      <c r="C309" s="2"/>
    </row>
    <row r="310" spans="3:3">
      <c r="C310" s="2"/>
    </row>
    <row r="311" spans="3:3">
      <c r="C311" s="2"/>
    </row>
    <row r="312" spans="3:3">
      <c r="C312" s="2"/>
    </row>
    <row r="313" spans="3:3">
      <c r="C313" s="2"/>
    </row>
    <row r="314" spans="3:3">
      <c r="C314" s="2"/>
    </row>
    <row r="315" spans="3:3">
      <c r="C315" s="2"/>
    </row>
    <row r="316" spans="3:3">
      <c r="C316" s="2"/>
    </row>
    <row r="317" spans="3:3">
      <c r="C317" s="2"/>
    </row>
    <row r="318" spans="3:3">
      <c r="C318" s="2"/>
    </row>
    <row r="319" spans="3:3">
      <c r="C319" s="2"/>
    </row>
    <row r="320" spans="3:3">
      <c r="C320" s="2"/>
    </row>
    <row r="321" spans="3:3">
      <c r="C321" s="2"/>
    </row>
    <row r="322" spans="3:3">
      <c r="C322" s="2"/>
    </row>
    <row r="323" spans="3:3">
      <c r="C323" s="2"/>
    </row>
    <row r="324" spans="3:3">
      <c r="C324" s="2"/>
    </row>
    <row r="325" spans="3:3">
      <c r="C325" s="2"/>
    </row>
    <row r="326" spans="3:3">
      <c r="C326" s="2"/>
    </row>
    <row r="327" spans="3:3">
      <c r="C327" s="2"/>
    </row>
    <row r="328" spans="3:3">
      <c r="C328" s="2"/>
    </row>
    <row r="329" spans="3:3">
      <c r="C329" s="2"/>
    </row>
    <row r="330" spans="3:3">
      <c r="C330" s="2"/>
    </row>
    <row r="331" spans="3:3">
      <c r="C331" s="2"/>
    </row>
    <row r="332" spans="3:3">
      <c r="C332" s="2"/>
    </row>
    <row r="333" spans="3:3">
      <c r="C333" s="2"/>
    </row>
    <row r="334" spans="3:3">
      <c r="C334" s="2"/>
    </row>
    <row r="335" spans="3:3">
      <c r="C335" s="2"/>
    </row>
    <row r="336" spans="3:3">
      <c r="C336" s="2"/>
    </row>
    <row r="337" spans="3:3">
      <c r="C337" s="2"/>
    </row>
    <row r="338" spans="3:3">
      <c r="C338" s="2"/>
    </row>
    <row r="339" spans="3:3">
      <c r="C339" s="2"/>
    </row>
    <row r="340" spans="3:3">
      <c r="C340" s="2"/>
    </row>
    <row r="341" spans="3:3">
      <c r="C341" s="2"/>
    </row>
    <row r="342" spans="3:3">
      <c r="C342" s="2"/>
    </row>
    <row r="343" spans="3:3">
      <c r="C343" s="2"/>
    </row>
    <row r="344" spans="3:3">
      <c r="C344" s="2"/>
    </row>
    <row r="345" spans="3:3">
      <c r="C345" s="2"/>
    </row>
    <row r="346" spans="3:3">
      <c r="C346" s="2"/>
    </row>
    <row r="347" spans="3:3">
      <c r="C347" s="2"/>
    </row>
    <row r="348" spans="3:3">
      <c r="C348" s="2"/>
    </row>
    <row r="349" spans="3:3">
      <c r="C349" s="2"/>
    </row>
    <row r="350" spans="3:3">
      <c r="C350" s="2"/>
    </row>
    <row r="351" spans="3:3">
      <c r="C351" s="2"/>
    </row>
    <row r="352" spans="3:3">
      <c r="C352" s="2"/>
    </row>
    <row r="353" spans="3:3">
      <c r="C353" s="2"/>
    </row>
    <row r="354" spans="3:3">
      <c r="C354" s="2"/>
    </row>
    <row r="355" spans="3:3">
      <c r="C355" s="2"/>
    </row>
    <row r="356" spans="3:3">
      <c r="C356" s="2"/>
    </row>
    <row r="357" spans="3:3">
      <c r="C357" s="2"/>
    </row>
    <row r="358" spans="3:3">
      <c r="C358" s="2"/>
    </row>
    <row r="359" spans="3:3">
      <c r="C359" s="2"/>
    </row>
    <row r="360" spans="3:3">
      <c r="C360" s="2"/>
    </row>
    <row r="361" spans="3:3">
      <c r="C361" s="2"/>
    </row>
    <row r="362" spans="3:3">
      <c r="C362" s="2"/>
    </row>
    <row r="363" spans="3:3">
      <c r="C363" s="2"/>
    </row>
    <row r="364" spans="3:3">
      <c r="C364" s="2"/>
    </row>
    <row r="365" spans="3:3">
      <c r="C365" s="2"/>
    </row>
    <row r="366" spans="3:3">
      <c r="C366" s="2"/>
    </row>
    <row r="367" spans="3:3">
      <c r="C367" s="2"/>
    </row>
    <row r="368" spans="3:3">
      <c r="C368" s="2"/>
    </row>
    <row r="369" spans="3:3">
      <c r="C369" s="2"/>
    </row>
    <row r="370" spans="3:3">
      <c r="C370" s="2"/>
    </row>
    <row r="371" spans="3:3">
      <c r="C371" s="2"/>
    </row>
    <row r="372" spans="3:3">
      <c r="C372" s="2"/>
    </row>
    <row r="373" spans="3:3">
      <c r="C373" s="2"/>
    </row>
    <row r="374" spans="3:3">
      <c r="C374" s="2"/>
    </row>
    <row r="375" spans="3:3">
      <c r="C375" s="2"/>
    </row>
    <row r="376" spans="3:3">
      <c r="C376" s="2"/>
    </row>
    <row r="377" spans="3:3">
      <c r="C377" s="2"/>
    </row>
    <row r="378" spans="3:3">
      <c r="C378" s="2"/>
    </row>
    <row r="379" spans="3:3">
      <c r="C379" s="2"/>
    </row>
    <row r="380" spans="3:3">
      <c r="C380" s="2"/>
    </row>
    <row r="381" spans="3:3">
      <c r="C381" s="2"/>
    </row>
    <row r="382" spans="3:3">
      <c r="C382" s="2"/>
    </row>
    <row r="383" spans="3:3">
      <c r="C383" s="2"/>
    </row>
    <row r="384" spans="3:3">
      <c r="C384" s="2"/>
    </row>
    <row r="385" spans="3:3">
      <c r="C385" s="2"/>
    </row>
    <row r="386" spans="3:3">
      <c r="C386" s="2"/>
    </row>
    <row r="387" spans="3:3">
      <c r="C387" s="2"/>
    </row>
    <row r="388" spans="3:3">
      <c r="C388" s="2"/>
    </row>
    <row r="389" spans="3:3">
      <c r="C389" s="2"/>
    </row>
    <row r="390" spans="3:3">
      <c r="C390" s="2"/>
    </row>
    <row r="391" spans="3:3">
      <c r="C391" s="2"/>
    </row>
    <row r="392" spans="3:3">
      <c r="C392" s="2"/>
    </row>
    <row r="393" spans="3:3">
      <c r="C393" s="2"/>
    </row>
    <row r="394" spans="3:3">
      <c r="C394" s="2"/>
    </row>
    <row r="395" spans="3:3">
      <c r="C395" s="2"/>
    </row>
    <row r="396" spans="3:3">
      <c r="C396" s="2"/>
    </row>
    <row r="397" spans="3:3">
      <c r="C397" s="2"/>
    </row>
    <row r="398" spans="3:3">
      <c r="C398" s="2"/>
    </row>
    <row r="399" spans="3:3">
      <c r="C399" s="2"/>
    </row>
    <row r="400" spans="3:3">
      <c r="C400" s="2"/>
    </row>
    <row r="401" spans="3:3">
      <c r="C401" s="2"/>
    </row>
    <row r="402" spans="3:3">
      <c r="C402" s="2"/>
    </row>
    <row r="403" spans="3:3">
      <c r="C403" s="2"/>
    </row>
    <row r="404" spans="3:3">
      <c r="C404" s="2"/>
    </row>
    <row r="405" spans="3:3">
      <c r="C405" s="2"/>
    </row>
    <row r="406" spans="3:3">
      <c r="C406" s="2"/>
    </row>
  </sheetData>
  <customSheetViews>
    <customSheetView guid="{78B3A349-4A6A-4124-974B-C4B81C7019CD}" scale="75" showRuler="0" topLeftCell="A31">
      <selection activeCell="H44" sqref="H44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1"/>
      <headerFooter alignWithMargins="0"/>
    </customSheetView>
    <customSheetView guid="{F48999E8-45B5-4A7E-B3AF-FA7A59AA8144}" scale="75" showRuler="0" topLeftCell="A31">
      <selection activeCell="H44" sqref="H44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2"/>
      <headerFooter alignWithMargins="0"/>
    </customSheetView>
  </customSheetViews>
  <phoneticPr fontId="0" type="noConversion"/>
  <hyperlinks>
    <hyperlink ref="O27" r:id="rId3"/>
    <hyperlink ref="O132" r:id="rId4"/>
    <hyperlink ref="O127" r:id="rId5"/>
    <hyperlink ref="O129" r:id="rId6"/>
  </hyperlinks>
  <printOptions horizontalCentered="1" verticalCentered="1" gridLines="1"/>
  <pageMargins left="0.55118110236220474" right="0.55118110236220474" top="0.47244094488188981" bottom="0.51181102362204722" header="0.51181102362204722" footer="0.51181102362204722"/>
  <pageSetup paperSize="9" scale="136" orientation="portrait" r:id="rId7"/>
  <headerFooter alignWithMargins="0"/>
  <rowBreaks count="1" manualBreakCount="1">
    <brk id="41" max="14" man="1"/>
  </rowBreaks>
  <colBreaks count="1" manualBreakCount="1">
    <brk id="6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indexed="10"/>
  </sheetPr>
  <dimension ref="A1:O500"/>
  <sheetViews>
    <sheetView zoomScale="75" zoomScaleNormal="75" workbookViewId="0">
      <selection activeCell="E17" sqref="E17"/>
    </sheetView>
  </sheetViews>
  <sheetFormatPr baseColWidth="10" defaultRowHeight="12.75"/>
  <cols>
    <col min="1" max="1" width="5.7109375" customWidth="1"/>
    <col min="2" max="2" width="27.5703125" customWidth="1"/>
    <col min="3" max="3" width="9.85546875" style="1" bestFit="1" customWidth="1"/>
    <col min="4" max="4" width="13" style="1" bestFit="1" customWidth="1"/>
    <col min="5" max="5" width="12" style="1" customWidth="1"/>
    <col min="6" max="6" width="11.7109375" style="1" customWidth="1"/>
    <col min="7" max="7" width="17.28515625" style="1" customWidth="1"/>
    <col min="8" max="8" width="67.42578125" customWidth="1"/>
    <col min="9" max="9" width="38.140625" customWidth="1"/>
    <col min="10" max="10" width="20" customWidth="1"/>
    <col min="11" max="11" width="29.140625" customWidth="1"/>
    <col min="12" max="12" width="12.42578125" customWidth="1"/>
    <col min="13" max="13" width="18.5703125" customWidth="1"/>
    <col min="14" max="14" width="14.7109375" customWidth="1"/>
    <col min="15" max="15" width="35.85546875" customWidth="1"/>
  </cols>
  <sheetData>
    <row r="1" spans="1:15" s="16" customFormat="1" ht="15">
      <c r="A1" s="16" t="s">
        <v>0</v>
      </c>
      <c r="B1" s="16" t="s">
        <v>27</v>
      </c>
      <c r="C1" s="17" t="s">
        <v>5</v>
      </c>
      <c r="D1" s="17" t="s">
        <v>6</v>
      </c>
      <c r="E1" s="17" t="s">
        <v>1</v>
      </c>
      <c r="F1" s="17" t="s">
        <v>7</v>
      </c>
      <c r="G1" s="17" t="s">
        <v>2</v>
      </c>
      <c r="H1" s="16" t="s">
        <v>19</v>
      </c>
      <c r="I1" s="16" t="s">
        <v>20</v>
      </c>
      <c r="J1" s="16" t="s">
        <v>21</v>
      </c>
      <c r="K1" s="16" t="s">
        <v>22</v>
      </c>
      <c r="L1" s="16" t="s">
        <v>23</v>
      </c>
      <c r="M1" s="16" t="s">
        <v>24</v>
      </c>
      <c r="N1" s="16" t="s">
        <v>25</v>
      </c>
      <c r="O1" s="16" t="s">
        <v>26</v>
      </c>
    </row>
    <row r="2" spans="1:15" s="16" customFormat="1" ht="15">
      <c r="C2" s="17" t="s">
        <v>3</v>
      </c>
      <c r="D2" s="17" t="s">
        <v>3</v>
      </c>
      <c r="E2" s="17" t="s">
        <v>4</v>
      </c>
      <c r="F2" s="17" t="s">
        <v>3</v>
      </c>
      <c r="G2" s="17"/>
    </row>
    <row r="3" spans="1:15">
      <c r="A3" s="1">
        <v>1</v>
      </c>
      <c r="B3" t="str">
        <f>Start_Daten!B3</f>
        <v>0910</v>
      </c>
      <c r="C3" s="2">
        <f>Start_Daten!C3</f>
        <v>8.1</v>
      </c>
      <c r="E3" s="3">
        <f>IF(C3&gt;0,D3/C3,"")</f>
        <v>0</v>
      </c>
      <c r="F3" s="1">
        <f>Start_Daten!F3</f>
        <v>1</v>
      </c>
      <c r="G3" s="1">
        <f>Start_Daten!G3</f>
        <v>0</v>
      </c>
      <c r="H3" t="str">
        <f>Start_Daten!H3</f>
        <v>Farah Skiba</v>
      </c>
      <c r="I3" t="str">
        <f>Start_Daten!I3</f>
        <v>Ernst-Abbe-Gymnasium</v>
      </c>
      <c r="J3">
        <f>Start_Daten!J3</f>
        <v>0</v>
      </c>
      <c r="K3" t="str">
        <f>Start_Daten!K3</f>
        <v>Hölderlinweg 1</v>
      </c>
      <c r="L3">
        <f>Start_Daten!L3</f>
        <v>73447</v>
      </c>
      <c r="M3" t="str">
        <f>Start_Daten!M3</f>
        <v>Oberkochen</v>
      </c>
      <c r="N3">
        <f>Start_Daten!N3</f>
        <v>0</v>
      </c>
      <c r="O3" s="4">
        <f>Start_Daten!O3</f>
        <v>0</v>
      </c>
    </row>
    <row r="4" spans="1:15">
      <c r="A4" s="1">
        <v>2</v>
      </c>
      <c r="B4" t="str">
        <f>Start_Daten!B4</f>
        <v>1108</v>
      </c>
      <c r="C4" s="2">
        <f>Start_Daten!C4</f>
        <v>8.5</v>
      </c>
      <c r="E4" s="3">
        <f t="shared" ref="E4:E67" si="0">IF(C4&gt;0,D4/C4,"")</f>
        <v>0</v>
      </c>
      <c r="F4" s="1">
        <f>Start_Daten!F4</f>
        <v>1</v>
      </c>
      <c r="G4" s="1">
        <f>Start_Daten!G4</f>
        <v>0</v>
      </c>
      <c r="H4" t="str">
        <f>Start_Daten!H4</f>
        <v>Marius Müller</v>
      </c>
      <c r="I4" t="str">
        <f>Start_Daten!I4</f>
        <v>Ernst-Abbe-Gymnasium</v>
      </c>
      <c r="J4">
        <f>Start_Daten!J4</f>
        <v>0</v>
      </c>
      <c r="K4" t="str">
        <f>Start_Daten!K4</f>
        <v>Hölderlinweg 1</v>
      </c>
      <c r="L4">
        <f>Start_Daten!L4</f>
        <v>73447</v>
      </c>
      <c r="M4" t="str">
        <f>Start_Daten!M4</f>
        <v>Oberkochen</v>
      </c>
      <c r="N4">
        <f>Start_Daten!N4</f>
        <v>0</v>
      </c>
      <c r="O4" s="4">
        <f>Start_Daten!O4</f>
        <v>0</v>
      </c>
    </row>
    <row r="5" spans="1:15">
      <c r="A5" s="1">
        <v>3</v>
      </c>
      <c r="B5" t="str">
        <f>Start_Daten!B5</f>
        <v>22</v>
      </c>
      <c r="C5" s="2">
        <f>Start_Daten!C5</f>
        <v>8.8000000000000007</v>
      </c>
      <c r="E5" s="3">
        <f t="shared" si="0"/>
        <v>0</v>
      </c>
      <c r="F5" s="1">
        <f>Start_Daten!F5</f>
        <v>1</v>
      </c>
      <c r="G5" s="1">
        <f>Start_Daten!G5</f>
        <v>0</v>
      </c>
      <c r="H5" t="str">
        <f>Start_Daten!H5</f>
        <v>Ramona Müller</v>
      </c>
      <c r="I5" t="str">
        <f>Start_Daten!I5</f>
        <v>Ernst-Abbe-Gymnasium</v>
      </c>
      <c r="J5">
        <f>Start_Daten!J5</f>
        <v>0</v>
      </c>
      <c r="K5" t="str">
        <f>Start_Daten!K5</f>
        <v>Hölderlinweg 1</v>
      </c>
      <c r="L5">
        <f>Start_Daten!L5</f>
        <v>73447</v>
      </c>
      <c r="M5" t="str">
        <f>Start_Daten!M5</f>
        <v>Oberkochen</v>
      </c>
      <c r="N5">
        <f>Start_Daten!N5</f>
        <v>0</v>
      </c>
      <c r="O5" s="4">
        <f>Start_Daten!O5</f>
        <v>0</v>
      </c>
    </row>
    <row r="6" spans="1:15">
      <c r="A6" s="1">
        <v>4</v>
      </c>
      <c r="B6" t="str">
        <f>Start_Daten!B6</f>
        <v>253</v>
      </c>
      <c r="C6" s="2">
        <f>Start_Daten!C6</f>
        <v>8.5</v>
      </c>
      <c r="E6" s="3">
        <f t="shared" si="0"/>
        <v>0</v>
      </c>
      <c r="F6" s="1">
        <f>Start_Daten!F6</f>
        <v>1</v>
      </c>
      <c r="G6" s="1">
        <f>Start_Daten!G6</f>
        <v>0</v>
      </c>
      <c r="H6" t="str">
        <f>Start_Daten!H6</f>
        <v>Alina Meisel</v>
      </c>
      <c r="I6" t="str">
        <f>Start_Daten!I6</f>
        <v>Ernst-Abbe-Gymnasium</v>
      </c>
      <c r="J6">
        <f>Start_Daten!J6</f>
        <v>0</v>
      </c>
      <c r="K6" t="str">
        <f>Start_Daten!K6</f>
        <v>Hölderlinweg 1</v>
      </c>
      <c r="L6">
        <f>Start_Daten!L6</f>
        <v>73447</v>
      </c>
      <c r="M6" t="str">
        <f>Start_Daten!M6</f>
        <v>Oberkochen</v>
      </c>
      <c r="N6">
        <f>Start_Daten!N6</f>
        <v>0</v>
      </c>
      <c r="O6" s="4">
        <f>Start_Daten!O6</f>
        <v>0</v>
      </c>
    </row>
    <row r="7" spans="1:15">
      <c r="A7" s="1">
        <v>5</v>
      </c>
      <c r="B7" t="str">
        <f>Start_Daten!B7</f>
        <v>Ahoi</v>
      </c>
      <c r="C7" s="2">
        <f>Start_Daten!C7</f>
        <v>9</v>
      </c>
      <c r="E7" s="3">
        <f t="shared" si="0"/>
        <v>0</v>
      </c>
      <c r="F7" s="1">
        <f>Start_Daten!F7</f>
        <v>1</v>
      </c>
      <c r="G7" s="1">
        <f>Start_Daten!G7</f>
        <v>0</v>
      </c>
      <c r="H7" t="str">
        <f>Start_Daten!H7</f>
        <v>Christian Fritz</v>
      </c>
      <c r="I7" t="str">
        <f>Start_Daten!I7</f>
        <v>Ernst-Abbe-Gymnasium</v>
      </c>
      <c r="J7">
        <f>Start_Daten!J7</f>
        <v>0</v>
      </c>
      <c r="K7" t="str">
        <f>Start_Daten!K7</f>
        <v>Hölderlinweg 1</v>
      </c>
      <c r="L7">
        <f>Start_Daten!L7</f>
        <v>73447</v>
      </c>
      <c r="M7" t="str">
        <f>Start_Daten!M7</f>
        <v>Oberkochen</v>
      </c>
      <c r="N7">
        <f>Start_Daten!N7</f>
        <v>0</v>
      </c>
      <c r="O7" s="4">
        <f>Start_Daten!O7</f>
        <v>0</v>
      </c>
    </row>
    <row r="8" spans="1:15">
      <c r="A8" s="1">
        <v>6</v>
      </c>
      <c r="B8" t="str">
        <f>Start_Daten!B8</f>
        <v>AIDA Hannes</v>
      </c>
      <c r="C8" s="2">
        <f>Start_Daten!C8</f>
        <v>9.4</v>
      </c>
      <c r="E8" s="3">
        <f t="shared" si="0"/>
        <v>0</v>
      </c>
      <c r="F8" s="1">
        <f>Start_Daten!F8</f>
        <v>1</v>
      </c>
      <c r="G8" s="1">
        <f>Start_Daten!G8</f>
        <v>0</v>
      </c>
      <c r="H8" t="str">
        <f>Start_Daten!H8</f>
        <v>Hannes Lübke</v>
      </c>
      <c r="I8" t="str">
        <f>Start_Daten!I8</f>
        <v>Wossidlo-Gymnasium</v>
      </c>
      <c r="J8">
        <f>Start_Daten!J8</f>
        <v>0</v>
      </c>
      <c r="K8">
        <f>Start_Daten!K8</f>
        <v>0</v>
      </c>
      <c r="L8">
        <f>Start_Daten!L8</f>
        <v>0</v>
      </c>
      <c r="M8" t="str">
        <f>Start_Daten!M8</f>
        <v>Waren</v>
      </c>
      <c r="N8">
        <f>Start_Daten!N8</f>
        <v>0</v>
      </c>
      <c r="O8" s="4">
        <f>Start_Daten!O8</f>
        <v>0</v>
      </c>
    </row>
    <row r="9" spans="1:15">
      <c r="A9" s="1">
        <v>7</v>
      </c>
      <c r="B9" t="str">
        <f>Start_Daten!B9</f>
        <v>Allegro</v>
      </c>
      <c r="C9" s="2">
        <f>Start_Daten!C9</f>
        <v>9.4</v>
      </c>
      <c r="E9" s="3">
        <f t="shared" si="0"/>
        <v>0</v>
      </c>
      <c r="F9" s="1">
        <f>Start_Daten!F9</f>
        <v>1</v>
      </c>
      <c r="G9" s="1">
        <f>Start_Daten!G9</f>
        <v>0</v>
      </c>
      <c r="H9" t="str">
        <f>Start_Daten!H9</f>
        <v>Björn Ehlbeck
Hannes Kröchert
Pascal Odebrecht</v>
      </c>
      <c r="I9" t="str">
        <f>Start_Daten!I9</f>
        <v>Schloßgymnasium Gützkow</v>
      </c>
      <c r="J9">
        <f>Start_Daten!J9</f>
        <v>0</v>
      </c>
      <c r="K9" t="str">
        <f>Start_Daten!K9</f>
        <v>Baron-von-Lepel-Platz 2</v>
      </c>
      <c r="L9">
        <f>Start_Daten!L9</f>
        <v>17506</v>
      </c>
      <c r="M9" t="str">
        <f>Start_Daten!M9</f>
        <v>Gützkow</v>
      </c>
      <c r="N9">
        <f>Start_Daten!N9</f>
        <v>0</v>
      </c>
      <c r="O9" s="4">
        <f>Start_Daten!O9</f>
        <v>0</v>
      </c>
    </row>
    <row r="10" spans="1:15">
      <c r="A10" s="1">
        <v>8</v>
      </c>
      <c r="B10" t="str">
        <f>Start_Daten!B10</f>
        <v>Avalon</v>
      </c>
      <c r="C10" s="2">
        <f>Start_Daten!C10</f>
        <v>12</v>
      </c>
      <c r="E10" s="3">
        <f t="shared" si="0"/>
        <v>0</v>
      </c>
      <c r="F10" s="1">
        <f>Start_Daten!F10</f>
        <v>1</v>
      </c>
      <c r="G10" s="1">
        <f>Start_Daten!G10</f>
        <v>0</v>
      </c>
      <c r="H10" t="str">
        <f>Start_Daten!H10</f>
        <v>Milad Ghulham Rasol
Tom Bösing
Ahmed Younes</v>
      </c>
      <c r="I10" t="str">
        <f>Start_Daten!I10</f>
        <v>Pascal Gymnasium Münster</v>
      </c>
      <c r="J10">
        <f>Start_Daten!J10</f>
        <v>0</v>
      </c>
      <c r="K10" t="str">
        <f>Start_Daten!K10</f>
        <v>Uppenkampstiege 17</v>
      </c>
      <c r="L10">
        <f>Start_Daten!L10</f>
        <v>48147</v>
      </c>
      <c r="M10" t="str">
        <f>Start_Daten!M10</f>
        <v>Münster</v>
      </c>
      <c r="N10">
        <f>Start_Daten!N10</f>
        <v>0</v>
      </c>
      <c r="O10" s="4">
        <f>Start_Daten!O10</f>
        <v>0</v>
      </c>
    </row>
    <row r="11" spans="1:15">
      <c r="A11" s="1">
        <v>9</v>
      </c>
      <c r="B11" t="str">
        <f>Start_Daten!B11</f>
        <v>Backpapier</v>
      </c>
      <c r="C11" s="2">
        <f>Start_Daten!C11</f>
        <v>9.3000000000000007</v>
      </c>
      <c r="E11" s="3">
        <f t="shared" si="0"/>
        <v>0</v>
      </c>
      <c r="F11" s="1">
        <f>Start_Daten!F11</f>
        <v>1</v>
      </c>
      <c r="G11" s="1">
        <f>Start_Daten!G11</f>
        <v>0</v>
      </c>
      <c r="H11" t="str">
        <f>Start_Daten!H11</f>
        <v>unbekannt</v>
      </c>
      <c r="I11" t="str">
        <f>Start_Daten!I11</f>
        <v>Ernst-Abbe-Gymnasium</v>
      </c>
      <c r="J11">
        <f>Start_Daten!J11</f>
        <v>0</v>
      </c>
      <c r="K11" t="str">
        <f>Start_Daten!K11</f>
        <v>Hölderlinweg 1</v>
      </c>
      <c r="L11">
        <f>Start_Daten!L11</f>
        <v>73447</v>
      </c>
      <c r="M11" t="str">
        <f>Start_Daten!M11</f>
        <v>Oberkochen</v>
      </c>
      <c r="N11">
        <f>Start_Daten!N11</f>
        <v>0</v>
      </c>
      <c r="O11" s="4">
        <f>Start_Daten!O11</f>
        <v>0</v>
      </c>
    </row>
    <row r="12" spans="1:15">
      <c r="A12" s="1">
        <v>10</v>
      </c>
      <c r="B12" t="str">
        <f>Start_Daten!B12</f>
        <v>Black Beauty</v>
      </c>
      <c r="C12" s="2">
        <f>Start_Daten!C12</f>
        <v>10</v>
      </c>
      <c r="E12" s="3">
        <f t="shared" si="0"/>
        <v>0</v>
      </c>
      <c r="F12" s="1">
        <f>Start_Daten!F12</f>
        <v>1</v>
      </c>
      <c r="G12" s="1" t="str">
        <f>Start_Daten!G12</f>
        <v>x</v>
      </c>
      <c r="H12" t="str">
        <f>Start_Daten!H12</f>
        <v>Ingrid Bierkamp-Nienkarken</v>
      </c>
      <c r="I12">
        <f>Start_Daten!I12</f>
        <v>0</v>
      </c>
      <c r="J12">
        <f>Start_Daten!J12</f>
        <v>0</v>
      </c>
      <c r="K12" t="str">
        <f>Start_Daten!K12</f>
        <v>Poststr. 34</v>
      </c>
      <c r="L12">
        <f>Start_Daten!L12</f>
        <v>21682</v>
      </c>
      <c r="M12" t="str">
        <f>Start_Daten!M12</f>
        <v>Stade</v>
      </c>
      <c r="N12" t="str">
        <f>Start_Daten!N12</f>
        <v>04141\47196</v>
      </c>
      <c r="O12" s="4">
        <f>Start_Daten!O12</f>
        <v>0</v>
      </c>
    </row>
    <row r="13" spans="1:15">
      <c r="A13" s="1">
        <v>11</v>
      </c>
      <c r="B13" t="str">
        <f>Start_Daten!B13</f>
        <v>Black Pearl II</v>
      </c>
      <c r="C13" s="2">
        <f>Start_Daten!C13</f>
        <v>9.6</v>
      </c>
      <c r="E13" s="3">
        <f t="shared" si="0"/>
        <v>0</v>
      </c>
      <c r="F13" s="1">
        <f>Start_Daten!F13</f>
        <v>1</v>
      </c>
      <c r="G13" s="1">
        <f>Start_Daten!G13</f>
        <v>0</v>
      </c>
      <c r="H13" t="str">
        <f>Start_Daten!H13</f>
        <v>Annabell Ritzkowski
Anna Krüger</v>
      </c>
      <c r="I13" t="str">
        <f>Start_Daten!I13</f>
        <v>Schloßgymnasium Gützkow</v>
      </c>
      <c r="J13">
        <f>Start_Daten!J13</f>
        <v>0</v>
      </c>
      <c r="K13" t="str">
        <f>Start_Daten!K13</f>
        <v>Baron-von-Lepel-Platz 2</v>
      </c>
      <c r="L13">
        <f>Start_Daten!L13</f>
        <v>17506</v>
      </c>
      <c r="M13" t="str">
        <f>Start_Daten!M13</f>
        <v>Gützkow</v>
      </c>
      <c r="N13">
        <f>Start_Daten!N13</f>
        <v>0</v>
      </c>
      <c r="O13" s="4">
        <f>Start_Daten!O13</f>
        <v>0</v>
      </c>
    </row>
    <row r="14" spans="1:15">
      <c r="A14" s="1">
        <v>12</v>
      </c>
      <c r="B14" t="str">
        <f>Start_Daten!B14</f>
        <v>Blue Latern</v>
      </c>
      <c r="C14" s="2">
        <f>Start_Daten!C14</f>
        <v>8.5</v>
      </c>
      <c r="E14" s="3">
        <f t="shared" si="0"/>
        <v>0</v>
      </c>
      <c r="F14" s="1">
        <f>Start_Daten!F14</f>
        <v>1</v>
      </c>
      <c r="G14" s="1">
        <f>Start_Daten!G14</f>
        <v>0</v>
      </c>
      <c r="H14" t="str">
        <f>Start_Daten!H14</f>
        <v>Henrik Kubitza</v>
      </c>
      <c r="I14" t="str">
        <f>Start_Daten!I14</f>
        <v>Ernst-Abbe-Gymnasium</v>
      </c>
      <c r="J14">
        <f>Start_Daten!J14</f>
        <v>0</v>
      </c>
      <c r="K14" t="str">
        <f>Start_Daten!K14</f>
        <v>Hölderlinweg 1</v>
      </c>
      <c r="L14">
        <f>Start_Daten!L14</f>
        <v>73447</v>
      </c>
      <c r="M14" t="str">
        <f>Start_Daten!M14</f>
        <v>Oberkochen</v>
      </c>
      <c r="N14">
        <f>Start_Daten!N14</f>
        <v>0</v>
      </c>
      <c r="O14" s="4">
        <f>Start_Daten!O14</f>
        <v>0</v>
      </c>
    </row>
    <row r="15" spans="1:15">
      <c r="A15" s="1">
        <v>13</v>
      </c>
      <c r="B15" t="str">
        <f>Start_Daten!B15</f>
        <v>Boot 1</v>
      </c>
      <c r="C15" s="2">
        <f>Start_Daten!C15</f>
        <v>10.1</v>
      </c>
      <c r="E15" s="3">
        <f t="shared" si="0"/>
        <v>0</v>
      </c>
      <c r="F15" s="1">
        <f>Start_Daten!F15</f>
        <v>1</v>
      </c>
      <c r="G15" s="1">
        <f>Start_Daten!G15</f>
        <v>0</v>
      </c>
      <c r="H15" t="str">
        <f>Start_Daten!H15</f>
        <v>Til Salewski
Vincent Niemann
Marvin Wodrich</v>
      </c>
      <c r="I15" t="str">
        <f>Start_Daten!I15</f>
        <v>Schloßgymnasium Gützkow</v>
      </c>
      <c r="J15">
        <f>Start_Daten!J15</f>
        <v>0</v>
      </c>
      <c r="K15" t="str">
        <f>Start_Daten!K15</f>
        <v>Baron-von-Lepel-Platz 2</v>
      </c>
      <c r="L15">
        <f>Start_Daten!L15</f>
        <v>17506</v>
      </c>
      <c r="M15" t="str">
        <f>Start_Daten!M15</f>
        <v>Gützkow</v>
      </c>
      <c r="N15">
        <f>Start_Daten!N15</f>
        <v>0</v>
      </c>
      <c r="O15" s="4">
        <f>Start_Daten!O15</f>
        <v>0</v>
      </c>
    </row>
    <row r="16" spans="1:15">
      <c r="A16" s="1">
        <v>14</v>
      </c>
      <c r="B16" t="str">
        <f>Start_Daten!B16</f>
        <v>Daniel</v>
      </c>
      <c r="C16" s="2">
        <f>Start_Daten!C16</f>
        <v>9.1</v>
      </c>
      <c r="E16" s="3">
        <f t="shared" si="0"/>
        <v>0</v>
      </c>
      <c r="F16" s="1">
        <f>Start_Daten!F16</f>
        <v>1</v>
      </c>
      <c r="G16" s="1">
        <f>Start_Daten!G16</f>
        <v>0</v>
      </c>
      <c r="H16" t="str">
        <f>Start_Daten!H16</f>
        <v>Simon Gmehling
Enrico Drave</v>
      </c>
      <c r="I16" t="str">
        <f>Start_Daten!I16</f>
        <v>Gymnasium Lüneburger Heide</v>
      </c>
      <c r="J16">
        <f>Start_Daten!J16</f>
        <v>0</v>
      </c>
      <c r="K16" t="str">
        <f>Start_Daten!K16</f>
        <v>Schützenstraße 3</v>
      </c>
      <c r="L16">
        <f>Start_Daten!L16</f>
        <v>21406</v>
      </c>
      <c r="M16" t="str">
        <f>Start_Daten!M16</f>
        <v>Melbeck</v>
      </c>
      <c r="N16">
        <f>Start_Daten!N16</f>
        <v>0</v>
      </c>
      <c r="O16" s="4">
        <f>Start_Daten!O16</f>
        <v>0</v>
      </c>
    </row>
    <row r="17" spans="1:15">
      <c r="A17" s="1">
        <v>15</v>
      </c>
      <c r="B17" t="str">
        <f>Start_Daten!B17</f>
        <v>Der Boot</v>
      </c>
      <c r="C17" s="2">
        <f>Start_Daten!C17</f>
        <v>6.5</v>
      </c>
      <c r="E17" s="3">
        <f t="shared" si="0"/>
        <v>0</v>
      </c>
      <c r="F17" s="1">
        <f>Start_Daten!F17</f>
        <v>1</v>
      </c>
      <c r="G17" s="1">
        <f>Start_Daten!G17</f>
        <v>0</v>
      </c>
      <c r="H17" t="str">
        <f>Start_Daten!H17</f>
        <v>Benian Balci</v>
      </c>
      <c r="I17" t="str">
        <f>Start_Daten!I17</f>
        <v>Ernst-Abbe-Gymnasium</v>
      </c>
      <c r="J17">
        <f>Start_Daten!J17</f>
        <v>0</v>
      </c>
      <c r="K17" t="str">
        <f>Start_Daten!K17</f>
        <v>Hölderlinweg 1</v>
      </c>
      <c r="L17">
        <f>Start_Daten!L17</f>
        <v>73447</v>
      </c>
      <c r="M17" t="str">
        <f>Start_Daten!M17</f>
        <v>Oberkochen</v>
      </c>
      <c r="N17">
        <f>Start_Daten!N17</f>
        <v>0</v>
      </c>
      <c r="O17" s="4">
        <f>Start_Daten!O17</f>
        <v>0</v>
      </c>
    </row>
    <row r="18" spans="1:15">
      <c r="A18" s="1">
        <v>16</v>
      </c>
      <c r="B18" t="str">
        <f>Start_Daten!B18</f>
        <v>Die rote Rose</v>
      </c>
      <c r="C18" s="2">
        <f>Start_Daten!C18</f>
        <v>9.5</v>
      </c>
      <c r="E18" s="3">
        <f t="shared" si="0"/>
        <v>0</v>
      </c>
      <c r="F18" s="1">
        <f>Start_Daten!F18</f>
        <v>1</v>
      </c>
      <c r="G18" s="1">
        <f>Start_Daten!G18</f>
        <v>0</v>
      </c>
      <c r="H18" t="str">
        <f>Start_Daten!H18</f>
        <v>Hannah Reichelt</v>
      </c>
      <c r="I18">
        <f>Start_Daten!I18</f>
        <v>0</v>
      </c>
      <c r="J18">
        <f>Start_Daten!J18</f>
        <v>0</v>
      </c>
      <c r="K18" t="str">
        <f>Start_Daten!K18</f>
        <v>Schoolkoppel 5</v>
      </c>
      <c r="L18">
        <f>Start_Daten!L18</f>
        <v>21449</v>
      </c>
      <c r="M18" t="str">
        <f>Start_Daten!M18</f>
        <v>Radbruch</v>
      </c>
      <c r="N18">
        <f>Start_Daten!N18</f>
        <v>0</v>
      </c>
      <c r="O18" s="4">
        <f>Start_Daten!O18</f>
        <v>0</v>
      </c>
    </row>
    <row r="19" spans="1:15">
      <c r="A19" s="1">
        <v>17</v>
      </c>
      <c r="B19" t="str">
        <f>Start_Daten!B19</f>
        <v>Exxon Valdez</v>
      </c>
      <c r="C19" s="2">
        <f>Start_Daten!C19</f>
        <v>4.5</v>
      </c>
      <c r="E19" s="3">
        <f t="shared" si="0"/>
        <v>0</v>
      </c>
      <c r="F19" s="1">
        <f>Start_Daten!F19</f>
        <v>1</v>
      </c>
      <c r="G19" s="1">
        <f>Start_Daten!G19</f>
        <v>0</v>
      </c>
      <c r="H19" t="str">
        <f>Start_Daten!H19</f>
        <v>Ann Sophie Pruchner</v>
      </c>
      <c r="I19" t="str">
        <f>Start_Daten!I19</f>
        <v>Ernst-Abbe-Gymnasium</v>
      </c>
      <c r="J19">
        <f>Start_Daten!J19</f>
        <v>0</v>
      </c>
      <c r="K19" t="str">
        <f>Start_Daten!K19</f>
        <v>Hölderlinweg 1</v>
      </c>
      <c r="L19">
        <f>Start_Daten!L19</f>
        <v>73447</v>
      </c>
      <c r="M19" t="str">
        <f>Start_Daten!M19</f>
        <v>Oberkochen</v>
      </c>
      <c r="N19">
        <f>Start_Daten!N19</f>
        <v>0</v>
      </c>
      <c r="O19" s="4">
        <f>Start_Daten!O19</f>
        <v>0</v>
      </c>
    </row>
    <row r="20" spans="1:15">
      <c r="A20" s="1">
        <v>18</v>
      </c>
      <c r="B20" t="str">
        <f>Start_Daten!B20</f>
        <v>Fritzinchen</v>
      </c>
      <c r="C20" s="2">
        <f>Start_Daten!C20</f>
        <v>7.8</v>
      </c>
      <c r="E20" s="3">
        <f t="shared" si="0"/>
        <v>0</v>
      </c>
      <c r="F20" s="1">
        <f>Start_Daten!F20</f>
        <v>1</v>
      </c>
      <c r="G20" s="1">
        <f>Start_Daten!G20</f>
        <v>0</v>
      </c>
      <c r="H20" t="str">
        <f>Start_Daten!H20</f>
        <v>Sina-Maria Hofmann</v>
      </c>
      <c r="I20" t="str">
        <f>Start_Daten!I20</f>
        <v>Ernst-Abbe-Gymnasium</v>
      </c>
      <c r="J20">
        <f>Start_Daten!J20</f>
        <v>0</v>
      </c>
      <c r="K20" t="str">
        <f>Start_Daten!K20</f>
        <v>Hölderlinweg 1</v>
      </c>
      <c r="L20">
        <f>Start_Daten!L20</f>
        <v>73447</v>
      </c>
      <c r="M20" t="str">
        <f>Start_Daten!M20</f>
        <v>Oberkochen</v>
      </c>
      <c r="N20">
        <f>Start_Daten!N20</f>
        <v>0</v>
      </c>
      <c r="O20" s="4">
        <f>Start_Daten!O20</f>
        <v>0</v>
      </c>
    </row>
    <row r="21" spans="1:15">
      <c r="A21" s="1">
        <v>19</v>
      </c>
      <c r="B21" t="str">
        <f>Start_Daten!B21</f>
        <v>HCO</v>
      </c>
      <c r="C21" s="2">
        <f>Start_Daten!C21</f>
        <v>9.9</v>
      </c>
      <c r="E21" s="3">
        <f t="shared" si="0"/>
        <v>0</v>
      </c>
      <c r="F21" s="1">
        <f>Start_Daten!F21</f>
        <v>1</v>
      </c>
      <c r="G21" s="1">
        <f>Start_Daten!G21</f>
        <v>0</v>
      </c>
      <c r="H21" t="str">
        <f>Start_Daten!H21</f>
        <v>Janis Walther
Bastian Brand</v>
      </c>
      <c r="I21" t="str">
        <f>Start_Daten!I21</f>
        <v>Gymnasium Lüneburger Heide</v>
      </c>
      <c r="J21">
        <f>Start_Daten!J21</f>
        <v>0</v>
      </c>
      <c r="K21" t="str">
        <f>Start_Daten!K21</f>
        <v>Schützenstraße 3</v>
      </c>
      <c r="L21">
        <f>Start_Daten!L21</f>
        <v>21406</v>
      </c>
      <c r="M21" t="str">
        <f>Start_Daten!M21</f>
        <v>Melbeck</v>
      </c>
      <c r="N21">
        <f>Start_Daten!N21</f>
        <v>0</v>
      </c>
      <c r="O21" s="4">
        <f>Start_Daten!O21</f>
        <v>0</v>
      </c>
    </row>
    <row r="22" spans="1:15">
      <c r="A22" s="1">
        <v>20</v>
      </c>
      <c r="B22" t="str">
        <f>Start_Daten!B22</f>
        <v>Herzchen</v>
      </c>
      <c r="C22" s="2">
        <f>Start_Daten!C22</f>
        <v>6.9</v>
      </c>
      <c r="E22" s="3">
        <f t="shared" si="0"/>
        <v>0</v>
      </c>
      <c r="F22" s="1">
        <f>Start_Daten!F22</f>
        <v>1</v>
      </c>
      <c r="G22" s="1">
        <f>Start_Daten!G22</f>
        <v>0</v>
      </c>
      <c r="H22" t="str">
        <f>Start_Daten!H22</f>
        <v>Melanie Koch</v>
      </c>
      <c r="I22" t="str">
        <f>Start_Daten!I22</f>
        <v>Schloßgymnasium Gützkow</v>
      </c>
      <c r="J22">
        <f>Start_Daten!J22</f>
        <v>0</v>
      </c>
      <c r="K22" t="str">
        <f>Start_Daten!K22</f>
        <v>Baron-von-Lepel-Platz 2</v>
      </c>
      <c r="L22">
        <f>Start_Daten!L22</f>
        <v>17506</v>
      </c>
      <c r="M22" t="str">
        <f>Start_Daten!M22</f>
        <v>Gützkow</v>
      </c>
      <c r="N22">
        <f>Start_Daten!N22</f>
        <v>0</v>
      </c>
      <c r="O22" s="4">
        <f>Start_Daten!O22</f>
        <v>0</v>
      </c>
    </row>
    <row r="23" spans="1:15">
      <c r="A23" s="1">
        <v>21</v>
      </c>
      <c r="B23" t="str">
        <f>Start_Daten!B23</f>
        <v>HMS Unsinkbar</v>
      </c>
      <c r="C23" s="2">
        <f>Start_Daten!C23</f>
        <v>8.1999999999999993</v>
      </c>
      <c r="E23" s="3">
        <f t="shared" si="0"/>
        <v>0</v>
      </c>
      <c r="F23" s="1">
        <f>Start_Daten!F23</f>
        <v>1</v>
      </c>
      <c r="G23" s="1">
        <f>Start_Daten!G23</f>
        <v>0</v>
      </c>
      <c r="H23" t="str">
        <f>Start_Daten!H23</f>
        <v>Fabian Burghart</v>
      </c>
      <c r="I23" t="str">
        <f>Start_Daten!I23</f>
        <v>Ernst-Abbe-Gymnasium</v>
      </c>
      <c r="J23">
        <f>Start_Daten!J23</f>
        <v>0</v>
      </c>
      <c r="K23" t="str">
        <f>Start_Daten!K23</f>
        <v>Hölderlinweg 1</v>
      </c>
      <c r="L23">
        <f>Start_Daten!L23</f>
        <v>73447</v>
      </c>
      <c r="M23" t="str">
        <f>Start_Daten!M23</f>
        <v>Oberkochen</v>
      </c>
      <c r="N23">
        <f>Start_Daten!N23</f>
        <v>0</v>
      </c>
      <c r="O23" s="4">
        <f>Start_Daten!O23</f>
        <v>0</v>
      </c>
    </row>
    <row r="24" spans="1:15">
      <c r="A24" s="1">
        <v>22</v>
      </c>
      <c r="B24" t="str">
        <f>Start_Daten!B24</f>
        <v>Hummelchen</v>
      </c>
      <c r="C24" s="2">
        <f>Start_Daten!C24</f>
        <v>5.3</v>
      </c>
      <c r="E24" s="3">
        <f t="shared" si="0"/>
        <v>0</v>
      </c>
      <c r="F24" s="1">
        <f>Start_Daten!F24</f>
        <v>1</v>
      </c>
      <c r="G24" s="1">
        <f>Start_Daten!G24</f>
        <v>0</v>
      </c>
      <c r="H24" t="str">
        <f>Start_Daten!H24</f>
        <v>Nina Weinitschke</v>
      </c>
      <c r="I24" t="str">
        <f>Start_Daten!I24</f>
        <v>Schloßgymnasium Gützkow</v>
      </c>
      <c r="J24">
        <f>Start_Daten!J24</f>
        <v>0</v>
      </c>
      <c r="K24" t="str">
        <f>Start_Daten!K24</f>
        <v>Baron-von-Lepel-Platz 2</v>
      </c>
      <c r="L24">
        <f>Start_Daten!L24</f>
        <v>17506</v>
      </c>
      <c r="M24" t="str">
        <f>Start_Daten!M24</f>
        <v>Gützkow</v>
      </c>
      <c r="N24">
        <f>Start_Daten!N24</f>
        <v>0</v>
      </c>
      <c r="O24" s="4">
        <f>Start_Daten!O24</f>
        <v>0</v>
      </c>
    </row>
    <row r="25" spans="1:15">
      <c r="A25" s="1">
        <v>23</v>
      </c>
      <c r="B25" t="str">
        <f>Start_Daten!B25</f>
        <v>Jolo</v>
      </c>
      <c r="C25" s="2">
        <f>Start_Daten!C25</f>
        <v>9.4</v>
      </c>
      <c r="E25" s="3">
        <f t="shared" si="0"/>
        <v>0</v>
      </c>
      <c r="F25" s="1">
        <f>Start_Daten!F25</f>
        <v>1</v>
      </c>
      <c r="G25" s="1">
        <f>Start_Daten!G25</f>
        <v>0</v>
      </c>
      <c r="H25" t="str">
        <f>Start_Daten!H25</f>
        <v>Lukas Hannebohm
Jasper Morgenstern</v>
      </c>
      <c r="I25" t="str">
        <f>Start_Daten!I25</f>
        <v>Gymnasium Lüneburger Heide</v>
      </c>
      <c r="J25">
        <f>Start_Daten!J25</f>
        <v>0</v>
      </c>
      <c r="K25" t="str">
        <f>Start_Daten!K25</f>
        <v>Schützenstraße 3</v>
      </c>
      <c r="L25">
        <f>Start_Daten!L25</f>
        <v>21406</v>
      </c>
      <c r="M25" t="str">
        <f>Start_Daten!M25</f>
        <v>Melbeck</v>
      </c>
      <c r="N25">
        <f>Start_Daten!N25</f>
        <v>0</v>
      </c>
      <c r="O25" s="4">
        <f>Start_Daten!O25</f>
        <v>0</v>
      </c>
    </row>
    <row r="26" spans="1:15">
      <c r="A26" s="1">
        <v>24</v>
      </c>
      <c r="B26" t="str">
        <f>Start_Daten!B26</f>
        <v>L&amp;L</v>
      </c>
      <c r="C26" s="2">
        <f>Start_Daten!C26</f>
        <v>8.9</v>
      </c>
      <c r="E26" s="3">
        <f t="shared" si="0"/>
        <v>0</v>
      </c>
      <c r="F26" s="1">
        <f>Start_Daten!F26</f>
        <v>1</v>
      </c>
      <c r="G26" s="1">
        <f>Start_Daten!G26</f>
        <v>0</v>
      </c>
      <c r="H26" t="str">
        <f>Start_Daten!H26</f>
        <v>Lukas Kollmer
Luca Theile</v>
      </c>
      <c r="I26" t="str">
        <f>Start_Daten!I26</f>
        <v>Pascal Gymnasium Münster</v>
      </c>
      <c r="J26">
        <f>Start_Daten!J26</f>
        <v>0</v>
      </c>
      <c r="K26" t="str">
        <f>Start_Daten!K26</f>
        <v>Uppenkampstiege 17</v>
      </c>
      <c r="L26">
        <f>Start_Daten!L26</f>
        <v>48147</v>
      </c>
      <c r="M26" t="str">
        <f>Start_Daten!M26</f>
        <v>Münster</v>
      </c>
      <c r="N26">
        <f>Start_Daten!N26</f>
        <v>0</v>
      </c>
      <c r="O26" s="4">
        <f>Start_Daten!O26</f>
        <v>0</v>
      </c>
    </row>
    <row r="27" spans="1:15">
      <c r="A27" s="1">
        <v>25</v>
      </c>
      <c r="B27" t="str">
        <f>Start_Daten!B27</f>
        <v>Lasse</v>
      </c>
      <c r="C27" s="2">
        <f>Start_Daten!C27</f>
        <v>7.5</v>
      </c>
      <c r="E27" s="3">
        <f t="shared" si="0"/>
        <v>0</v>
      </c>
      <c r="F27" s="1">
        <f>Start_Daten!F27</f>
        <v>1</v>
      </c>
      <c r="G27" s="1">
        <f>Start_Daten!G27</f>
        <v>0</v>
      </c>
      <c r="H27" t="str">
        <f>Start_Daten!H27</f>
        <v>Lasse Berner</v>
      </c>
      <c r="I27" t="str">
        <f>Start_Daten!I27</f>
        <v>Gymnasium Papenburg</v>
      </c>
      <c r="J27">
        <f>Start_Daten!J27</f>
        <v>0</v>
      </c>
      <c r="K27" t="str">
        <f>Start_Daten!K27</f>
        <v>Russelstr. 33</v>
      </c>
      <c r="L27">
        <f>Start_Daten!L27</f>
        <v>26871</v>
      </c>
      <c r="M27" t="str">
        <f>Start_Daten!M27</f>
        <v>Papenburg</v>
      </c>
      <c r="N27">
        <f>Start_Daten!N27</f>
        <v>0</v>
      </c>
      <c r="O27" s="4" t="str">
        <f>Start_Daten!O27</f>
        <v>ivonne.wessels@gymnasium-papenburg.de</v>
      </c>
    </row>
    <row r="28" spans="1:15">
      <c r="A28" s="1">
        <v>26</v>
      </c>
      <c r="B28" t="str">
        <f>Start_Daten!B28</f>
        <v>Little Nemo</v>
      </c>
      <c r="C28" s="2">
        <f>Start_Daten!C28</f>
        <v>9.6999999999999993</v>
      </c>
      <c r="D28" s="1">
        <v>9.26</v>
      </c>
      <c r="E28" s="3">
        <f t="shared" si="0"/>
        <v>0.95463917525773201</v>
      </c>
      <c r="F28" s="1">
        <f>Start_Daten!F28</f>
        <v>1</v>
      </c>
      <c r="G28" s="1">
        <f>Start_Daten!G28</f>
        <v>0</v>
      </c>
      <c r="H28" t="str">
        <f>Start_Daten!H28</f>
        <v>Jenny Mandler</v>
      </c>
      <c r="I28" t="str">
        <f>Start_Daten!I28</f>
        <v>Ernst-Abbe-Gymnasium</v>
      </c>
      <c r="J28">
        <f>Start_Daten!J28</f>
        <v>0</v>
      </c>
      <c r="K28" t="str">
        <f>Start_Daten!K28</f>
        <v>Hölderlinweg 1</v>
      </c>
      <c r="L28">
        <f>Start_Daten!L28</f>
        <v>73447</v>
      </c>
      <c r="M28" t="str">
        <f>Start_Daten!M28</f>
        <v>Oberkochen</v>
      </c>
      <c r="N28">
        <f>Start_Daten!N28</f>
        <v>0</v>
      </c>
      <c r="O28" s="4">
        <f>Start_Daten!O28</f>
        <v>0</v>
      </c>
    </row>
    <row r="29" spans="1:15">
      <c r="A29" s="1">
        <v>27</v>
      </c>
      <c r="B29" t="str">
        <f>Start_Daten!B29</f>
        <v>Marken Discount</v>
      </c>
      <c r="C29" s="2">
        <f>Start_Daten!C29</f>
        <v>14.8</v>
      </c>
      <c r="E29" s="3">
        <f t="shared" si="0"/>
        <v>0</v>
      </c>
      <c r="F29" s="1">
        <f>Start_Daten!F29</f>
        <v>1</v>
      </c>
      <c r="G29" s="1">
        <f>Start_Daten!G29</f>
        <v>0</v>
      </c>
      <c r="H29" t="str">
        <f>Start_Daten!H29</f>
        <v>Paul Rassmus
Sebastian Peck</v>
      </c>
      <c r="I29" t="str">
        <f>Start_Daten!I29</f>
        <v>Schloßgymnasium Gützkow</v>
      </c>
      <c r="J29">
        <f>Start_Daten!J29</f>
        <v>0</v>
      </c>
      <c r="K29" t="str">
        <f>Start_Daten!K29</f>
        <v>Baron-von-Lepel-Platz 2</v>
      </c>
      <c r="L29">
        <f>Start_Daten!L29</f>
        <v>17506</v>
      </c>
      <c r="M29" t="str">
        <f>Start_Daten!M29</f>
        <v>Gützkow</v>
      </c>
      <c r="N29">
        <f>Start_Daten!N29</f>
        <v>0</v>
      </c>
      <c r="O29" s="4">
        <f>Start_Daten!O29</f>
        <v>0</v>
      </c>
    </row>
    <row r="30" spans="1:15">
      <c r="A30" s="1">
        <v>28</v>
      </c>
      <c r="B30" t="str">
        <f>Start_Daten!B30</f>
        <v>MS . B.J.</v>
      </c>
      <c r="C30" s="2">
        <f>Start_Daten!C30</f>
        <v>9.6999999999999993</v>
      </c>
      <c r="E30" s="3">
        <f t="shared" si="0"/>
        <v>0</v>
      </c>
      <c r="F30" s="1">
        <f>Start_Daten!F30</f>
        <v>1</v>
      </c>
      <c r="G30" s="1">
        <f>Start_Daten!G30</f>
        <v>0</v>
      </c>
      <c r="H30" t="str">
        <f>Start_Daten!H30</f>
        <v>Janis Walther
Bastian Brand</v>
      </c>
      <c r="I30" t="str">
        <f>Start_Daten!K30</f>
        <v>Schützenstraße 3</v>
      </c>
      <c r="J30">
        <f>Start_Daten!J30</f>
        <v>0</v>
      </c>
      <c r="K30" t="str">
        <f>Start_Daten!K30</f>
        <v>Schützenstraße 3</v>
      </c>
      <c r="L30">
        <f>Start_Daten!L30</f>
        <v>21406</v>
      </c>
      <c r="M30" t="str">
        <f>Start_Daten!M30</f>
        <v>Melbeck</v>
      </c>
      <c r="N30">
        <f>Start_Daten!N30</f>
        <v>0</v>
      </c>
      <c r="O30" s="4">
        <f>Start_Daten!O30</f>
        <v>0</v>
      </c>
    </row>
    <row r="31" spans="1:15">
      <c r="A31" s="1">
        <v>29</v>
      </c>
      <c r="B31" t="str">
        <f>Start_Daten!B31</f>
        <v>MS Leonoli</v>
      </c>
      <c r="C31" s="2">
        <f>Start_Daten!C31</f>
        <v>7.9</v>
      </c>
      <c r="E31" s="3">
        <f t="shared" si="0"/>
        <v>0</v>
      </c>
      <c r="F31" s="1">
        <f>Start_Daten!F31</f>
        <v>1</v>
      </c>
      <c r="G31" s="1">
        <f>Start_Daten!G31</f>
        <v>0</v>
      </c>
      <c r="H31" t="str">
        <f>Start_Daten!H31</f>
        <v>Oliver Wendt
Leon Herrmann</v>
      </c>
      <c r="I31" t="str">
        <f>Start_Daten!K31</f>
        <v>Schützenstraße 3</v>
      </c>
      <c r="J31">
        <f>Start_Daten!J31</f>
        <v>0</v>
      </c>
      <c r="K31" t="str">
        <f>Start_Daten!K31</f>
        <v>Schützenstraße 3</v>
      </c>
      <c r="L31">
        <f>Start_Daten!L31</f>
        <v>21406</v>
      </c>
      <c r="M31" t="str">
        <f>Start_Daten!M31</f>
        <v>Melbeck</v>
      </c>
      <c r="N31">
        <f>Start_Daten!N31</f>
        <v>0</v>
      </c>
      <c r="O31" s="4">
        <f>Start_Daten!O31</f>
        <v>0</v>
      </c>
    </row>
    <row r="32" spans="1:15">
      <c r="A32" s="1">
        <v>30</v>
      </c>
      <c r="B32" t="str">
        <f>Start_Daten!B32</f>
        <v>Mumie</v>
      </c>
      <c r="C32" s="2">
        <f>Start_Daten!C32</f>
        <v>11.1</v>
      </c>
      <c r="D32" s="1">
        <v>3.669</v>
      </c>
      <c r="E32" s="3">
        <f t="shared" si="0"/>
        <v>0.33054054054054055</v>
      </c>
      <c r="F32" s="1">
        <f>Start_Daten!F32</f>
        <v>1</v>
      </c>
      <c r="G32" s="1">
        <f>Start_Daten!G32</f>
        <v>0</v>
      </c>
      <c r="H32" t="str">
        <f>Start_Daten!H32</f>
        <v>Til Salewski
Vincent Niemann</v>
      </c>
      <c r="I32" t="str">
        <f>Start_Daten!I32</f>
        <v>Schloßgymnasium Gützkow</v>
      </c>
      <c r="J32">
        <f>Start_Daten!J32</f>
        <v>0</v>
      </c>
      <c r="K32" t="str">
        <f>Start_Daten!K32</f>
        <v>Baron-von-Lepel-Platz 2</v>
      </c>
      <c r="L32">
        <f>Start_Daten!L32</f>
        <v>17506</v>
      </c>
      <c r="M32" t="str">
        <f>Start_Daten!M32</f>
        <v>Gützkow</v>
      </c>
      <c r="N32">
        <f>Start_Daten!N32</f>
        <v>0</v>
      </c>
      <c r="O32" s="4">
        <f>Start_Daten!O32</f>
        <v>0</v>
      </c>
    </row>
    <row r="33" spans="1:15">
      <c r="A33" s="1">
        <v>31</v>
      </c>
      <c r="B33" t="str">
        <f>Start_Daten!B33</f>
        <v>NICHRALRYSCHHA</v>
      </c>
      <c r="C33" s="2">
        <f>Start_Daten!C33</f>
        <v>9.6999999999999993</v>
      </c>
      <c r="E33" s="3">
        <f t="shared" si="0"/>
        <v>0</v>
      </c>
      <c r="F33" s="1">
        <f>Start_Daten!F33</f>
        <v>1</v>
      </c>
      <c r="G33" s="1">
        <f>Start_Daten!G33</f>
        <v>0</v>
      </c>
      <c r="H33" t="str">
        <f>Start_Daten!H33</f>
        <v>Niklas Schöning
Christopher Hanson</v>
      </c>
      <c r="I33" t="str">
        <f>Start_Daten!I33</f>
        <v>Gymnasium Lüneburger Heide</v>
      </c>
      <c r="J33">
        <f>Start_Daten!J33</f>
        <v>0</v>
      </c>
      <c r="K33" t="str">
        <f>Start_Daten!K33</f>
        <v>Schützenstraße 3</v>
      </c>
      <c r="L33">
        <f>Start_Daten!L33</f>
        <v>21406</v>
      </c>
      <c r="M33" t="str">
        <f>Start_Daten!M33</f>
        <v>Melbeck</v>
      </c>
      <c r="N33">
        <f>Start_Daten!N33</f>
        <v>0</v>
      </c>
      <c r="O33" s="4">
        <f>Start_Daten!O33</f>
        <v>0</v>
      </c>
    </row>
    <row r="34" spans="1:15">
      <c r="A34" s="1">
        <v>32</v>
      </c>
      <c r="B34" t="str">
        <f>Start_Daten!B34</f>
        <v>Plus</v>
      </c>
      <c r="C34" s="2">
        <f>Start_Daten!C34</f>
        <v>9.1999999999999993</v>
      </c>
      <c r="E34" s="3">
        <f t="shared" si="0"/>
        <v>0</v>
      </c>
      <c r="F34" s="1">
        <f>Start_Daten!F34</f>
        <v>1</v>
      </c>
      <c r="G34" s="1">
        <f>Start_Daten!G34</f>
        <v>0</v>
      </c>
      <c r="H34" t="str">
        <f>Start_Daten!H34</f>
        <v>Sebastian Graef</v>
      </c>
      <c r="I34" t="str">
        <f>Start_Daten!I34</f>
        <v>Ernst-Abbe-Gymnasium</v>
      </c>
      <c r="J34">
        <f>Start_Daten!J34</f>
        <v>0</v>
      </c>
      <c r="K34" t="str">
        <f>Start_Daten!K34</f>
        <v>Hölderlinweg 1</v>
      </c>
      <c r="L34">
        <f>Start_Daten!L34</f>
        <v>73447</v>
      </c>
      <c r="M34" t="str">
        <f>Start_Daten!M34</f>
        <v>Oberkochen</v>
      </c>
      <c r="N34">
        <f>Start_Daten!N34</f>
        <v>0</v>
      </c>
      <c r="O34" s="4">
        <f>Start_Daten!O34</f>
        <v>0</v>
      </c>
    </row>
    <row r="35" spans="1:15">
      <c r="A35" s="1">
        <v>33</v>
      </c>
      <c r="B35" t="str">
        <f>Start_Daten!B35</f>
        <v>Powerschiff 13</v>
      </c>
      <c r="C35" s="2">
        <f>Start_Daten!C35</f>
        <v>9.1999999999999993</v>
      </c>
      <c r="E35" s="3">
        <f t="shared" si="0"/>
        <v>0</v>
      </c>
      <c r="F35" s="1">
        <f>Start_Daten!F35</f>
        <v>1</v>
      </c>
      <c r="G35" s="1">
        <f>Start_Daten!G35</f>
        <v>0</v>
      </c>
      <c r="H35" t="str">
        <f>Start_Daten!H35</f>
        <v>Caroline Renner</v>
      </c>
      <c r="I35" t="str">
        <f>Start_Daten!I35</f>
        <v>Ernst-Abbe-Gymnasium</v>
      </c>
      <c r="J35">
        <f>Start_Daten!J35</f>
        <v>0</v>
      </c>
      <c r="K35" t="str">
        <f>Start_Daten!K35</f>
        <v>Hölderlinweg 1</v>
      </c>
      <c r="L35">
        <f>Start_Daten!L35</f>
        <v>73447</v>
      </c>
      <c r="M35" t="str">
        <f>Start_Daten!M35</f>
        <v>Oberkochen</v>
      </c>
      <c r="N35">
        <f>Start_Daten!N35</f>
        <v>0</v>
      </c>
      <c r="O35" s="4">
        <f>Start_Daten!O35</f>
        <v>0</v>
      </c>
    </row>
    <row r="36" spans="1:15">
      <c r="A36" s="1">
        <v>34</v>
      </c>
      <c r="B36" t="str">
        <f>Start_Daten!B36</f>
        <v>Prototyp</v>
      </c>
      <c r="C36" s="2">
        <f>Start_Daten!C36</f>
        <v>5.6</v>
      </c>
      <c r="E36" s="3">
        <f t="shared" si="0"/>
        <v>0</v>
      </c>
      <c r="F36" s="1">
        <f>Start_Daten!F36</f>
        <v>1</v>
      </c>
      <c r="G36" s="1">
        <f>Start_Daten!G36</f>
        <v>0</v>
      </c>
      <c r="H36" t="str">
        <f>Start_Daten!H36</f>
        <v>Konstantin Köster
Caroline Fehlauer
Jonas Schwerin</v>
      </c>
      <c r="I36" t="str">
        <f>Start_Daten!I36</f>
        <v>Gymnasium Lüneburger Heide</v>
      </c>
      <c r="J36">
        <f>Start_Daten!J36</f>
        <v>0</v>
      </c>
      <c r="K36" t="str">
        <f>Start_Daten!K36</f>
        <v>Schützenstraße 3</v>
      </c>
      <c r="L36">
        <f>Start_Daten!L36</f>
        <v>21406</v>
      </c>
      <c r="M36" t="str">
        <f>Start_Daten!M36</f>
        <v>Melbeck</v>
      </c>
      <c r="N36">
        <f>Start_Daten!N36</f>
        <v>0</v>
      </c>
      <c r="O36" s="4">
        <f>Start_Daten!O36</f>
        <v>0</v>
      </c>
    </row>
    <row r="37" spans="1:15">
      <c r="A37" s="1">
        <v>35</v>
      </c>
      <c r="B37" t="str">
        <f>Start_Daten!B37</f>
        <v>Romba</v>
      </c>
      <c r="C37" s="2">
        <f>Start_Daten!C37</f>
        <v>9.4</v>
      </c>
      <c r="E37" s="3">
        <f t="shared" si="0"/>
        <v>0</v>
      </c>
      <c r="F37" s="1">
        <f>Start_Daten!F37</f>
        <v>1</v>
      </c>
      <c r="G37" s="1">
        <f>Start_Daten!G37</f>
        <v>0</v>
      </c>
      <c r="H37" t="str">
        <f>Start_Daten!H37</f>
        <v>Maik Schoer
Robin Karpa</v>
      </c>
      <c r="I37" t="str">
        <f>Start_Daten!I37</f>
        <v>Gymnasium Lüneburger Heide</v>
      </c>
      <c r="J37">
        <f>Start_Daten!J37</f>
        <v>0</v>
      </c>
      <c r="K37" t="str">
        <f>Start_Daten!K37</f>
        <v>Schützenstraße 3</v>
      </c>
      <c r="L37">
        <f>Start_Daten!L37</f>
        <v>21406</v>
      </c>
      <c r="M37" t="str">
        <f>Start_Daten!M37</f>
        <v>Melbeck</v>
      </c>
      <c r="N37">
        <f>Start_Daten!N37</f>
        <v>0</v>
      </c>
      <c r="O37" s="4">
        <f>Start_Daten!O37</f>
        <v>0</v>
      </c>
    </row>
    <row r="38" spans="1:15">
      <c r="A38" s="1">
        <v>36</v>
      </c>
      <c r="B38" t="str">
        <f>Start_Daten!B38</f>
        <v>Romba 2500</v>
      </c>
      <c r="C38" s="2">
        <f>Start_Daten!C38</f>
        <v>10</v>
      </c>
      <c r="E38" s="3">
        <f t="shared" si="0"/>
        <v>0</v>
      </c>
      <c r="F38" s="1">
        <f>Start_Daten!F38</f>
        <v>1</v>
      </c>
      <c r="G38" s="1">
        <f>Start_Daten!G38</f>
        <v>0</v>
      </c>
      <c r="H38" t="str">
        <f>Start_Daten!H38</f>
        <v>Maik Schoer
Robin Karpa</v>
      </c>
      <c r="I38" t="str">
        <f>Start_Daten!I38</f>
        <v>Gymnasium Lüneburger Heide</v>
      </c>
      <c r="J38">
        <f>Start_Daten!J38</f>
        <v>0</v>
      </c>
      <c r="K38" t="str">
        <f>Start_Daten!K38</f>
        <v>Schützenstraße 3</v>
      </c>
      <c r="L38">
        <f>Start_Daten!L38</f>
        <v>21406</v>
      </c>
      <c r="M38" t="str">
        <f>Start_Daten!M38</f>
        <v>Melbeck</v>
      </c>
      <c r="N38">
        <f>Start_Daten!N38</f>
        <v>0</v>
      </c>
      <c r="O38" s="4">
        <f>Start_Daten!O38</f>
        <v>0</v>
      </c>
    </row>
    <row r="39" spans="1:15">
      <c r="A39" s="1">
        <v>37</v>
      </c>
      <c r="B39" t="str">
        <f>Start_Daten!B39</f>
        <v>sensor 2013</v>
      </c>
      <c r="C39" s="2">
        <f>Start_Daten!C39</f>
        <v>10.1</v>
      </c>
      <c r="D39" s="1">
        <v>3.8</v>
      </c>
      <c r="E39" s="3">
        <f t="shared" si="0"/>
        <v>0.37623762376237624</v>
      </c>
      <c r="F39" s="1">
        <f>Start_Daten!F39</f>
        <v>1</v>
      </c>
      <c r="G39" s="1">
        <f>Start_Daten!G39</f>
        <v>0</v>
      </c>
      <c r="H39" t="str">
        <f>Start_Daten!H39</f>
        <v>Jordan Junior</v>
      </c>
      <c r="I39">
        <f>Start_Daten!I39</f>
        <v>0</v>
      </c>
      <c r="J39">
        <f>Start_Daten!J39</f>
        <v>0</v>
      </c>
      <c r="K39">
        <f>Start_Daten!K39</f>
        <v>0</v>
      </c>
      <c r="L39">
        <f>Start_Daten!L39</f>
        <v>0</v>
      </c>
      <c r="M39" t="str">
        <f>Start_Daten!M39</f>
        <v>Rostock</v>
      </c>
      <c r="N39">
        <f>Start_Daten!N39</f>
        <v>0</v>
      </c>
      <c r="O39" s="4">
        <f>Start_Daten!O39</f>
        <v>0</v>
      </c>
    </row>
    <row r="40" spans="1:15">
      <c r="A40" s="1">
        <v>38</v>
      </c>
      <c r="B40" t="str">
        <f>Start_Daten!B40</f>
        <v>Solida</v>
      </c>
      <c r="C40" s="2">
        <f>Start_Daten!C40</f>
        <v>9.9</v>
      </c>
      <c r="D40" s="1">
        <v>0</v>
      </c>
      <c r="E40" s="3">
        <f t="shared" si="0"/>
        <v>0</v>
      </c>
      <c r="F40" s="1">
        <f>Start_Daten!F40</f>
        <v>1</v>
      </c>
      <c r="G40" s="1" t="str">
        <f>Start_Daten!G40</f>
        <v>x</v>
      </c>
      <c r="H40" t="str">
        <f>Start_Daten!H40</f>
        <v>Ingrid Bierkamp-Nienkarken</v>
      </c>
      <c r="I40">
        <f>Start_Daten!I40</f>
        <v>0</v>
      </c>
      <c r="J40">
        <f>Start_Daten!J40</f>
        <v>0</v>
      </c>
      <c r="K40" t="str">
        <f>Start_Daten!K40</f>
        <v>Poststr. 34</v>
      </c>
      <c r="L40">
        <f>Start_Daten!L40</f>
        <v>21682</v>
      </c>
      <c r="M40" t="str">
        <f>Start_Daten!M40</f>
        <v>Stade</v>
      </c>
      <c r="N40" t="str">
        <f>Start_Daten!N40</f>
        <v>04141\47196</v>
      </c>
      <c r="O40" s="4">
        <f>Start_Daten!O40</f>
        <v>0</v>
      </c>
    </row>
    <row r="41" spans="1:15">
      <c r="A41" s="1">
        <v>39</v>
      </c>
      <c r="B41" t="str">
        <f>Start_Daten!B41</f>
        <v>Susi</v>
      </c>
      <c r="C41" s="2">
        <f>Start_Daten!C41</f>
        <v>18.600000000000001</v>
      </c>
      <c r="E41" s="3">
        <f t="shared" si="0"/>
        <v>0</v>
      </c>
      <c r="F41" s="1">
        <f>Start_Daten!F41</f>
        <v>1</v>
      </c>
      <c r="G41" s="1">
        <f>Start_Daten!G41</f>
        <v>0</v>
      </c>
      <c r="H41" t="str">
        <f>Start_Daten!H41</f>
        <v>Lara Wandt
Carolin Blum</v>
      </c>
      <c r="I41" t="str">
        <f>Start_Daten!I41</f>
        <v>Schloßgymnasium Gützkow</v>
      </c>
      <c r="J41">
        <f>Start_Daten!J41</f>
        <v>0</v>
      </c>
      <c r="K41" t="str">
        <f>Start_Daten!K41</f>
        <v>Baron-von-Lepel-Platz 2</v>
      </c>
      <c r="L41">
        <f>Start_Daten!L41</f>
        <v>17506</v>
      </c>
      <c r="M41" t="str">
        <f>Start_Daten!M41</f>
        <v>Gützkow</v>
      </c>
      <c r="N41">
        <f>Start_Daten!N41</f>
        <v>0</v>
      </c>
      <c r="O41" s="4">
        <f>Start_Daten!O41</f>
        <v>0</v>
      </c>
    </row>
    <row r="42" spans="1:15">
      <c r="A42" s="1">
        <v>40</v>
      </c>
      <c r="B42" t="str">
        <f>Start_Daten!B42</f>
        <v>Temerer</v>
      </c>
      <c r="C42" s="2">
        <f>Start_Daten!C42</f>
        <v>8.4</v>
      </c>
      <c r="E42" s="3">
        <f t="shared" si="0"/>
        <v>0</v>
      </c>
      <c r="F42" s="1">
        <f>Start_Daten!F42</f>
        <v>1</v>
      </c>
      <c r="G42" s="1">
        <f>Start_Daten!G42</f>
        <v>0</v>
      </c>
      <c r="H42" t="str">
        <f>Start_Daten!H42</f>
        <v>unbekannt</v>
      </c>
      <c r="I42" t="str">
        <f>Start_Daten!I42</f>
        <v>Gymnasium Lüneburger Heide</v>
      </c>
      <c r="J42">
        <f>Start_Daten!J42</f>
        <v>0</v>
      </c>
      <c r="K42" t="str">
        <f>Start_Daten!K42</f>
        <v>Schützenstraße 3</v>
      </c>
      <c r="L42">
        <f>Start_Daten!L42</f>
        <v>21406</v>
      </c>
      <c r="M42" t="str">
        <f>Start_Daten!M42</f>
        <v>Melbeck</v>
      </c>
      <c r="N42">
        <f>Start_Daten!N42</f>
        <v>0</v>
      </c>
      <c r="O42" s="4">
        <f>Start_Daten!O42</f>
        <v>0</v>
      </c>
    </row>
    <row r="43" spans="1:15">
      <c r="A43" s="1">
        <v>41</v>
      </c>
      <c r="B43" t="str">
        <f>Start_Daten!B43</f>
        <v>THW Kiel</v>
      </c>
      <c r="C43" s="2">
        <f>Start_Daten!C43</f>
        <v>4.9000000000000004</v>
      </c>
      <c r="E43" s="3">
        <f t="shared" si="0"/>
        <v>0</v>
      </c>
      <c r="F43" s="1">
        <f>Start_Daten!F43</f>
        <v>1</v>
      </c>
      <c r="G43" s="1">
        <f>Start_Daten!G43</f>
        <v>0</v>
      </c>
      <c r="H43" t="str">
        <f>Start_Daten!H43</f>
        <v>Annika Block
Nina Baumann</v>
      </c>
      <c r="I43" t="str">
        <f>Start_Daten!I43</f>
        <v>Gymnasium Wellingdorf</v>
      </c>
      <c r="J43">
        <f>Start_Daten!J43</f>
        <v>0</v>
      </c>
      <c r="K43" t="str">
        <f>Start_Daten!K43</f>
        <v>Feldbarg 15</v>
      </c>
      <c r="L43">
        <f>Start_Daten!L43</f>
        <v>24232</v>
      </c>
      <c r="M43" t="str">
        <f>Start_Daten!M43</f>
        <v>Schönkirchen</v>
      </c>
      <c r="N43">
        <f>Start_Daten!N43</f>
        <v>0</v>
      </c>
      <c r="O43" s="4">
        <f>Start_Daten!O43</f>
        <v>0</v>
      </c>
    </row>
    <row r="44" spans="1:15">
      <c r="A44" s="1">
        <v>42</v>
      </c>
      <c r="B44" t="str">
        <f>Start_Daten!B44</f>
        <v>Titanic</v>
      </c>
      <c r="C44" s="2">
        <f>Start_Daten!C44</f>
        <v>10.6</v>
      </c>
      <c r="E44" s="3">
        <f t="shared" si="0"/>
        <v>0</v>
      </c>
      <c r="F44" s="1">
        <f>Start_Daten!F44</f>
        <v>1</v>
      </c>
      <c r="G44" s="1">
        <f>Start_Daten!G44</f>
        <v>0</v>
      </c>
      <c r="H44" t="str">
        <f>Start_Daten!H44</f>
        <v>Jan Gabo
Jan Schmidt
Julian Hawellek</v>
      </c>
      <c r="I44" t="str">
        <f>Start_Daten!I44</f>
        <v>Gymnasium Hankensbüttel</v>
      </c>
      <c r="J44">
        <f>Start_Daten!J44</f>
        <v>0</v>
      </c>
      <c r="K44">
        <f>Start_Daten!K44</f>
        <v>0</v>
      </c>
      <c r="L44">
        <f>Start_Daten!L44</f>
        <v>0</v>
      </c>
      <c r="M44">
        <f>Start_Daten!M44</f>
        <v>0</v>
      </c>
      <c r="N44">
        <f>Start_Daten!N44</f>
        <v>0</v>
      </c>
      <c r="O44" s="4">
        <f>Start_Daten!O44</f>
        <v>0</v>
      </c>
    </row>
    <row r="45" spans="1:15">
      <c r="A45" s="1">
        <v>43</v>
      </c>
      <c r="B45" t="str">
        <f>Start_Daten!B45</f>
        <v>Under Water</v>
      </c>
      <c r="C45" s="2">
        <f>Start_Daten!C45</f>
        <v>10.8</v>
      </c>
      <c r="D45" s="1">
        <v>7.2779999999999996</v>
      </c>
      <c r="E45" s="3">
        <f t="shared" si="0"/>
        <v>0.67388888888888876</v>
      </c>
      <c r="F45" s="1">
        <f>Start_Daten!F45</f>
        <v>1</v>
      </c>
      <c r="G45" s="1">
        <f>Start_Daten!G45</f>
        <v>0</v>
      </c>
      <c r="H45" t="str">
        <f>Start_Daten!H45</f>
        <v>Lara Wandt
Carolin Blum</v>
      </c>
      <c r="I45" t="str">
        <f>Start_Daten!I45</f>
        <v>Schloßgymnasium Gützkow</v>
      </c>
      <c r="J45">
        <f>Start_Daten!J45</f>
        <v>0</v>
      </c>
      <c r="K45" t="str">
        <f>Start_Daten!K45</f>
        <v>Baron-von-Lepel-Platz 2</v>
      </c>
      <c r="L45">
        <f>Start_Daten!L45</f>
        <v>17506</v>
      </c>
      <c r="M45" t="str">
        <f>Start_Daten!M45</f>
        <v>Gützkow</v>
      </c>
      <c r="N45">
        <f>Start_Daten!N45</f>
        <v>0</v>
      </c>
      <c r="O45" s="4">
        <f>Start_Daten!O45</f>
        <v>0</v>
      </c>
    </row>
    <row r="46" spans="1:15">
      <c r="A46" s="1">
        <v>44</v>
      </c>
      <c r="B46" t="str">
        <f>Start_Daten!B46</f>
        <v>Yolo</v>
      </c>
      <c r="C46" s="2">
        <f>Start_Daten!C46</f>
        <v>9.5</v>
      </c>
      <c r="E46" s="3">
        <f t="shared" si="0"/>
        <v>0</v>
      </c>
      <c r="F46" s="1">
        <f>Start_Daten!F46</f>
        <v>1</v>
      </c>
      <c r="G46" s="1">
        <f>Start_Daten!G46</f>
        <v>0</v>
      </c>
      <c r="H46" t="str">
        <f>Start_Daten!H46</f>
        <v>Konstantin Köster
Caroline Fehlauer
Jonas Schwerin</v>
      </c>
      <c r="I46" t="str">
        <f>Start_Daten!I46</f>
        <v>Gymnasium Lüneburger Heide</v>
      </c>
      <c r="J46">
        <f>Start_Daten!J46</f>
        <v>0</v>
      </c>
      <c r="K46" t="str">
        <f>Start_Daten!K46</f>
        <v>Schützenstraße 3</v>
      </c>
      <c r="L46">
        <f>Start_Daten!L46</f>
        <v>21406</v>
      </c>
      <c r="M46" t="str">
        <f>Start_Daten!M46</f>
        <v>Melbeck</v>
      </c>
      <c r="N46">
        <f>Start_Daten!N46</f>
        <v>0</v>
      </c>
      <c r="O46" s="4">
        <f>Start_Daten!O46</f>
        <v>0</v>
      </c>
    </row>
    <row r="47" spans="1:15">
      <c r="A47" s="1">
        <v>45</v>
      </c>
      <c r="B47" t="str">
        <f>Start_Daten!B47</f>
        <v>TITANIK 2.0</v>
      </c>
      <c r="C47" s="2">
        <f>Start_Daten!C47</f>
        <v>1.4</v>
      </c>
      <c r="E47" s="3">
        <f t="shared" si="0"/>
        <v>0</v>
      </c>
      <c r="F47" s="1">
        <f>Start_Daten!F47</f>
        <v>8</v>
      </c>
      <c r="G47" s="1">
        <f>Start_Daten!G47</f>
        <v>0</v>
      </c>
      <c r="H47" t="str">
        <f>Start_Daten!H47</f>
        <v>Jonas Dose</v>
      </c>
      <c r="I47" t="str">
        <f>Start_Daten!I47</f>
        <v>Gymnasium Wellingdorf</v>
      </c>
      <c r="J47">
        <f>Start_Daten!J47</f>
        <v>0</v>
      </c>
      <c r="K47" t="str">
        <f>Start_Daten!K47</f>
        <v>Schönberger Str. 67</v>
      </c>
      <c r="L47">
        <f>Start_Daten!L47</f>
        <v>24148</v>
      </c>
      <c r="M47" t="str">
        <f>Start_Daten!M47</f>
        <v>Kiel</v>
      </c>
      <c r="N47">
        <f>Start_Daten!N47</f>
        <v>0</v>
      </c>
      <c r="O47" s="4">
        <f>Start_Daten!O47</f>
        <v>0</v>
      </c>
    </row>
    <row r="48" spans="1:15">
      <c r="A48" s="1">
        <v>46</v>
      </c>
      <c r="B48" t="str">
        <f>Start_Daten!B48</f>
        <v>Bloody Marry</v>
      </c>
      <c r="C48" s="2">
        <f>Start_Daten!C48</f>
        <v>9.3000000000000007</v>
      </c>
      <c r="D48" s="1">
        <v>0</v>
      </c>
      <c r="E48" s="3">
        <f t="shared" si="0"/>
        <v>0</v>
      </c>
      <c r="F48" s="1">
        <f>Start_Daten!F48</f>
        <v>200</v>
      </c>
      <c r="G48" s="1">
        <f>Start_Daten!G48</f>
        <v>0</v>
      </c>
      <c r="H48" t="str">
        <f>Start_Daten!H48</f>
        <v>Emilia Weritsch
Veronika Wilhelm
Agata Brzeska</v>
      </c>
      <c r="I48">
        <f>Start_Daten!I48</f>
        <v>0</v>
      </c>
      <c r="J48">
        <f>Start_Daten!J48</f>
        <v>0</v>
      </c>
      <c r="K48" t="str">
        <f>Start_Daten!K48</f>
        <v>Forstweg 46</v>
      </c>
      <c r="L48">
        <f>Start_Daten!L48</f>
        <v>21502</v>
      </c>
      <c r="M48" t="str">
        <f>Start_Daten!M48</f>
        <v>Geesthacht</v>
      </c>
      <c r="N48">
        <f>Start_Daten!N48</f>
        <v>0</v>
      </c>
      <c r="O48" s="4">
        <f>Start_Daten!O48</f>
        <v>0</v>
      </c>
    </row>
    <row r="49" spans="1:15">
      <c r="A49" s="1">
        <v>47</v>
      </c>
      <c r="B49" t="str">
        <f>Start_Daten!B49</f>
        <v>Hong Nga 1</v>
      </c>
      <c r="C49" s="2">
        <f>Start_Daten!C49</f>
        <v>7</v>
      </c>
      <c r="D49" s="1">
        <v>6.165</v>
      </c>
      <c r="E49" s="3">
        <f t="shared" si="0"/>
        <v>0.88071428571428567</v>
      </c>
      <c r="F49" s="1">
        <f>Start_Daten!F49</f>
        <v>200</v>
      </c>
      <c r="G49" s="1">
        <f>Start_Daten!G49</f>
        <v>0</v>
      </c>
      <c r="H49" t="str">
        <f>Start_Daten!H49</f>
        <v>Hong Nga Ly</v>
      </c>
      <c r="I49" t="str">
        <f>Start_Daten!I49</f>
        <v>Athenaueum Stade</v>
      </c>
      <c r="J49">
        <f>Start_Daten!J49</f>
        <v>0</v>
      </c>
      <c r="K49" t="str">
        <f>Start_Daten!K49</f>
        <v>Harsefelder Str. 40</v>
      </c>
      <c r="L49">
        <f>Start_Daten!L49</f>
        <v>21680</v>
      </c>
      <c r="M49" t="str">
        <f>Start_Daten!M49</f>
        <v>Stade</v>
      </c>
      <c r="N49">
        <f>Start_Daten!N49</f>
        <v>0</v>
      </c>
      <c r="O49" s="4">
        <f>Start_Daten!O49</f>
        <v>0</v>
      </c>
    </row>
    <row r="50" spans="1:15">
      <c r="A50" s="1">
        <v>48</v>
      </c>
      <c r="B50" t="str">
        <f>Start_Daten!B50</f>
        <v>Hong Nga 2</v>
      </c>
      <c r="C50" s="2">
        <f>Start_Daten!C50</f>
        <v>7.1</v>
      </c>
      <c r="E50" s="3">
        <f t="shared" si="0"/>
        <v>0</v>
      </c>
      <c r="F50" s="1">
        <f>Start_Daten!F50</f>
        <v>200</v>
      </c>
      <c r="G50" s="1">
        <f>Start_Daten!G50</f>
        <v>0</v>
      </c>
      <c r="H50" t="str">
        <f>Start_Daten!H50</f>
        <v>Hong Nga Ly</v>
      </c>
      <c r="I50" t="str">
        <f>Start_Daten!I50</f>
        <v>Athenaueum Stade</v>
      </c>
      <c r="J50">
        <f>Start_Daten!J50</f>
        <v>0</v>
      </c>
      <c r="K50" t="str">
        <f>Start_Daten!K50</f>
        <v>Harsefelder Str. 40</v>
      </c>
      <c r="L50">
        <f>Start_Daten!L50</f>
        <v>21680</v>
      </c>
      <c r="M50" t="str">
        <f>Start_Daten!M50</f>
        <v>Stade</v>
      </c>
      <c r="N50">
        <f>Start_Daten!N50</f>
        <v>0</v>
      </c>
      <c r="O50" s="4">
        <f>Start_Daten!O50</f>
        <v>0</v>
      </c>
    </row>
    <row r="51" spans="1:15">
      <c r="A51" s="1">
        <v>49</v>
      </c>
      <c r="B51" t="str">
        <f>Start_Daten!B51</f>
        <v>stabil</v>
      </c>
      <c r="C51" s="2">
        <f>Start_Daten!C51</f>
        <v>8.9</v>
      </c>
      <c r="E51" s="3">
        <f t="shared" si="0"/>
        <v>0</v>
      </c>
      <c r="F51" s="1">
        <f>Start_Daten!F51</f>
        <v>200</v>
      </c>
      <c r="G51" s="1">
        <f>Start_Daten!G51</f>
        <v>0</v>
      </c>
      <c r="H51" t="str">
        <f>Start_Daten!H51</f>
        <v>Ilona Liesche</v>
      </c>
      <c r="I51" t="str">
        <f>Start_Daten!I51</f>
        <v>Ernst-Abbe-Gymnasium</v>
      </c>
      <c r="J51">
        <f>Start_Daten!J51</f>
        <v>0</v>
      </c>
      <c r="K51" t="str">
        <f>Start_Daten!K51</f>
        <v>Hölderlinweg 1</v>
      </c>
      <c r="L51">
        <f>Start_Daten!L51</f>
        <v>73447</v>
      </c>
      <c r="M51" t="str">
        <f>Start_Daten!M51</f>
        <v>Oberkochen</v>
      </c>
      <c r="N51">
        <f>Start_Daten!N51</f>
        <v>0</v>
      </c>
      <c r="O51" s="4">
        <f>Start_Daten!O51</f>
        <v>0</v>
      </c>
    </row>
    <row r="52" spans="1:15">
      <c r="A52" s="1">
        <v>50</v>
      </c>
      <c r="B52" t="str">
        <f>Start_Daten!B52</f>
        <v>Pinky</v>
      </c>
      <c r="C52" s="2">
        <f>Start_Daten!C52</f>
        <v>10</v>
      </c>
      <c r="E52" s="3">
        <f t="shared" si="0"/>
        <v>0</v>
      </c>
      <c r="F52" s="1">
        <f>Start_Daten!F52</f>
        <v>220</v>
      </c>
      <c r="G52" s="1">
        <f>Start_Daten!G52</f>
        <v>0</v>
      </c>
      <c r="H52" t="str">
        <f>Start_Daten!H52</f>
        <v>Theresa Lindig</v>
      </c>
      <c r="I52" t="str">
        <f>Start_Daten!I52</f>
        <v>Ernst-Abbe-Gymnasium</v>
      </c>
      <c r="J52">
        <f>Start_Daten!J52</f>
        <v>0</v>
      </c>
      <c r="K52" t="str">
        <f>Start_Daten!K52</f>
        <v>Hölderlinweg 1</v>
      </c>
      <c r="L52">
        <f>Start_Daten!L52</f>
        <v>73447</v>
      </c>
      <c r="M52" t="str">
        <f>Start_Daten!M52</f>
        <v>Oberkochen</v>
      </c>
      <c r="N52">
        <f>Start_Daten!N52</f>
        <v>0</v>
      </c>
      <c r="O52" s="4">
        <f>Start_Daten!O52</f>
        <v>0</v>
      </c>
    </row>
    <row r="53" spans="1:15">
      <c r="A53" s="1">
        <v>51</v>
      </c>
      <c r="B53" t="str">
        <f>Start_Daten!B53</f>
        <v>Falti der Historyfreak</v>
      </c>
      <c r="C53" s="2">
        <f>Start_Daten!C53</f>
        <v>10.3</v>
      </c>
      <c r="E53" s="3">
        <f t="shared" si="0"/>
        <v>0</v>
      </c>
      <c r="F53" s="1">
        <f>Start_Daten!F53</f>
        <v>300</v>
      </c>
      <c r="G53" s="1" t="str">
        <f>Start_Daten!G53</f>
        <v>x</v>
      </c>
      <c r="H53" t="str">
        <f>Start_Daten!H53</f>
        <v>Kjell Schröder</v>
      </c>
      <c r="I53" t="str">
        <f>Start_Daten!I53</f>
        <v>Jungmannschule Eckernförde</v>
      </c>
      <c r="J53">
        <f>Start_Daten!J53</f>
        <v>0</v>
      </c>
      <c r="K53">
        <f>Start_Daten!K53</f>
        <v>0</v>
      </c>
      <c r="L53">
        <f>Start_Daten!L53</f>
        <v>0</v>
      </c>
      <c r="M53" t="str">
        <f>Start_Daten!M53</f>
        <v>Eckernförde</v>
      </c>
      <c r="N53">
        <f>Start_Daten!N53</f>
        <v>0</v>
      </c>
      <c r="O53" s="4">
        <f>Start_Daten!O53</f>
        <v>0</v>
      </c>
    </row>
    <row r="54" spans="1:15">
      <c r="A54" s="1">
        <v>52</v>
      </c>
      <c r="B54" t="str">
        <f>Start_Daten!B54</f>
        <v>zig-zag</v>
      </c>
      <c r="C54" s="2">
        <f>Start_Daten!C54</f>
        <v>10.1</v>
      </c>
      <c r="E54" s="3">
        <f t="shared" si="0"/>
        <v>0</v>
      </c>
      <c r="F54" s="1">
        <f>Start_Daten!F54</f>
        <v>300</v>
      </c>
      <c r="G54" s="1">
        <f>Start_Daten!G54</f>
        <v>0</v>
      </c>
      <c r="H54" t="str">
        <f>Start_Daten!H54</f>
        <v>Jordan Petrow</v>
      </c>
      <c r="I54">
        <f>Start_Daten!I54</f>
        <v>0</v>
      </c>
      <c r="J54">
        <f>Start_Daten!J54</f>
        <v>0</v>
      </c>
      <c r="K54">
        <f>Start_Daten!K54</f>
        <v>0</v>
      </c>
      <c r="L54">
        <f>Start_Daten!L54</f>
        <v>0</v>
      </c>
      <c r="M54" t="str">
        <f>Start_Daten!M54</f>
        <v>Rostock</v>
      </c>
      <c r="N54">
        <f>Start_Daten!N54</f>
        <v>0</v>
      </c>
      <c r="O54" s="4">
        <f>Start_Daten!O54</f>
        <v>0</v>
      </c>
    </row>
    <row r="55" spans="1:15">
      <c r="A55" s="1">
        <v>53</v>
      </c>
      <c r="B55" t="str">
        <f>Start_Daten!B55</f>
        <v>Skipper</v>
      </c>
      <c r="C55" s="2">
        <f>Start_Daten!C55</f>
        <v>9.1999999999999993</v>
      </c>
      <c r="D55" s="1">
        <v>3.5619999999999998</v>
      </c>
      <c r="E55" s="3">
        <f t="shared" si="0"/>
        <v>0.38717391304347826</v>
      </c>
      <c r="F55" s="1">
        <f>Start_Daten!F55</f>
        <v>350</v>
      </c>
      <c r="G55" s="1" t="str">
        <f>Start_Daten!G55</f>
        <v>x</v>
      </c>
      <c r="H55" t="str">
        <f>Start_Daten!H55</f>
        <v>Nike</v>
      </c>
      <c r="I55" t="str">
        <f>Start_Daten!I55</f>
        <v>Jungmannschule Eckernförde</v>
      </c>
      <c r="J55">
        <f>Start_Daten!J55</f>
        <v>0</v>
      </c>
      <c r="K55">
        <f>Start_Daten!K55</f>
        <v>0</v>
      </c>
      <c r="L55">
        <f>Start_Daten!L55</f>
        <v>0</v>
      </c>
      <c r="M55" t="str">
        <f>Start_Daten!M55</f>
        <v>Eckernförde</v>
      </c>
      <c r="N55">
        <f>Start_Daten!N55</f>
        <v>0</v>
      </c>
      <c r="O55" s="4">
        <f>Start_Daten!O55</f>
        <v>0</v>
      </c>
    </row>
    <row r="56" spans="1:15">
      <c r="A56" s="1">
        <v>54</v>
      </c>
      <c r="B56" t="str">
        <f>Start_Daten!B56</f>
        <v>1002</v>
      </c>
      <c r="C56" s="2">
        <f>Start_Daten!C56</f>
        <v>10</v>
      </c>
      <c r="E56" s="3">
        <f t="shared" si="0"/>
        <v>0</v>
      </c>
      <c r="F56" s="1">
        <f>Start_Daten!F56</f>
        <v>500</v>
      </c>
      <c r="G56" s="1">
        <f>Start_Daten!G56</f>
        <v>0</v>
      </c>
      <c r="H56" t="str">
        <f>Start_Daten!H56</f>
        <v>Katrin Schad</v>
      </c>
      <c r="I56" t="str">
        <f>Start_Daten!I56</f>
        <v>Ernst-Abbe-Gymnasium</v>
      </c>
      <c r="J56">
        <f>Start_Daten!J56</f>
        <v>0</v>
      </c>
      <c r="K56" t="str">
        <f>Start_Daten!K56</f>
        <v>Hölderlinweg 1</v>
      </c>
      <c r="L56">
        <f>Start_Daten!L56</f>
        <v>73447</v>
      </c>
      <c r="M56" t="str">
        <f>Start_Daten!M56</f>
        <v>Oberkochen</v>
      </c>
      <c r="N56">
        <f>Start_Daten!N56</f>
        <v>0</v>
      </c>
      <c r="O56" s="4">
        <f>Start_Daten!O56</f>
        <v>0</v>
      </c>
    </row>
    <row r="57" spans="1:15">
      <c r="A57" s="1">
        <v>55</v>
      </c>
      <c r="B57" t="str">
        <f>Start_Daten!B57</f>
        <v>Gummibärchen</v>
      </c>
      <c r="C57" s="2">
        <f>Start_Daten!C57</f>
        <v>10</v>
      </c>
      <c r="E57" s="3">
        <f t="shared" si="0"/>
        <v>0</v>
      </c>
      <c r="F57" s="1">
        <f>Start_Daten!F57</f>
        <v>500</v>
      </c>
      <c r="G57" s="1">
        <f>Start_Daten!G57</f>
        <v>0</v>
      </c>
      <c r="H57" t="str">
        <f>Start_Daten!H57</f>
        <v>Janne Catharina Carstensen
Hande Eyicalis</v>
      </c>
      <c r="I57" t="str">
        <f>Start_Daten!I57</f>
        <v>Gymnasium Wellingdorf</v>
      </c>
      <c r="J57">
        <f>Start_Daten!J57</f>
        <v>0</v>
      </c>
      <c r="K57" t="str">
        <f>Start_Daten!K57</f>
        <v>Schönberger Str. 67</v>
      </c>
      <c r="L57">
        <f>Start_Daten!L57</f>
        <v>24148</v>
      </c>
      <c r="M57" t="str">
        <f>Start_Daten!M57</f>
        <v>Kiel</v>
      </c>
      <c r="N57">
        <f>Start_Daten!N57</f>
        <v>0</v>
      </c>
      <c r="O57" s="4">
        <f>Start_Daten!O57</f>
        <v>0</v>
      </c>
    </row>
    <row r="58" spans="1:15">
      <c r="A58" s="1">
        <v>56</v>
      </c>
      <c r="B58" t="str">
        <f>Start_Daten!B58</f>
        <v>Titanic II</v>
      </c>
      <c r="C58" s="2">
        <f>Start_Daten!C58</f>
        <v>6.9</v>
      </c>
      <c r="D58" s="1">
        <v>9.9179999999999993</v>
      </c>
      <c r="E58" s="3">
        <f t="shared" si="0"/>
        <v>1.4373913043478259</v>
      </c>
      <c r="F58" s="1">
        <f>Start_Daten!F58</f>
        <v>500</v>
      </c>
      <c r="G58" s="1">
        <f>Start_Daten!G58</f>
        <v>0</v>
      </c>
      <c r="H58" t="str">
        <f>Start_Daten!H58</f>
        <v>Felix Grabe
Marcel Bodin
Cora-Katja-Herkommer</v>
      </c>
      <c r="I58" t="str">
        <f>Start_Daten!I58</f>
        <v>Bertha von Suttner Schule</v>
      </c>
      <c r="J58">
        <f>Start_Daten!J58</f>
        <v>0</v>
      </c>
      <c r="K58" t="str">
        <f>Start_Daten!K58</f>
        <v>Drösselbuschberg 40</v>
      </c>
      <c r="L58">
        <f>Start_Daten!L58</f>
        <v>21502</v>
      </c>
      <c r="M58" t="str">
        <f>Start_Daten!M58</f>
        <v>Geesthacht</v>
      </c>
      <c r="N58">
        <f>Start_Daten!N58</f>
        <v>0</v>
      </c>
      <c r="O58" s="4">
        <f>Start_Daten!O58</f>
        <v>0</v>
      </c>
    </row>
    <row r="59" spans="1:15">
      <c r="A59" s="1">
        <v>57</v>
      </c>
      <c r="B59" t="str">
        <f>Start_Daten!B59</f>
        <v>Brjamota</v>
      </c>
      <c r="C59" s="2">
        <f>Start_Daten!C59</f>
        <v>5.9</v>
      </c>
      <c r="E59" s="3">
        <f t="shared" si="0"/>
        <v>0</v>
      </c>
      <c r="F59" s="1">
        <f>Start_Daten!F59</f>
        <v>600</v>
      </c>
      <c r="G59" s="1">
        <f>Start_Daten!G59</f>
        <v>0</v>
      </c>
      <c r="H59" t="str">
        <f>Start_Daten!H59</f>
        <v>Tanja Dreves
Breskel Yosef
Jana Lenz
Moritz Steffens</v>
      </c>
      <c r="I59" t="str">
        <f>Start_Daten!I59</f>
        <v>Bertha von Suttner Schule</v>
      </c>
      <c r="J59">
        <f>Start_Daten!J59</f>
        <v>0</v>
      </c>
      <c r="K59" t="str">
        <f>Start_Daten!K59</f>
        <v>Drösselbuschberg 40</v>
      </c>
      <c r="L59">
        <f>Start_Daten!L59</f>
        <v>21502</v>
      </c>
      <c r="M59" t="str">
        <f>Start_Daten!M59</f>
        <v>Geesthacht</v>
      </c>
      <c r="N59">
        <f>Start_Daten!N59</f>
        <v>0</v>
      </c>
      <c r="O59" s="4">
        <f>Start_Daten!O59</f>
        <v>0</v>
      </c>
    </row>
    <row r="60" spans="1:15">
      <c r="A60" s="1">
        <v>58</v>
      </c>
      <c r="B60" t="str">
        <f>Start_Daten!B60</f>
        <v>Mein Boot</v>
      </c>
      <c r="C60" s="2">
        <f>Start_Daten!C60</f>
        <v>9.8000000000000007</v>
      </c>
      <c r="E60" s="3">
        <f t="shared" si="0"/>
        <v>0</v>
      </c>
      <c r="F60" s="1">
        <f>Start_Daten!F60</f>
        <v>600</v>
      </c>
      <c r="G60" s="1">
        <f>Start_Daten!G60</f>
        <v>0</v>
      </c>
      <c r="H60" t="str">
        <f>Start_Daten!H60</f>
        <v>Florian Sossou</v>
      </c>
      <c r="I60" t="str">
        <f>Start_Daten!I60</f>
        <v>Gymnasium Wellingdorf</v>
      </c>
      <c r="J60">
        <f>Start_Daten!J60</f>
        <v>0</v>
      </c>
      <c r="K60" t="str">
        <f>Start_Daten!K60</f>
        <v>Schönberger Str. 67</v>
      </c>
      <c r="L60">
        <f>Start_Daten!L60</f>
        <v>24148</v>
      </c>
      <c r="M60" t="str">
        <f>Start_Daten!M60</f>
        <v>Kiel</v>
      </c>
      <c r="N60">
        <f>Start_Daten!N60</f>
        <v>0</v>
      </c>
      <c r="O60" s="4">
        <f>Start_Daten!O60</f>
        <v>0</v>
      </c>
    </row>
    <row r="61" spans="1:15">
      <c r="A61" s="1">
        <v>59</v>
      </c>
      <c r="B61" t="str">
        <f>Start_Daten!B61</f>
        <v>Junior</v>
      </c>
      <c r="C61" s="2">
        <f>Start_Daten!C61</f>
        <v>6.4</v>
      </c>
      <c r="E61" s="3">
        <f t="shared" si="0"/>
        <v>0</v>
      </c>
      <c r="F61" s="1">
        <f>Start_Daten!F61</f>
        <v>648</v>
      </c>
      <c r="G61" s="1">
        <f>Start_Daten!G61</f>
        <v>0</v>
      </c>
      <c r="H61" t="str">
        <f>Start_Daten!H61</f>
        <v>Jendrik Nase
Kevin Cao</v>
      </c>
      <c r="I61" t="str">
        <f>Start_Daten!I61</f>
        <v>Gymnasium Wellingdorf</v>
      </c>
      <c r="J61">
        <f>Start_Daten!J61</f>
        <v>0</v>
      </c>
      <c r="K61" t="str">
        <f>Start_Daten!K61</f>
        <v>Schönberger Str. 67</v>
      </c>
      <c r="L61">
        <f>Start_Daten!L61</f>
        <v>24148</v>
      </c>
      <c r="M61" t="str">
        <f>Start_Daten!M61</f>
        <v>Kiel</v>
      </c>
      <c r="N61">
        <f>Start_Daten!N61</f>
        <v>0</v>
      </c>
      <c r="O61" s="4">
        <f>Start_Daten!O61</f>
        <v>0</v>
      </c>
    </row>
    <row r="62" spans="1:15">
      <c r="A62" s="1">
        <v>60</v>
      </c>
      <c r="B62" t="str">
        <f>Start_Daten!B62</f>
        <v>BLUB</v>
      </c>
      <c r="C62" s="2">
        <f>Start_Daten!C62</f>
        <v>5.3</v>
      </c>
      <c r="E62" s="3">
        <f t="shared" si="0"/>
        <v>0</v>
      </c>
      <c r="F62" s="1">
        <f>Start_Daten!F62</f>
        <v>660</v>
      </c>
      <c r="G62" s="1">
        <f>Start_Daten!G62</f>
        <v>0</v>
      </c>
      <c r="H62" t="str">
        <f>Start_Daten!H62</f>
        <v>Sofia Derevyanskaya
Celine Kloske</v>
      </c>
      <c r="I62" t="str">
        <f>Start_Daten!I62</f>
        <v>Gymnasium Wellingdorf</v>
      </c>
      <c r="J62">
        <f>Start_Daten!J62</f>
        <v>0</v>
      </c>
      <c r="K62" t="str">
        <f>Start_Daten!K62</f>
        <v>Schönberger Str. 67</v>
      </c>
      <c r="L62">
        <f>Start_Daten!L62</f>
        <v>24148</v>
      </c>
      <c r="M62" t="str">
        <f>Start_Daten!M62</f>
        <v>Kiel</v>
      </c>
      <c r="N62">
        <f>Start_Daten!N62</f>
        <v>0</v>
      </c>
      <c r="O62" s="4">
        <f>Start_Daten!O62</f>
        <v>0</v>
      </c>
    </row>
    <row r="63" spans="1:15">
      <c r="A63" s="1">
        <v>61</v>
      </c>
      <c r="B63" t="str">
        <f>Start_Daten!B63</f>
        <v>CostaConcordia</v>
      </c>
      <c r="C63" s="2">
        <f>Start_Daten!C63</f>
        <v>5.4</v>
      </c>
      <c r="E63" s="3">
        <f t="shared" si="0"/>
        <v>0</v>
      </c>
      <c r="F63" s="1">
        <f>Start_Daten!F63</f>
        <v>700</v>
      </c>
      <c r="G63" s="1">
        <f>Start_Daten!G63</f>
        <v>0</v>
      </c>
      <c r="H63" t="str">
        <f>Start_Daten!H63</f>
        <v>Alexander Samp
Florian Sossou</v>
      </c>
      <c r="I63" t="str">
        <f>Start_Daten!I63</f>
        <v>Gymnasium Wellingdorf</v>
      </c>
      <c r="J63">
        <f>Start_Daten!J63</f>
        <v>0</v>
      </c>
      <c r="K63" t="str">
        <f>Start_Daten!K63</f>
        <v>Schönberger Str. 67</v>
      </c>
      <c r="L63">
        <f>Start_Daten!L63</f>
        <v>24148</v>
      </c>
      <c r="M63" t="str">
        <f>Start_Daten!M63</f>
        <v>Kiel</v>
      </c>
      <c r="N63">
        <f>Start_Daten!N63</f>
        <v>0</v>
      </c>
      <c r="O63" s="4">
        <f>Start_Daten!O63</f>
        <v>0</v>
      </c>
    </row>
    <row r="64" spans="1:15">
      <c r="A64" s="1">
        <v>62</v>
      </c>
      <c r="B64" t="str">
        <f>Start_Daten!B64</f>
        <v>MS Oscar</v>
      </c>
      <c r="C64" s="2">
        <f>Start_Daten!C64</f>
        <v>10.5</v>
      </c>
      <c r="E64" s="3">
        <f t="shared" si="0"/>
        <v>0</v>
      </c>
      <c r="F64" s="1">
        <f>Start_Daten!F64</f>
        <v>750</v>
      </c>
      <c r="G64" s="1">
        <f>Start_Daten!G64</f>
        <v>0</v>
      </c>
      <c r="H64" t="str">
        <f>Start_Daten!H64</f>
        <v>Leon Pecat</v>
      </c>
      <c r="I64" t="str">
        <f>Start_Daten!I64</f>
        <v>Wossidlo-Gymnasium</v>
      </c>
      <c r="J64">
        <f>Start_Daten!J64</f>
        <v>0</v>
      </c>
      <c r="K64">
        <f>Start_Daten!K64</f>
        <v>0</v>
      </c>
      <c r="L64">
        <f>Start_Daten!L64</f>
        <v>0</v>
      </c>
      <c r="M64" t="str">
        <f>Start_Daten!M64</f>
        <v>Waren</v>
      </c>
      <c r="N64">
        <f>Start_Daten!N64</f>
        <v>0</v>
      </c>
      <c r="O64" s="4">
        <f>Start_Daten!O64</f>
        <v>0</v>
      </c>
    </row>
    <row r="65" spans="1:15">
      <c r="A65" s="1">
        <v>63</v>
      </c>
      <c r="B65" t="str">
        <f>Start_Daten!B65</f>
        <v>MS. Schachtel</v>
      </c>
      <c r="C65" s="2">
        <f>Start_Daten!C65</f>
        <v>9.8000000000000007</v>
      </c>
      <c r="E65" s="3">
        <f t="shared" si="0"/>
        <v>0</v>
      </c>
      <c r="F65" s="1">
        <f>Start_Daten!F65</f>
        <v>752</v>
      </c>
      <c r="G65" s="1">
        <f>Start_Daten!G65</f>
        <v>0</v>
      </c>
      <c r="H65" t="str">
        <f>Start_Daten!H65</f>
        <v>Tim Könnecke</v>
      </c>
      <c r="I65" t="str">
        <f>Start_Daten!I65</f>
        <v>Wossidlo-Gymnasium</v>
      </c>
      <c r="J65">
        <f>Start_Daten!J65</f>
        <v>0</v>
      </c>
      <c r="K65">
        <f>Start_Daten!K65</f>
        <v>0</v>
      </c>
      <c r="L65">
        <f>Start_Daten!L65</f>
        <v>0</v>
      </c>
      <c r="M65" t="str">
        <f>Start_Daten!M65</f>
        <v>Waren</v>
      </c>
      <c r="N65">
        <f>Start_Daten!N65</f>
        <v>0</v>
      </c>
      <c r="O65" s="4">
        <f>Start_Daten!O65</f>
        <v>0</v>
      </c>
    </row>
    <row r="66" spans="1:15">
      <c r="A66" s="1">
        <v>64</v>
      </c>
      <c r="B66" t="str">
        <f>Start_Daten!B66</f>
        <v>Derp-Boot!</v>
      </c>
      <c r="C66" s="2">
        <f>Start_Daten!C66</f>
        <v>6.8</v>
      </c>
      <c r="E66" s="3">
        <f t="shared" si="0"/>
        <v>0</v>
      </c>
      <c r="F66" s="1">
        <f>Start_Daten!F66</f>
        <v>800</v>
      </c>
      <c r="G66" s="1">
        <f>Start_Daten!G66</f>
        <v>0</v>
      </c>
      <c r="H66" t="str">
        <f>Start_Daten!H66</f>
        <v>Kilian Rohde</v>
      </c>
      <c r="I66" t="str">
        <f>Start_Daten!I66</f>
        <v>Wossidlo-Gymnasium</v>
      </c>
      <c r="J66">
        <f>Start_Daten!J66</f>
        <v>0</v>
      </c>
      <c r="K66">
        <f>Start_Daten!K66</f>
        <v>0</v>
      </c>
      <c r="L66">
        <f>Start_Daten!L66</f>
        <v>0</v>
      </c>
      <c r="M66" t="str">
        <f>Start_Daten!M66</f>
        <v>Waren</v>
      </c>
      <c r="N66">
        <f>Start_Daten!N66</f>
        <v>0</v>
      </c>
      <c r="O66" s="4">
        <f>Start_Daten!O66</f>
        <v>0</v>
      </c>
    </row>
    <row r="67" spans="1:15">
      <c r="A67" s="1">
        <v>65</v>
      </c>
      <c r="B67" t="str">
        <f>Start_Daten!B67</f>
        <v>Drachenboot</v>
      </c>
      <c r="C67" s="2">
        <f>Start_Daten!C67</f>
        <v>7.2</v>
      </c>
      <c r="E67" s="3">
        <f t="shared" si="0"/>
        <v>0</v>
      </c>
      <c r="F67" s="1">
        <f>Start_Daten!F67</f>
        <v>800</v>
      </c>
      <c r="G67" s="1">
        <f>Start_Daten!G67</f>
        <v>0</v>
      </c>
      <c r="H67" t="str">
        <f>Start_Daten!H67</f>
        <v>Philip Pinnow</v>
      </c>
      <c r="I67" t="str">
        <f>Start_Daten!I67</f>
        <v>Wossidlo-Gymnasium</v>
      </c>
      <c r="J67">
        <f>Start_Daten!J67</f>
        <v>0</v>
      </c>
      <c r="K67">
        <f>Start_Daten!K67</f>
        <v>0</v>
      </c>
      <c r="L67">
        <f>Start_Daten!L67</f>
        <v>0</v>
      </c>
      <c r="M67" t="str">
        <f>Start_Daten!M67</f>
        <v>Waren</v>
      </c>
      <c r="N67">
        <f>Start_Daten!N67</f>
        <v>0</v>
      </c>
      <c r="O67" s="4">
        <f>Start_Daten!O67</f>
        <v>0</v>
      </c>
    </row>
    <row r="68" spans="1:15">
      <c r="A68" s="1">
        <v>66</v>
      </c>
      <c r="B68" t="str">
        <f>Start_Daten!B68</f>
        <v>Las Americas</v>
      </c>
      <c r="C68" s="2">
        <f>Start_Daten!C68</f>
        <v>9.9</v>
      </c>
      <c r="E68" s="3">
        <f t="shared" ref="E68:E131" si="1">IF(C68&gt;0,D68/C68,"")</f>
        <v>0</v>
      </c>
      <c r="F68" s="1">
        <f>Start_Daten!F68</f>
        <v>800</v>
      </c>
      <c r="G68" s="1">
        <f>Start_Daten!G68</f>
        <v>0</v>
      </c>
      <c r="H68" t="str">
        <f>Start_Daten!H68</f>
        <v>René Scheiermann</v>
      </c>
      <c r="I68" t="str">
        <f>Start_Daten!I68</f>
        <v>Wossidlo-Gymnasium</v>
      </c>
      <c r="J68">
        <f>Start_Daten!J68</f>
        <v>0</v>
      </c>
      <c r="K68">
        <f>Start_Daten!K68</f>
        <v>0</v>
      </c>
      <c r="L68">
        <f>Start_Daten!L68</f>
        <v>0</v>
      </c>
      <c r="M68" t="str">
        <f>Start_Daten!M68</f>
        <v>Waren</v>
      </c>
      <c r="N68">
        <f>Start_Daten!N68</f>
        <v>0</v>
      </c>
      <c r="O68" s="4">
        <f>Start_Daten!O68</f>
        <v>0</v>
      </c>
    </row>
    <row r="69" spans="1:15">
      <c r="A69" s="1">
        <v>67</v>
      </c>
      <c r="B69" t="str">
        <f>Start_Daten!B69</f>
        <v>Kyleyb</v>
      </c>
      <c r="C69" s="2">
        <f>Start_Daten!C69</f>
        <v>9.8000000000000007</v>
      </c>
      <c r="E69" s="3">
        <f t="shared" si="1"/>
        <v>0</v>
      </c>
      <c r="F69" s="1">
        <f>Start_Daten!F69</f>
        <v>876</v>
      </c>
      <c r="G69" s="1">
        <f>Start_Daten!G69</f>
        <v>0</v>
      </c>
      <c r="H69" t="str">
        <f>Start_Daten!H69</f>
        <v>Oliver Meseck
Enis Bilgi
Ramsen Toma</v>
      </c>
      <c r="I69" t="str">
        <f>Start_Daten!I69</f>
        <v>Gymnasium Wellingdorf</v>
      </c>
      <c r="J69">
        <f>Start_Daten!J69</f>
        <v>0</v>
      </c>
      <c r="K69" t="str">
        <f>Start_Daten!K69</f>
        <v>Schönberger Str. 67</v>
      </c>
      <c r="L69">
        <f>Start_Daten!L69</f>
        <v>24148</v>
      </c>
      <c r="M69" t="str">
        <f>Start_Daten!M69</f>
        <v>Kiel</v>
      </c>
      <c r="N69">
        <f>Start_Daten!N69</f>
        <v>0</v>
      </c>
      <c r="O69" s="4">
        <f>Start_Daten!O69</f>
        <v>0</v>
      </c>
    </row>
    <row r="70" spans="1:15">
      <c r="A70" s="1">
        <v>68</v>
      </c>
      <c r="B70" t="str">
        <f>Start_Daten!B70</f>
        <v>Dunkelroter Oktober</v>
      </c>
      <c r="C70" s="2">
        <f>Start_Daten!C70</f>
        <v>10</v>
      </c>
      <c r="E70" s="3">
        <f t="shared" si="1"/>
        <v>0</v>
      </c>
      <c r="F70" s="1">
        <f>Start_Daten!F70</f>
        <v>900</v>
      </c>
      <c r="G70" s="1">
        <f>Start_Daten!G70</f>
        <v>0</v>
      </c>
      <c r="H70" t="str">
        <f>Start_Daten!H70</f>
        <v>Lukas Lindow</v>
      </c>
      <c r="I70" t="str">
        <f>Start_Daten!I70</f>
        <v>Wossidlo-Gymnasium</v>
      </c>
      <c r="J70">
        <f>Start_Daten!J70</f>
        <v>0</v>
      </c>
      <c r="K70">
        <f>Start_Daten!K70</f>
        <v>0</v>
      </c>
      <c r="L70">
        <f>Start_Daten!L70</f>
        <v>0</v>
      </c>
      <c r="M70" t="str">
        <f>Start_Daten!M70</f>
        <v>Waren</v>
      </c>
      <c r="N70">
        <f>Start_Daten!N70</f>
        <v>0</v>
      </c>
      <c r="O70" s="4">
        <f>Start_Daten!O70</f>
        <v>0</v>
      </c>
    </row>
    <row r="71" spans="1:15">
      <c r="A71" s="1">
        <v>69</v>
      </c>
      <c r="B71" t="str">
        <f>Start_Daten!B71</f>
        <v>YOLO I</v>
      </c>
      <c r="C71" s="2">
        <f>Start_Daten!C71</f>
        <v>9.5</v>
      </c>
      <c r="E71" s="3">
        <f t="shared" si="1"/>
        <v>0</v>
      </c>
      <c r="F71" s="1">
        <f>Start_Daten!F71</f>
        <v>900</v>
      </c>
      <c r="G71" s="1">
        <f>Start_Daten!G71</f>
        <v>0</v>
      </c>
      <c r="H71" t="str">
        <f>Start_Daten!H71</f>
        <v>Laura Sophie Nordheim
Melina Daucks
Swantje Geidus</v>
      </c>
      <c r="I71" t="str">
        <f>Start_Daten!I71</f>
        <v>Gymnasium Wellingdorf</v>
      </c>
      <c r="J71">
        <f>Start_Daten!J71</f>
        <v>0</v>
      </c>
      <c r="K71" t="str">
        <f>Start_Daten!K71</f>
        <v>Schönberger Str. 67</v>
      </c>
      <c r="L71">
        <f>Start_Daten!L71</f>
        <v>24148</v>
      </c>
      <c r="M71" t="str">
        <f>Start_Daten!M71</f>
        <v>Kiel</v>
      </c>
      <c r="N71">
        <f>Start_Daten!N71</f>
        <v>0</v>
      </c>
      <c r="O71" s="4">
        <f>Start_Daten!O71</f>
        <v>0</v>
      </c>
    </row>
    <row r="72" spans="1:15">
      <c r="A72" s="1">
        <v>70</v>
      </c>
      <c r="B72" t="str">
        <f>Start_Daten!B72</f>
        <v>YOLO II</v>
      </c>
      <c r="C72" s="2">
        <f>Start_Daten!C72</f>
        <v>6</v>
      </c>
      <c r="E72" s="3">
        <f t="shared" si="1"/>
        <v>0</v>
      </c>
      <c r="F72" s="1">
        <f>Start_Daten!F72</f>
        <v>900</v>
      </c>
      <c r="G72" s="1">
        <f>Start_Daten!G72</f>
        <v>0</v>
      </c>
      <c r="H72" t="str">
        <f>Start_Daten!H72</f>
        <v>Laura Sophie Nordheim
Melina Daucks
Swantje Geidus</v>
      </c>
      <c r="I72" t="str">
        <f>Start_Daten!I72</f>
        <v>Gymnasium Wellingdorf</v>
      </c>
      <c r="J72">
        <f>Start_Daten!J72</f>
        <v>0</v>
      </c>
      <c r="K72" t="str">
        <f>Start_Daten!K72</f>
        <v>Schönberger Str. 67</v>
      </c>
      <c r="L72">
        <f>Start_Daten!L72</f>
        <v>24148</v>
      </c>
      <c r="M72" t="str">
        <f>Start_Daten!M72</f>
        <v>Kiel</v>
      </c>
      <c r="N72">
        <f>Start_Daten!N72</f>
        <v>0</v>
      </c>
      <c r="O72" s="4">
        <f>Start_Daten!O72</f>
        <v>0</v>
      </c>
    </row>
    <row r="73" spans="1:15">
      <c r="A73" s="1">
        <v>71</v>
      </c>
      <c r="B73" t="str">
        <f>Start_Daten!B73</f>
        <v>Black Ops III</v>
      </c>
      <c r="C73" s="2">
        <f>Start_Daten!C73</f>
        <v>5.0999999999999996</v>
      </c>
      <c r="E73" s="3">
        <f t="shared" si="1"/>
        <v>0</v>
      </c>
      <c r="F73" s="1">
        <f>Start_Daten!F73</f>
        <v>950</v>
      </c>
      <c r="G73" s="1">
        <f>Start_Daten!G73</f>
        <v>0</v>
      </c>
      <c r="H73" t="str">
        <f>Start_Daten!H73</f>
        <v>Maxi Meuche
Aiman Beggar</v>
      </c>
      <c r="I73" t="str">
        <f>Start_Daten!I73</f>
        <v>Gymnasium Wellingdorf</v>
      </c>
      <c r="J73">
        <f>Start_Daten!J73</f>
        <v>0</v>
      </c>
      <c r="K73" t="str">
        <f>Start_Daten!K73</f>
        <v>Schönberger Str. 67</v>
      </c>
      <c r="L73">
        <f>Start_Daten!L73</f>
        <v>24148</v>
      </c>
      <c r="M73" t="str">
        <f>Start_Daten!M73</f>
        <v>Kiel</v>
      </c>
      <c r="N73">
        <f>Start_Daten!N73</f>
        <v>0</v>
      </c>
      <c r="O73" s="4">
        <f>Start_Daten!O73</f>
        <v>0</v>
      </c>
    </row>
    <row r="74" spans="1:15">
      <c r="A74" s="1">
        <v>72</v>
      </c>
      <c r="B74" t="str">
        <f>Start_Daten!B74</f>
        <v>Dornauge</v>
      </c>
      <c r="C74" s="2">
        <f>Start_Daten!C74</f>
        <v>8.6999999999999993</v>
      </c>
      <c r="E74" s="3">
        <f t="shared" si="1"/>
        <v>0</v>
      </c>
      <c r="F74" s="1">
        <f>Start_Daten!F74</f>
        <v>964</v>
      </c>
      <c r="G74" s="1">
        <f>Start_Daten!G74</f>
        <v>0</v>
      </c>
      <c r="H74" t="str">
        <f>Start_Daten!H74</f>
        <v>Jonas Arendt</v>
      </c>
      <c r="I74" t="str">
        <f>Start_Daten!I74</f>
        <v>Gymnasium Wellingdorf</v>
      </c>
      <c r="J74">
        <f>Start_Daten!J74</f>
        <v>0</v>
      </c>
      <c r="K74" t="str">
        <f>Start_Daten!K74</f>
        <v>Solomit 4</v>
      </c>
      <c r="L74">
        <f>Start_Daten!L74</f>
        <v>24149</v>
      </c>
      <c r="M74" t="str">
        <f>Start_Daten!M74</f>
        <v>Kiel</v>
      </c>
      <c r="N74">
        <f>Start_Daten!N74</f>
        <v>0</v>
      </c>
      <c r="O74" s="4">
        <f>Start_Daten!O74</f>
        <v>0</v>
      </c>
    </row>
    <row r="75" spans="1:15">
      <c r="A75" s="1">
        <v>73</v>
      </c>
      <c r="B75" t="str">
        <f>Start_Daten!B75</f>
        <v>Bennet</v>
      </c>
      <c r="C75" s="2">
        <f>Start_Daten!C75</f>
        <v>9.5</v>
      </c>
      <c r="E75" s="3">
        <f t="shared" si="1"/>
        <v>0</v>
      </c>
      <c r="F75" s="1">
        <f>Start_Daten!F75</f>
        <v>1000</v>
      </c>
      <c r="G75" s="1" t="str">
        <f>Start_Daten!G75</f>
        <v>x</v>
      </c>
      <c r="H75" t="str">
        <f>Start_Daten!H75</f>
        <v>Hannes Pries</v>
      </c>
      <c r="I75" t="str">
        <f>Start_Daten!I75</f>
        <v>Jungmannschule Eckernförde</v>
      </c>
      <c r="J75">
        <f>Start_Daten!J75</f>
        <v>0</v>
      </c>
      <c r="K75">
        <f>Start_Daten!K75</f>
        <v>0</v>
      </c>
      <c r="L75">
        <f>Start_Daten!L75</f>
        <v>0</v>
      </c>
      <c r="M75" t="str">
        <f>Start_Daten!M75</f>
        <v>Eckernförde</v>
      </c>
      <c r="N75">
        <f>Start_Daten!N75</f>
        <v>0</v>
      </c>
      <c r="O75" s="4">
        <f>Start_Daten!O75</f>
        <v>0</v>
      </c>
    </row>
    <row r="76" spans="1:15">
      <c r="A76" s="1">
        <v>74</v>
      </c>
      <c r="B76" t="str">
        <f>Start_Daten!B76</f>
        <v>Bismarck I</v>
      </c>
      <c r="C76" s="2">
        <f>Start_Daten!C76</f>
        <v>9.9</v>
      </c>
      <c r="E76" s="3">
        <f t="shared" si="1"/>
        <v>0</v>
      </c>
      <c r="F76" s="1">
        <f>Start_Daten!F76</f>
        <v>1000</v>
      </c>
      <c r="G76" s="1">
        <f>Start_Daten!G76</f>
        <v>0</v>
      </c>
      <c r="H76" t="str">
        <f>Start_Daten!H76</f>
        <v>Lukas Balle</v>
      </c>
      <c r="I76" t="str">
        <f>Start_Daten!I76</f>
        <v>Ernst-Abbe-Gymnasium</v>
      </c>
      <c r="J76">
        <f>Start_Daten!J76</f>
        <v>0</v>
      </c>
      <c r="K76" t="str">
        <f>Start_Daten!K76</f>
        <v>Hölderlinweg 1</v>
      </c>
      <c r="L76">
        <f>Start_Daten!L76</f>
        <v>73447</v>
      </c>
      <c r="M76" t="str">
        <f>Start_Daten!M76</f>
        <v>Oberkochen</v>
      </c>
      <c r="N76">
        <f>Start_Daten!N76</f>
        <v>0</v>
      </c>
      <c r="O76" s="4">
        <f>Start_Daten!O76</f>
        <v>0</v>
      </c>
    </row>
    <row r="77" spans="1:15">
      <c r="A77" s="1">
        <v>75</v>
      </c>
      <c r="B77" t="str">
        <f>Start_Daten!B77</f>
        <v>Bismark III</v>
      </c>
      <c r="C77" s="2">
        <f>Start_Daten!C77</f>
        <v>9.5</v>
      </c>
      <c r="E77" s="3">
        <f t="shared" si="1"/>
        <v>0</v>
      </c>
      <c r="F77" s="1">
        <f>Start_Daten!F77</f>
        <v>1000</v>
      </c>
      <c r="G77" s="1">
        <f>Start_Daten!G77</f>
        <v>0</v>
      </c>
      <c r="H77" t="str">
        <f>Start_Daten!H77</f>
        <v>Christoph Stern</v>
      </c>
      <c r="I77" t="str">
        <f>Start_Daten!I77</f>
        <v>Wossidlo-Gymnasium</v>
      </c>
      <c r="J77">
        <f>Start_Daten!J77</f>
        <v>0</v>
      </c>
      <c r="K77">
        <f>Start_Daten!K77</f>
        <v>0</v>
      </c>
      <c r="L77">
        <f>Start_Daten!L77</f>
        <v>0</v>
      </c>
      <c r="M77" t="str">
        <f>Start_Daten!M77</f>
        <v>Waren</v>
      </c>
      <c r="N77">
        <f>Start_Daten!N77</f>
        <v>0</v>
      </c>
      <c r="O77" s="4">
        <f>Start_Daten!O77</f>
        <v>0</v>
      </c>
    </row>
    <row r="78" spans="1:15">
      <c r="A78" s="1">
        <v>76</v>
      </c>
      <c r="B78" t="str">
        <f>Start_Daten!B78</f>
        <v>CHARON</v>
      </c>
      <c r="C78" s="2">
        <f>Start_Daten!C78</f>
        <v>9.6999999999999993</v>
      </c>
      <c r="E78" s="3">
        <f t="shared" si="1"/>
        <v>0</v>
      </c>
      <c r="F78" s="1">
        <f>Start_Daten!F78</f>
        <v>1000</v>
      </c>
      <c r="G78" s="1">
        <f>Start_Daten!G78</f>
        <v>0</v>
      </c>
      <c r="H78" t="str">
        <f>Start_Daten!H78</f>
        <v>Gymnasium Donauwörth</v>
      </c>
      <c r="I78" t="str">
        <f>Start_Daten!I78</f>
        <v>Gymnasium Donauwörth</v>
      </c>
      <c r="J78">
        <f>Start_Daten!J78</f>
        <v>0</v>
      </c>
      <c r="K78" t="str">
        <f>Start_Daten!K78</f>
        <v>Pyrkstockstr. 1</v>
      </c>
      <c r="L78">
        <f>Start_Daten!L78</f>
        <v>86609</v>
      </c>
      <c r="M78" t="str">
        <f>Start_Daten!M78</f>
        <v>Donauwörth</v>
      </c>
      <c r="N78">
        <f>Start_Daten!N78</f>
        <v>0</v>
      </c>
      <c r="O78" s="4">
        <f>Start_Daten!O78</f>
        <v>0</v>
      </c>
    </row>
    <row r="79" spans="1:15">
      <c r="A79" s="1">
        <v>77</v>
      </c>
      <c r="B79" t="str">
        <f>Start_Daten!B79</f>
        <v>Donau-Dampfer</v>
      </c>
      <c r="C79" s="2">
        <f>Start_Daten!C79</f>
        <v>9.1999999999999993</v>
      </c>
      <c r="E79" s="3">
        <f t="shared" si="1"/>
        <v>0</v>
      </c>
      <c r="F79" s="1">
        <f>Start_Daten!F79</f>
        <v>1000</v>
      </c>
      <c r="G79" s="1">
        <f>Start_Daten!G79</f>
        <v>0</v>
      </c>
      <c r="H79" t="str">
        <f>Start_Daten!H79</f>
        <v>Gymnasium Donauwörth</v>
      </c>
      <c r="I79" t="str">
        <f>Start_Daten!I79</f>
        <v>Gymnasium Donauwörth</v>
      </c>
      <c r="J79">
        <f>Start_Daten!J79</f>
        <v>0</v>
      </c>
      <c r="K79" t="str">
        <f>Start_Daten!K79</f>
        <v>Pyrkstockstr. 1</v>
      </c>
      <c r="L79">
        <f>Start_Daten!L79</f>
        <v>86609</v>
      </c>
      <c r="M79" t="str">
        <f>Start_Daten!M79</f>
        <v>Donauwörth</v>
      </c>
      <c r="N79">
        <f>Start_Daten!N79</f>
        <v>0</v>
      </c>
      <c r="O79" s="4">
        <f>Start_Daten!O79</f>
        <v>0</v>
      </c>
    </row>
    <row r="80" spans="1:15">
      <c r="A80" s="1">
        <v>78</v>
      </c>
      <c r="B80" t="str">
        <f>Start_Daten!B80</f>
        <v>Donauwörther Nussschale</v>
      </c>
      <c r="C80" s="2">
        <f>Start_Daten!C80</f>
        <v>9.5</v>
      </c>
      <c r="E80" s="3">
        <f t="shared" si="1"/>
        <v>0</v>
      </c>
      <c r="F80" s="1">
        <f>Start_Daten!F80</f>
        <v>1000</v>
      </c>
      <c r="G80" s="1">
        <f>Start_Daten!G80</f>
        <v>0</v>
      </c>
      <c r="H80" t="str">
        <f>Start_Daten!H80</f>
        <v>Gymnasium Donauwörth</v>
      </c>
      <c r="I80" t="str">
        <f>Start_Daten!I80</f>
        <v>Gymnasium Donauwörth</v>
      </c>
      <c r="J80">
        <f>Start_Daten!J80</f>
        <v>0</v>
      </c>
      <c r="K80" t="str">
        <f>Start_Daten!K80</f>
        <v>Pyrkstockstr. 1</v>
      </c>
      <c r="L80">
        <f>Start_Daten!L80</f>
        <v>86609</v>
      </c>
      <c r="M80" t="str">
        <f>Start_Daten!M80</f>
        <v>Donauwörth</v>
      </c>
      <c r="N80">
        <f>Start_Daten!N80</f>
        <v>0</v>
      </c>
      <c r="O80" s="4">
        <f>Start_Daten!O80</f>
        <v>0</v>
      </c>
    </row>
    <row r="81" spans="1:15">
      <c r="A81" s="1">
        <v>79</v>
      </c>
      <c r="B81" t="str">
        <f>Start_Daten!B81</f>
        <v>Hägars Galeere</v>
      </c>
      <c r="C81" s="2">
        <f>Start_Daten!C81</f>
        <v>7.4</v>
      </c>
      <c r="E81" s="3">
        <f t="shared" si="1"/>
        <v>0</v>
      </c>
      <c r="F81" s="1">
        <f>Start_Daten!F81</f>
        <v>1000</v>
      </c>
      <c r="G81" s="1">
        <f>Start_Daten!G81</f>
        <v>0</v>
      </c>
      <c r="H81" t="str">
        <f>Start_Daten!H81</f>
        <v>Gymnasium Donauwörth</v>
      </c>
      <c r="I81" t="str">
        <f>Start_Daten!I81</f>
        <v>Gymnasium Donauwörth</v>
      </c>
      <c r="J81">
        <f>Start_Daten!J81</f>
        <v>0</v>
      </c>
      <c r="K81" t="str">
        <f>Start_Daten!K81</f>
        <v>Pyrkstockstr. 1</v>
      </c>
      <c r="L81">
        <f>Start_Daten!L81</f>
        <v>86609</v>
      </c>
      <c r="M81" t="str">
        <f>Start_Daten!M81</f>
        <v>Donauwörth</v>
      </c>
      <c r="N81">
        <f>Start_Daten!N81</f>
        <v>0</v>
      </c>
      <c r="O81" s="4">
        <f>Start_Daten!O81</f>
        <v>0</v>
      </c>
    </row>
    <row r="82" spans="1:15">
      <c r="A82" s="1">
        <v>80</v>
      </c>
      <c r="B82" t="str">
        <f>Start_Daten!B82</f>
        <v>Hannes</v>
      </c>
      <c r="C82" s="2">
        <f>Start_Daten!C82</f>
        <v>4.0999999999999996</v>
      </c>
      <c r="E82" s="3">
        <f t="shared" si="1"/>
        <v>0</v>
      </c>
      <c r="F82" s="1">
        <f>Start_Daten!F82</f>
        <v>1000</v>
      </c>
      <c r="G82" s="1">
        <f>Start_Daten!G82</f>
        <v>0</v>
      </c>
      <c r="H82" t="str">
        <f>Start_Daten!H82</f>
        <v>Marc
Phillip
Hendrik Meier</v>
      </c>
      <c r="I82" t="str">
        <f>Start_Daten!I82</f>
        <v>Bertha von Suttner Schule</v>
      </c>
      <c r="J82">
        <f>Start_Daten!J82</f>
        <v>0</v>
      </c>
      <c r="K82" t="str">
        <f>Start_Daten!K82</f>
        <v>Drösselbuschberg 40</v>
      </c>
      <c r="L82">
        <f>Start_Daten!L82</f>
        <v>21502</v>
      </c>
      <c r="M82" t="str">
        <f>Start_Daten!M82</f>
        <v>Geesthacht</v>
      </c>
      <c r="N82">
        <f>Start_Daten!N82</f>
        <v>0</v>
      </c>
      <c r="O82" s="4">
        <f>Start_Daten!O82</f>
        <v>0</v>
      </c>
    </row>
    <row r="83" spans="1:15">
      <c r="A83" s="1">
        <v>81</v>
      </c>
      <c r="B83" t="str">
        <f>Start_Daten!B83</f>
        <v>HAWK</v>
      </c>
      <c r="C83" s="2">
        <f>Start_Daten!C83</f>
        <v>10</v>
      </c>
      <c r="E83" s="3">
        <f t="shared" si="1"/>
        <v>0</v>
      </c>
      <c r="F83" s="1">
        <f>Start_Daten!F83</f>
        <v>1000</v>
      </c>
      <c r="G83" s="1">
        <f>Start_Daten!G83</f>
        <v>0</v>
      </c>
      <c r="H83" t="str">
        <f>Start_Daten!H83</f>
        <v>Gymnasium Donauwörth</v>
      </c>
      <c r="I83" t="str">
        <f>Start_Daten!I83</f>
        <v>Gymnasium Donauwörth</v>
      </c>
      <c r="J83">
        <f>Start_Daten!J83</f>
        <v>0</v>
      </c>
      <c r="K83" t="str">
        <f>Start_Daten!K83</f>
        <v>Pyrkstockstr. 1</v>
      </c>
      <c r="L83">
        <f>Start_Daten!L83</f>
        <v>86609</v>
      </c>
      <c r="M83" t="str">
        <f>Start_Daten!M83</f>
        <v>Donauwörth</v>
      </c>
      <c r="N83">
        <f>Start_Daten!N83</f>
        <v>0</v>
      </c>
      <c r="O83" s="4">
        <f>Start_Daten!O83</f>
        <v>0</v>
      </c>
    </row>
    <row r="84" spans="1:15">
      <c r="A84" s="1">
        <v>82</v>
      </c>
      <c r="B84" t="str">
        <f>Start_Daten!B84</f>
        <v>JSM-XXL</v>
      </c>
      <c r="C84" s="2">
        <f>Start_Daten!C84</f>
        <v>10.7</v>
      </c>
      <c r="E84" s="3">
        <f t="shared" si="1"/>
        <v>0</v>
      </c>
      <c r="F84" s="1">
        <f>Start_Daten!F84</f>
        <v>1000</v>
      </c>
      <c r="G84" s="1">
        <f>Start_Daten!G84</f>
        <v>0</v>
      </c>
      <c r="H84" t="str">
        <f>Start_Daten!H84</f>
        <v>Gymnasium Donauwörth</v>
      </c>
      <c r="I84" t="str">
        <f>Start_Daten!I84</f>
        <v>Gymnasium Donauwörth</v>
      </c>
      <c r="J84">
        <f>Start_Daten!J84</f>
        <v>0</v>
      </c>
      <c r="K84" t="str">
        <f>Start_Daten!K84</f>
        <v>Pyrkstockstr. 1</v>
      </c>
      <c r="L84">
        <f>Start_Daten!L84</f>
        <v>86609</v>
      </c>
      <c r="M84" t="str">
        <f>Start_Daten!M84</f>
        <v>Donauwörth</v>
      </c>
      <c r="N84">
        <f>Start_Daten!N84</f>
        <v>0</v>
      </c>
      <c r="O84" s="4">
        <f>Start_Daten!O84</f>
        <v>0</v>
      </c>
    </row>
    <row r="85" spans="1:15">
      <c r="A85" s="1">
        <v>83</v>
      </c>
      <c r="B85" t="str">
        <f>Start_Daten!B85</f>
        <v>Le boat de Hannes</v>
      </c>
      <c r="C85" s="2">
        <f>Start_Daten!C85</f>
        <v>9.1999999999999993</v>
      </c>
      <c r="E85" s="3">
        <f t="shared" si="1"/>
        <v>0</v>
      </c>
      <c r="F85" s="1">
        <f>Start_Daten!F85</f>
        <v>1000</v>
      </c>
      <c r="G85" s="1">
        <f>Start_Daten!G85</f>
        <v>0</v>
      </c>
      <c r="H85" t="str">
        <f>Start_Daten!H85</f>
        <v>Hannes Lübke</v>
      </c>
      <c r="I85" t="str">
        <f>Start_Daten!I85</f>
        <v>Wossidlo-Gymnasium</v>
      </c>
      <c r="J85">
        <f>Start_Daten!J85</f>
        <v>0</v>
      </c>
      <c r="K85">
        <f>Start_Daten!K85</f>
        <v>0</v>
      </c>
      <c r="L85">
        <f>Start_Daten!L85</f>
        <v>0</v>
      </c>
      <c r="M85" t="str">
        <f>Start_Daten!M85</f>
        <v>Waren</v>
      </c>
      <c r="N85">
        <f>Start_Daten!N85</f>
        <v>0</v>
      </c>
      <c r="O85" s="4">
        <f>Start_Daten!O85</f>
        <v>0</v>
      </c>
    </row>
    <row r="86" spans="1:15">
      <c r="A86" s="1">
        <v>84</v>
      </c>
      <c r="B86" t="str">
        <f>Start_Daten!B86</f>
        <v>LKS</v>
      </c>
      <c r="C86" s="2">
        <f>Start_Daten!C86</f>
        <v>10</v>
      </c>
      <c r="E86" s="3">
        <f t="shared" si="1"/>
        <v>0</v>
      </c>
      <c r="F86" s="1">
        <f>Start_Daten!F86</f>
        <v>1000</v>
      </c>
      <c r="G86" s="1">
        <f>Start_Daten!G86</f>
        <v>0</v>
      </c>
      <c r="H86" t="str">
        <f>Start_Daten!H86</f>
        <v>Gymnasium Donauwörth</v>
      </c>
      <c r="I86" t="str">
        <f>Start_Daten!I86</f>
        <v>Gymnasium Donauwörth</v>
      </c>
      <c r="J86">
        <f>Start_Daten!J86</f>
        <v>0</v>
      </c>
      <c r="K86" t="str">
        <f>Start_Daten!K86</f>
        <v>Pyrkstockstr. 1</v>
      </c>
      <c r="L86">
        <f>Start_Daten!L86</f>
        <v>86609</v>
      </c>
      <c r="M86" t="str">
        <f>Start_Daten!M86</f>
        <v>Donauwörth</v>
      </c>
      <c r="N86">
        <f>Start_Daten!N86</f>
        <v>0</v>
      </c>
      <c r="O86" s="4">
        <f>Start_Daten!O86</f>
        <v>0</v>
      </c>
    </row>
    <row r="87" spans="1:15">
      <c r="A87" s="1">
        <v>85</v>
      </c>
      <c r="B87" t="str">
        <f>Start_Daten!B87</f>
        <v>Marco Polo</v>
      </c>
      <c r="C87" s="2">
        <f>Start_Daten!C87</f>
        <v>8.3000000000000007</v>
      </c>
      <c r="E87" s="3">
        <f t="shared" si="1"/>
        <v>0</v>
      </c>
      <c r="F87" s="1">
        <f>Start_Daten!F87</f>
        <v>1000</v>
      </c>
      <c r="G87" s="1">
        <f>Start_Daten!G87</f>
        <v>0</v>
      </c>
      <c r="H87" t="str">
        <f>Start_Daten!H87</f>
        <v>Gymnasium Donauwörth</v>
      </c>
      <c r="I87" t="str">
        <f>Start_Daten!I87</f>
        <v>Gymnasium Donauwörth</v>
      </c>
      <c r="J87">
        <f>Start_Daten!J87</f>
        <v>0</v>
      </c>
      <c r="K87" t="str">
        <f>Start_Daten!K87</f>
        <v>Pyrkstockstr. 1</v>
      </c>
      <c r="L87">
        <f>Start_Daten!L87</f>
        <v>86609</v>
      </c>
      <c r="M87" t="str">
        <f>Start_Daten!M87</f>
        <v>Donauwörth</v>
      </c>
      <c r="N87">
        <f>Start_Daten!N87</f>
        <v>0</v>
      </c>
      <c r="O87" s="4">
        <f>Start_Daten!O87</f>
        <v>0</v>
      </c>
    </row>
    <row r="88" spans="1:15">
      <c r="A88" s="1">
        <v>86</v>
      </c>
      <c r="B88" t="str">
        <f>Start_Daten!B88</f>
        <v>MEGGIE I</v>
      </c>
      <c r="C88" s="2">
        <f>Start_Daten!C88</f>
        <v>8.9</v>
      </c>
      <c r="E88" s="3">
        <f t="shared" si="1"/>
        <v>0</v>
      </c>
      <c r="F88" s="1">
        <f>Start_Daten!F88</f>
        <v>1000</v>
      </c>
      <c r="G88" s="1" t="str">
        <f>Start_Daten!G88</f>
        <v>x</v>
      </c>
      <c r="H88" t="str">
        <f>Start_Daten!H88</f>
        <v>Mattis Elwert
Annika Block
Nina Baumann</v>
      </c>
      <c r="I88" t="str">
        <f>Start_Daten!I88</f>
        <v>Gymnasium Wellingdorf</v>
      </c>
      <c r="J88">
        <f>Start_Daten!J88</f>
        <v>0</v>
      </c>
      <c r="K88" t="str">
        <f>Start_Daten!K88</f>
        <v>Schönberger Str. 67</v>
      </c>
      <c r="L88">
        <f>Start_Daten!L88</f>
        <v>24148</v>
      </c>
      <c r="M88" t="str">
        <f>Start_Daten!M88</f>
        <v>Kiel</v>
      </c>
      <c r="N88">
        <f>Start_Daten!N88</f>
        <v>0</v>
      </c>
      <c r="O88" s="4">
        <f>Start_Daten!O88</f>
        <v>0</v>
      </c>
    </row>
    <row r="89" spans="1:15">
      <c r="A89" s="1">
        <v>87</v>
      </c>
      <c r="B89" t="str">
        <f>Start_Daten!B89</f>
        <v>MS Unglaublich</v>
      </c>
      <c r="C89" s="2">
        <f>Start_Daten!C89</f>
        <v>9.6999999999999993</v>
      </c>
      <c r="E89" s="3">
        <f t="shared" si="1"/>
        <v>0</v>
      </c>
      <c r="F89" s="1">
        <f>Start_Daten!F89</f>
        <v>1000</v>
      </c>
      <c r="G89" s="1">
        <f>Start_Daten!G89</f>
        <v>0</v>
      </c>
      <c r="H89" t="str">
        <f>Start_Daten!H89</f>
        <v>Gymnasium Donauwörth</v>
      </c>
      <c r="I89" t="str">
        <f>Start_Daten!I89</f>
        <v>Gymnasium Donauwörth</v>
      </c>
      <c r="J89">
        <f>Start_Daten!J89</f>
        <v>0</v>
      </c>
      <c r="K89" t="str">
        <f>Start_Daten!K89</f>
        <v>Pyrkstockstr. 1</v>
      </c>
      <c r="L89">
        <f>Start_Daten!L89</f>
        <v>86609</v>
      </c>
      <c r="M89" t="str">
        <f>Start_Daten!M89</f>
        <v>Donauwörth</v>
      </c>
      <c r="N89">
        <f>Start_Daten!N89</f>
        <v>0</v>
      </c>
      <c r="O89" s="4">
        <f>Start_Daten!O89</f>
        <v>0</v>
      </c>
    </row>
    <row r="90" spans="1:15">
      <c r="A90" s="1">
        <v>88</v>
      </c>
      <c r="B90" t="str">
        <f>Start_Daten!B90</f>
        <v>S.S. Christofzik</v>
      </c>
      <c r="C90" s="2">
        <f>Start_Daten!C90</f>
        <v>9.6999999999999993</v>
      </c>
      <c r="E90" s="3">
        <f t="shared" si="1"/>
        <v>0</v>
      </c>
      <c r="F90" s="1">
        <f>Start_Daten!F90</f>
        <v>1000</v>
      </c>
      <c r="G90" s="1">
        <f>Start_Daten!G90</f>
        <v>0</v>
      </c>
      <c r="H90" t="str">
        <f>Start_Daten!H90</f>
        <v>Sascha Christofzik</v>
      </c>
      <c r="I90" t="str">
        <f>Start_Daten!I90</f>
        <v>Wossidlo-Gymnasium</v>
      </c>
      <c r="J90">
        <f>Start_Daten!J90</f>
        <v>0</v>
      </c>
      <c r="K90">
        <f>Start_Daten!K90</f>
        <v>0</v>
      </c>
      <c r="L90">
        <f>Start_Daten!L90</f>
        <v>0</v>
      </c>
      <c r="M90" t="str">
        <f>Start_Daten!M90</f>
        <v>Waren</v>
      </c>
      <c r="N90">
        <f>Start_Daten!N90</f>
        <v>0</v>
      </c>
      <c r="O90" s="4">
        <f>Start_Daten!O90</f>
        <v>0</v>
      </c>
    </row>
    <row r="91" spans="1:15">
      <c r="A91" s="1">
        <v>89</v>
      </c>
      <c r="B91" t="str">
        <f>Start_Daten!B91</f>
        <v>Titan 4</v>
      </c>
      <c r="C91" s="2">
        <f>Start_Daten!C91</f>
        <v>8.1999999999999993</v>
      </c>
      <c r="E91" s="3">
        <f t="shared" si="1"/>
        <v>0</v>
      </c>
      <c r="F91" s="1">
        <f>Start_Daten!F91</f>
        <v>1000</v>
      </c>
      <c r="G91" s="1">
        <f>Start_Daten!G91</f>
        <v>0</v>
      </c>
      <c r="H91" t="str">
        <f>Start_Daten!H91</f>
        <v>Tommy
Dustin
Fabio
Dominik Meier</v>
      </c>
      <c r="I91" t="str">
        <f>Start_Daten!I91</f>
        <v>Bertha von Suttner Schule</v>
      </c>
      <c r="J91">
        <f>Start_Daten!J91</f>
        <v>0</v>
      </c>
      <c r="K91" t="str">
        <f>Start_Daten!K91</f>
        <v>Drösselbuschberg 40</v>
      </c>
      <c r="L91">
        <f>Start_Daten!L91</f>
        <v>21502</v>
      </c>
      <c r="M91" t="str">
        <f>Start_Daten!M91</f>
        <v>Geesthacht</v>
      </c>
      <c r="N91">
        <f>Start_Daten!N91</f>
        <v>0</v>
      </c>
      <c r="O91" s="4">
        <f>Start_Daten!O91</f>
        <v>0</v>
      </c>
    </row>
    <row r="92" spans="1:15">
      <c r="A92" s="1">
        <v>90</v>
      </c>
      <c r="B92" t="str">
        <f>Start_Daten!B92</f>
        <v>Das sichere Schiff</v>
      </c>
      <c r="C92" s="2">
        <f>Start_Daten!C92</f>
        <v>14</v>
      </c>
      <c r="E92" s="3">
        <f t="shared" si="1"/>
        <v>0</v>
      </c>
      <c r="F92" s="1">
        <f>Start_Daten!F92</f>
        <v>1200</v>
      </c>
      <c r="G92" s="1">
        <f>Start_Daten!G92</f>
        <v>0</v>
      </c>
      <c r="H92" t="str">
        <f>Start_Daten!H92</f>
        <v>Jacob Starkoff</v>
      </c>
      <c r="I92" t="str">
        <f>Start_Daten!I92</f>
        <v>Wossidlo-Gymnasium</v>
      </c>
      <c r="J92">
        <f>Start_Daten!J92</f>
        <v>0</v>
      </c>
      <c r="K92">
        <f>Start_Daten!K92</f>
        <v>0</v>
      </c>
      <c r="L92">
        <f>Start_Daten!L92</f>
        <v>0</v>
      </c>
      <c r="M92" t="str">
        <f>Start_Daten!M92</f>
        <v>Waren</v>
      </c>
      <c r="N92">
        <f>Start_Daten!N92</f>
        <v>0</v>
      </c>
      <c r="O92" s="4">
        <f>Start_Daten!O92</f>
        <v>0</v>
      </c>
    </row>
    <row r="93" spans="1:15">
      <c r="A93" s="1">
        <v>91</v>
      </c>
      <c r="B93" t="str">
        <f>Start_Daten!B93</f>
        <v>MS Downstairs</v>
      </c>
      <c r="C93" s="2">
        <f>Start_Daten!C93</f>
        <v>10</v>
      </c>
      <c r="E93" s="3">
        <f t="shared" si="1"/>
        <v>0</v>
      </c>
      <c r="F93" s="1">
        <f>Start_Daten!F93</f>
        <v>1200</v>
      </c>
      <c r="G93" s="1">
        <f>Start_Daten!G93</f>
        <v>0</v>
      </c>
      <c r="H93" t="str">
        <f>Start_Daten!H93</f>
        <v>Jonas Groth</v>
      </c>
      <c r="I93" t="str">
        <f>Start_Daten!I93</f>
        <v>Wossidlo-Gymnasium</v>
      </c>
      <c r="J93">
        <f>Start_Daten!J93</f>
        <v>0</v>
      </c>
      <c r="K93">
        <f>Start_Daten!K93</f>
        <v>0</v>
      </c>
      <c r="L93">
        <f>Start_Daten!L93</f>
        <v>0</v>
      </c>
      <c r="M93" t="str">
        <f>Start_Daten!M93</f>
        <v>Waren</v>
      </c>
      <c r="N93">
        <f>Start_Daten!N93</f>
        <v>0</v>
      </c>
      <c r="O93" s="4">
        <f>Start_Daten!O93</f>
        <v>0</v>
      </c>
    </row>
    <row r="94" spans="1:15">
      <c r="A94" s="1">
        <v>92</v>
      </c>
      <c r="B94" t="str">
        <f>Start_Daten!B94</f>
        <v>Black Pearl</v>
      </c>
      <c r="C94" s="2">
        <f>Start_Daten!C94</f>
        <v>10.5</v>
      </c>
      <c r="E94" s="3">
        <f t="shared" si="1"/>
        <v>0</v>
      </c>
      <c r="F94" s="1">
        <f>Start_Daten!F94</f>
        <v>1300</v>
      </c>
      <c r="G94" s="1">
        <f>Start_Daten!G94</f>
        <v>0</v>
      </c>
      <c r="H94" t="str">
        <f>Start_Daten!H94</f>
        <v>Henning Venohr</v>
      </c>
      <c r="I94" t="str">
        <f>Start_Daten!I94</f>
        <v>Wossidlo-Gymnasium</v>
      </c>
      <c r="J94">
        <f>Start_Daten!J94</f>
        <v>0</v>
      </c>
      <c r="K94">
        <f>Start_Daten!K94</f>
        <v>0</v>
      </c>
      <c r="L94">
        <f>Start_Daten!L94</f>
        <v>0</v>
      </c>
      <c r="M94" t="str">
        <f>Start_Daten!M94</f>
        <v>Waren</v>
      </c>
      <c r="N94">
        <f>Start_Daten!N94</f>
        <v>0</v>
      </c>
      <c r="O94" s="4">
        <f>Start_Daten!O94</f>
        <v>0</v>
      </c>
    </row>
    <row r="95" spans="1:15">
      <c r="A95" s="1">
        <v>93</v>
      </c>
      <c r="B95" t="str">
        <f>Start_Daten!B95</f>
        <v>Padnoaktnbhoct!</v>
      </c>
      <c r="C95" s="2">
        <f>Start_Daten!C95</f>
        <v>5.3</v>
      </c>
      <c r="E95" s="3">
        <f t="shared" si="1"/>
        <v>0</v>
      </c>
      <c r="F95" s="1">
        <f>Start_Daten!F95</f>
        <v>1300</v>
      </c>
      <c r="G95" s="1">
        <f>Start_Daten!G95</f>
        <v>0</v>
      </c>
      <c r="H95" t="str">
        <f>Start_Daten!H95</f>
        <v>Tim Henning</v>
      </c>
      <c r="I95" t="str">
        <f>Start_Daten!I95</f>
        <v>Wossidlo-Gymnasium</v>
      </c>
      <c r="J95">
        <f>Start_Daten!J95</f>
        <v>0</v>
      </c>
      <c r="K95">
        <f>Start_Daten!K95</f>
        <v>0</v>
      </c>
      <c r="L95">
        <f>Start_Daten!L95</f>
        <v>0</v>
      </c>
      <c r="M95" t="str">
        <f>Start_Daten!M95</f>
        <v>Waren</v>
      </c>
      <c r="N95">
        <f>Start_Daten!N95</f>
        <v>0</v>
      </c>
      <c r="O95" s="4">
        <f>Start_Daten!O95</f>
        <v>0</v>
      </c>
    </row>
    <row r="96" spans="1:15">
      <c r="A96" s="1">
        <v>94</v>
      </c>
      <c r="B96" t="str">
        <f>Start_Daten!B96</f>
        <v>MS Raid</v>
      </c>
      <c r="C96" s="2">
        <f>Start_Daten!C96</f>
        <v>8.4</v>
      </c>
      <c r="E96" s="3">
        <f t="shared" si="1"/>
        <v>0</v>
      </c>
      <c r="F96" s="1">
        <f>Start_Daten!F96</f>
        <v>1350</v>
      </c>
      <c r="G96" s="1">
        <f>Start_Daten!G96</f>
        <v>0</v>
      </c>
      <c r="H96" t="str">
        <f>Start_Daten!H96</f>
        <v>Robin Paul Staroske</v>
      </c>
      <c r="I96" t="str">
        <f>Start_Daten!I96</f>
        <v>Wossidlo-Gymnasium</v>
      </c>
      <c r="J96">
        <f>Start_Daten!J96</f>
        <v>0</v>
      </c>
      <c r="K96">
        <f>Start_Daten!K96</f>
        <v>0</v>
      </c>
      <c r="L96">
        <f>Start_Daten!L96</f>
        <v>0</v>
      </c>
      <c r="M96" t="str">
        <f>Start_Daten!M96</f>
        <v>Waren</v>
      </c>
      <c r="N96">
        <f>Start_Daten!N96</f>
        <v>0</v>
      </c>
      <c r="O96" s="4">
        <f>Start_Daten!O96</f>
        <v>0</v>
      </c>
    </row>
    <row r="97" spans="1:15">
      <c r="A97" s="1">
        <v>95</v>
      </c>
      <c r="B97" t="str">
        <f>Start_Daten!B97</f>
        <v>Puzzel 2</v>
      </c>
      <c r="C97" s="2">
        <f>Start_Daten!C97</f>
        <v>9.1999999999999993</v>
      </c>
      <c r="E97" s="3">
        <f t="shared" si="1"/>
        <v>0</v>
      </c>
      <c r="F97" s="1">
        <f>Start_Daten!F97</f>
        <v>1353</v>
      </c>
      <c r="G97" s="1">
        <f>Start_Daten!G97</f>
        <v>0</v>
      </c>
      <c r="H97" t="str">
        <f>Start_Daten!H97</f>
        <v>Leonhard Stork</v>
      </c>
      <c r="I97" t="str">
        <f>Start_Daten!I97</f>
        <v>Wossidlo-Gymnasium</v>
      </c>
      <c r="J97">
        <f>Start_Daten!J97</f>
        <v>0</v>
      </c>
      <c r="K97">
        <f>Start_Daten!K97</f>
        <v>0</v>
      </c>
      <c r="L97">
        <f>Start_Daten!L97</f>
        <v>0</v>
      </c>
      <c r="M97" t="str">
        <f>Start_Daten!M97</f>
        <v>Waren</v>
      </c>
      <c r="N97">
        <f>Start_Daten!N97</f>
        <v>0</v>
      </c>
      <c r="O97" s="4">
        <f>Start_Daten!O97</f>
        <v>0</v>
      </c>
    </row>
    <row r="98" spans="1:15">
      <c r="A98" s="1">
        <v>96</v>
      </c>
      <c r="B98" t="str">
        <f>Start_Daten!B98</f>
        <v>Smoking Hippo</v>
      </c>
      <c r="C98" s="2">
        <f>Start_Daten!C98</f>
        <v>9.6</v>
      </c>
      <c r="E98" s="3">
        <f t="shared" si="1"/>
        <v>0</v>
      </c>
      <c r="F98" s="1">
        <f>Start_Daten!F98</f>
        <v>1397</v>
      </c>
      <c r="G98" s="1">
        <f>Start_Daten!G98</f>
        <v>0</v>
      </c>
      <c r="H98" t="str">
        <f>Start_Daten!H98</f>
        <v>Nicola Brüninghoff
Konstantin Baune
Martin Truong</v>
      </c>
      <c r="I98" t="str">
        <f>Start_Daten!I98</f>
        <v>Pascal Gymnasium Münster</v>
      </c>
      <c r="J98">
        <f>Start_Daten!J98</f>
        <v>0</v>
      </c>
      <c r="K98" t="str">
        <f>Start_Daten!K98</f>
        <v>Uppenkampstiege 17</v>
      </c>
      <c r="L98">
        <f>Start_Daten!L98</f>
        <v>48147</v>
      </c>
      <c r="M98" t="str">
        <f>Start_Daten!M98</f>
        <v>Münster</v>
      </c>
      <c r="N98">
        <f>Start_Daten!N98</f>
        <v>0</v>
      </c>
      <c r="O98" s="4">
        <f>Start_Daten!O98</f>
        <v>0</v>
      </c>
    </row>
    <row r="99" spans="1:15">
      <c r="A99" s="1">
        <v>97</v>
      </c>
      <c r="B99" t="str">
        <f>Start_Daten!B99</f>
        <v>Poseidon</v>
      </c>
      <c r="C99" s="2">
        <f>Start_Daten!C99</f>
        <v>8.6999999999999993</v>
      </c>
      <c r="E99" s="3">
        <f t="shared" si="1"/>
        <v>0</v>
      </c>
      <c r="F99" s="1">
        <f>Start_Daten!F99</f>
        <v>1400</v>
      </c>
      <c r="G99" s="1">
        <f>Start_Daten!G99</f>
        <v>0</v>
      </c>
      <c r="H99" t="str">
        <f>Start_Daten!H99</f>
        <v>Tobias Tulke</v>
      </c>
      <c r="I99" t="str">
        <f>Start_Daten!I99</f>
        <v>Wossidlo-Gymnasium</v>
      </c>
      <c r="J99">
        <f>Start_Daten!J99</f>
        <v>0</v>
      </c>
      <c r="K99">
        <f>Start_Daten!K99</f>
        <v>0</v>
      </c>
      <c r="L99">
        <f>Start_Daten!L99</f>
        <v>0</v>
      </c>
      <c r="M99" t="str">
        <f>Start_Daten!M99</f>
        <v>Waren</v>
      </c>
      <c r="N99">
        <f>Start_Daten!N99</f>
        <v>0</v>
      </c>
      <c r="O99" s="4">
        <f>Start_Daten!O99</f>
        <v>0</v>
      </c>
    </row>
    <row r="100" spans="1:15">
      <c r="A100" s="1">
        <v>98</v>
      </c>
      <c r="B100" t="str">
        <f>Start_Daten!B100</f>
        <v>You Oush</v>
      </c>
      <c r="C100" s="2">
        <f>Start_Daten!C100</f>
        <v>9.5</v>
      </c>
      <c r="E100" s="3">
        <f t="shared" si="1"/>
        <v>0</v>
      </c>
      <c r="F100" s="1">
        <f>Start_Daten!F100</f>
        <v>1400</v>
      </c>
      <c r="G100" s="1">
        <f>Start_Daten!G100</f>
        <v>0</v>
      </c>
      <c r="H100" t="str">
        <f>Start_Daten!H100</f>
        <v>Willi Karberg</v>
      </c>
      <c r="I100" t="str">
        <f>Start_Daten!I100</f>
        <v>Wossidlo-Gymnasium</v>
      </c>
      <c r="J100">
        <f>Start_Daten!J100</f>
        <v>0</v>
      </c>
      <c r="K100">
        <f>Start_Daten!K100</f>
        <v>0</v>
      </c>
      <c r="L100">
        <f>Start_Daten!L100</f>
        <v>0</v>
      </c>
      <c r="M100" t="str">
        <f>Start_Daten!M100</f>
        <v>Waren</v>
      </c>
      <c r="N100">
        <f>Start_Daten!N100</f>
        <v>0</v>
      </c>
      <c r="O100" s="4">
        <f>Start_Daten!O100</f>
        <v>0</v>
      </c>
    </row>
    <row r="101" spans="1:15">
      <c r="A101" s="1">
        <v>99</v>
      </c>
      <c r="B101" t="str">
        <f>Start_Daten!B101</f>
        <v>MS. Langeweile</v>
      </c>
      <c r="C101" s="2">
        <f>Start_Daten!C101</f>
        <v>9.8000000000000007</v>
      </c>
      <c r="E101" s="3">
        <f t="shared" si="1"/>
        <v>0</v>
      </c>
      <c r="F101" s="1">
        <f>Start_Daten!F101</f>
        <v>1500</v>
      </c>
      <c r="G101" s="1">
        <f>Start_Daten!G101</f>
        <v>0</v>
      </c>
      <c r="H101" t="str">
        <f>Start_Daten!H101</f>
        <v>Tim Schult</v>
      </c>
      <c r="I101" t="str">
        <f>Start_Daten!I101</f>
        <v>Wossidlo-Gymnasium</v>
      </c>
      <c r="J101">
        <f>Start_Daten!J101</f>
        <v>0</v>
      </c>
      <c r="K101">
        <f>Start_Daten!K101</f>
        <v>0</v>
      </c>
      <c r="L101">
        <f>Start_Daten!L101</f>
        <v>0</v>
      </c>
      <c r="M101" t="str">
        <f>Start_Daten!M101</f>
        <v>Waren</v>
      </c>
      <c r="N101">
        <f>Start_Daten!N101</f>
        <v>0</v>
      </c>
      <c r="O101" s="4">
        <f>Start_Daten!O101</f>
        <v>0</v>
      </c>
    </row>
    <row r="102" spans="1:15">
      <c r="A102" s="1">
        <v>100</v>
      </c>
      <c r="B102" t="str">
        <f>Start_Daten!B102</f>
        <v>Planktonium</v>
      </c>
      <c r="C102" s="2">
        <f>Start_Daten!C102</f>
        <v>8.3000000000000007</v>
      </c>
      <c r="E102" s="3">
        <f t="shared" si="1"/>
        <v>0</v>
      </c>
      <c r="F102" s="1">
        <f>Start_Daten!F102</f>
        <v>1500</v>
      </c>
      <c r="G102" s="1">
        <f>Start_Daten!G102</f>
        <v>0</v>
      </c>
      <c r="H102" t="str">
        <f>Start_Daten!H102</f>
        <v>Sebastian Stork</v>
      </c>
      <c r="I102" t="str">
        <f>Start_Daten!I102</f>
        <v>Wossidlo-Gymnasium</v>
      </c>
      <c r="J102">
        <f>Start_Daten!J102</f>
        <v>0</v>
      </c>
      <c r="K102">
        <f>Start_Daten!K102</f>
        <v>0</v>
      </c>
      <c r="L102">
        <f>Start_Daten!L102</f>
        <v>0</v>
      </c>
      <c r="M102" t="str">
        <f>Start_Daten!M102</f>
        <v>Waren</v>
      </c>
      <c r="N102">
        <f>Start_Daten!N102</f>
        <v>0</v>
      </c>
      <c r="O102" s="4">
        <f>Start_Daten!O102</f>
        <v>0</v>
      </c>
    </row>
    <row r="103" spans="1:15">
      <c r="A103" s="1">
        <v>101</v>
      </c>
      <c r="B103" t="str">
        <f>Start_Daten!B103</f>
        <v>Argo II</v>
      </c>
      <c r="C103" s="2">
        <f>Start_Daten!C103</f>
        <v>9.6999999999999993</v>
      </c>
      <c r="E103" s="3">
        <f t="shared" si="1"/>
        <v>0</v>
      </c>
      <c r="F103" s="1">
        <f>Start_Daten!F103</f>
        <v>1600</v>
      </c>
      <c r="G103" s="1">
        <f>Start_Daten!G103</f>
        <v>0</v>
      </c>
      <c r="H103" t="str">
        <f>Start_Daten!H103</f>
        <v>Annika Schatz</v>
      </c>
      <c r="I103" t="str">
        <f>Start_Daten!I103</f>
        <v>Wossidlo-Gymnasium</v>
      </c>
      <c r="J103">
        <f>Start_Daten!J103</f>
        <v>0</v>
      </c>
      <c r="K103">
        <f>Start_Daten!K103</f>
        <v>0</v>
      </c>
      <c r="L103">
        <f>Start_Daten!L103</f>
        <v>0</v>
      </c>
      <c r="M103" t="str">
        <f>Start_Daten!M103</f>
        <v>Waren</v>
      </c>
      <c r="N103">
        <f>Start_Daten!N103</f>
        <v>0</v>
      </c>
      <c r="O103" s="4">
        <f>Start_Daten!O103</f>
        <v>0</v>
      </c>
    </row>
    <row r="104" spans="1:15">
      <c r="A104" s="1">
        <v>102</v>
      </c>
      <c r="B104" t="str">
        <f>Start_Daten!B104</f>
        <v>HMS Maretania</v>
      </c>
      <c r="C104" s="2">
        <f>Start_Daten!C104</f>
        <v>9.9</v>
      </c>
      <c r="E104" s="3">
        <f t="shared" si="1"/>
        <v>0</v>
      </c>
      <c r="F104" s="1">
        <f>Start_Daten!F104</f>
        <v>1600</v>
      </c>
      <c r="G104" s="1">
        <f>Start_Daten!G104</f>
        <v>0</v>
      </c>
      <c r="H104" t="str">
        <f>Start_Daten!H104</f>
        <v>Ludwig Stenzel</v>
      </c>
      <c r="I104" t="str">
        <f>Start_Daten!I104</f>
        <v>Wossidlo-Gymnasium</v>
      </c>
      <c r="J104">
        <f>Start_Daten!J104</f>
        <v>0</v>
      </c>
      <c r="K104">
        <f>Start_Daten!K104</f>
        <v>0</v>
      </c>
      <c r="L104">
        <f>Start_Daten!L104</f>
        <v>0</v>
      </c>
      <c r="M104" t="str">
        <f>Start_Daten!M104</f>
        <v>Waren</v>
      </c>
      <c r="N104">
        <f>Start_Daten!N104</f>
        <v>0</v>
      </c>
      <c r="O104" s="4">
        <f>Start_Daten!O104</f>
        <v>0</v>
      </c>
    </row>
    <row r="105" spans="1:15">
      <c r="A105" s="1">
        <v>103</v>
      </c>
      <c r="B105" t="str">
        <f>Start_Daten!B105</f>
        <v>Octopussy</v>
      </c>
      <c r="C105" s="2">
        <f>Start_Daten!C105</f>
        <v>9.8000000000000007</v>
      </c>
      <c r="E105" s="3">
        <f t="shared" si="1"/>
        <v>0</v>
      </c>
      <c r="F105" s="1">
        <f>Start_Daten!F105</f>
        <v>1673</v>
      </c>
      <c r="G105" s="1">
        <f>Start_Daten!G105</f>
        <v>0</v>
      </c>
      <c r="H105" t="str">
        <f>Start_Daten!H105</f>
        <v>Marie-Christin Kostow</v>
      </c>
      <c r="I105" t="str">
        <f>Start_Daten!I105</f>
        <v>Wossidlo-Gymnasium</v>
      </c>
      <c r="J105">
        <f>Start_Daten!J105</f>
        <v>0</v>
      </c>
      <c r="K105">
        <f>Start_Daten!K105</f>
        <v>0</v>
      </c>
      <c r="L105">
        <f>Start_Daten!L105</f>
        <v>0</v>
      </c>
      <c r="M105" t="str">
        <f>Start_Daten!M105</f>
        <v>Waren</v>
      </c>
      <c r="N105">
        <f>Start_Daten!N105</f>
        <v>0</v>
      </c>
      <c r="O105" s="4">
        <f>Start_Daten!O105</f>
        <v>0</v>
      </c>
    </row>
    <row r="106" spans="1:15">
      <c r="A106" s="1">
        <v>104</v>
      </c>
      <c r="B106" t="str">
        <f>Start_Daten!B106</f>
        <v>MS. Evalt</v>
      </c>
      <c r="C106" s="2">
        <f>Start_Daten!C106</f>
        <v>9.6999999999999993</v>
      </c>
      <c r="E106" s="3">
        <f t="shared" si="1"/>
        <v>0</v>
      </c>
      <c r="F106" s="1">
        <f>Start_Daten!F106</f>
        <v>1700</v>
      </c>
      <c r="G106" s="1">
        <f>Start_Daten!G106</f>
        <v>0</v>
      </c>
      <c r="H106" t="str">
        <f>Start_Daten!H106</f>
        <v>Peter Brand</v>
      </c>
      <c r="I106" t="str">
        <f>Start_Daten!I106</f>
        <v>Wossidlo-Gymnasium</v>
      </c>
      <c r="J106">
        <f>Start_Daten!J106</f>
        <v>0</v>
      </c>
      <c r="K106">
        <f>Start_Daten!K106</f>
        <v>0</v>
      </c>
      <c r="L106">
        <f>Start_Daten!L106</f>
        <v>0</v>
      </c>
      <c r="M106" t="str">
        <f>Start_Daten!M106</f>
        <v>Waren</v>
      </c>
      <c r="N106">
        <f>Start_Daten!N106</f>
        <v>0</v>
      </c>
      <c r="O106" s="4">
        <f>Start_Daten!O106</f>
        <v>0</v>
      </c>
    </row>
    <row r="107" spans="1:15">
      <c r="A107" s="1">
        <v>105</v>
      </c>
      <c r="B107" t="str">
        <f>Start_Daten!B107</f>
        <v>Weisse Rose</v>
      </c>
      <c r="C107" s="2">
        <f>Start_Daten!C107</f>
        <v>9.6999999999999993</v>
      </c>
      <c r="E107" s="3">
        <f t="shared" si="1"/>
        <v>0</v>
      </c>
      <c r="F107" s="1">
        <f>Start_Daten!F107</f>
        <v>1700</v>
      </c>
      <c r="G107" s="1">
        <f>Start_Daten!G107</f>
        <v>0</v>
      </c>
      <c r="H107" t="str">
        <f>Start_Daten!H107</f>
        <v>Marius Roggenbuck</v>
      </c>
      <c r="I107" t="str">
        <f>Start_Daten!I107</f>
        <v>Wossidlo-Gymnasium</v>
      </c>
      <c r="J107">
        <f>Start_Daten!J107</f>
        <v>0</v>
      </c>
      <c r="K107">
        <f>Start_Daten!K107</f>
        <v>0</v>
      </c>
      <c r="L107">
        <f>Start_Daten!L107</f>
        <v>0</v>
      </c>
      <c r="M107" t="str">
        <f>Start_Daten!M107</f>
        <v>Waren</v>
      </c>
      <c r="N107">
        <f>Start_Daten!N107</f>
        <v>0</v>
      </c>
      <c r="O107" s="4">
        <f>Start_Daten!O107</f>
        <v>0</v>
      </c>
    </row>
    <row r="108" spans="1:15">
      <c r="A108" s="1">
        <v>106</v>
      </c>
      <c r="B108" t="str">
        <f>Start_Daten!B108</f>
        <v>DAT</v>
      </c>
      <c r="C108" s="2">
        <f>Start_Daten!C108</f>
        <v>10.199999999999999</v>
      </c>
      <c r="E108" s="3">
        <f t="shared" si="1"/>
        <v>0</v>
      </c>
      <c r="F108" s="1">
        <f>Start_Daten!F108</f>
        <v>1800</v>
      </c>
      <c r="G108" s="1">
        <f>Start_Daten!G108</f>
        <v>0</v>
      </c>
      <c r="H108" t="str">
        <f>Start_Daten!H108</f>
        <v>Trong-Dat Dinh</v>
      </c>
      <c r="I108" t="str">
        <f>Start_Daten!I108</f>
        <v>Wossidlo-Gymnasium</v>
      </c>
      <c r="J108">
        <f>Start_Daten!J108</f>
        <v>0</v>
      </c>
      <c r="K108">
        <f>Start_Daten!K108</f>
        <v>0</v>
      </c>
      <c r="L108">
        <f>Start_Daten!L108</f>
        <v>0</v>
      </c>
      <c r="M108" t="str">
        <f>Start_Daten!M108</f>
        <v>Waren</v>
      </c>
      <c r="N108">
        <f>Start_Daten!N108</f>
        <v>0</v>
      </c>
      <c r="O108" s="4">
        <f>Start_Daten!O108</f>
        <v>0</v>
      </c>
    </row>
    <row r="109" spans="1:15">
      <c r="A109" s="1">
        <v>107</v>
      </c>
      <c r="B109" t="str">
        <f>Start_Daten!B109</f>
        <v>MS Kargow</v>
      </c>
      <c r="C109" s="2">
        <f>Start_Daten!C109</f>
        <v>9.4</v>
      </c>
      <c r="E109" s="3">
        <f t="shared" si="1"/>
        <v>0</v>
      </c>
      <c r="F109" s="1">
        <f>Start_Daten!F109</f>
        <v>1800</v>
      </c>
      <c r="G109" s="1">
        <f>Start_Daten!G109</f>
        <v>0</v>
      </c>
      <c r="H109" t="str">
        <f>Start_Daten!H109</f>
        <v>Maximilian Thurm</v>
      </c>
      <c r="I109" t="str">
        <f>Start_Daten!I109</f>
        <v>Wossidlo-Gymnasium</v>
      </c>
      <c r="J109">
        <f>Start_Daten!J109</f>
        <v>0</v>
      </c>
      <c r="K109">
        <f>Start_Daten!K109</f>
        <v>0</v>
      </c>
      <c r="L109">
        <f>Start_Daten!L109</f>
        <v>0</v>
      </c>
      <c r="M109" t="str">
        <f>Start_Daten!M109</f>
        <v>Waren</v>
      </c>
      <c r="N109">
        <f>Start_Daten!N109</f>
        <v>0</v>
      </c>
      <c r="O109" s="4">
        <f>Start_Daten!O109</f>
        <v>0</v>
      </c>
    </row>
    <row r="110" spans="1:15">
      <c r="A110" s="1">
        <v>108</v>
      </c>
      <c r="B110" t="str">
        <f>Start_Daten!B110</f>
        <v>My Fair Lady</v>
      </c>
      <c r="C110" s="2">
        <f>Start_Daten!C110</f>
        <v>9.8000000000000007</v>
      </c>
      <c r="E110" s="3">
        <f t="shared" si="1"/>
        <v>0</v>
      </c>
      <c r="F110" s="1">
        <f>Start_Daten!F110</f>
        <v>1863</v>
      </c>
      <c r="G110" s="1">
        <f>Start_Daten!G110</f>
        <v>0</v>
      </c>
      <c r="H110" t="str">
        <f>Start_Daten!H110</f>
        <v>Julia Bernert</v>
      </c>
      <c r="I110" t="str">
        <f>Start_Daten!I110</f>
        <v>Wossidlo-Gymnasium</v>
      </c>
      <c r="J110">
        <f>Start_Daten!J110</f>
        <v>0</v>
      </c>
      <c r="K110">
        <f>Start_Daten!K110</f>
        <v>0</v>
      </c>
      <c r="L110">
        <f>Start_Daten!L110</f>
        <v>0</v>
      </c>
      <c r="M110" t="str">
        <f>Start_Daten!M110</f>
        <v>Waren</v>
      </c>
      <c r="N110">
        <f>Start_Daten!N110</f>
        <v>0</v>
      </c>
      <c r="O110" s="4">
        <f>Start_Daten!O110</f>
        <v>0</v>
      </c>
    </row>
    <row r="111" spans="1:15">
      <c r="A111" s="1">
        <v>109</v>
      </c>
      <c r="B111" t="str">
        <f>Start_Daten!B111</f>
        <v>Ü-Boot</v>
      </c>
      <c r="C111" s="2">
        <f>Start_Daten!C111</f>
        <v>9.8000000000000007</v>
      </c>
      <c r="E111" s="3">
        <f t="shared" si="1"/>
        <v>0</v>
      </c>
      <c r="F111" s="1">
        <f>Start_Daten!F111</f>
        <v>1900</v>
      </c>
      <c r="G111" s="1">
        <f>Start_Daten!G111</f>
        <v>0</v>
      </c>
      <c r="H111" t="str">
        <f>Start_Daten!H111</f>
        <v>Lars Erhard Düring</v>
      </c>
      <c r="I111" t="str">
        <f>Start_Daten!I111</f>
        <v>Wossidlo-Gymnasium</v>
      </c>
      <c r="J111">
        <f>Start_Daten!J111</f>
        <v>0</v>
      </c>
      <c r="K111">
        <f>Start_Daten!K111</f>
        <v>0</v>
      </c>
      <c r="L111">
        <f>Start_Daten!L111</f>
        <v>0</v>
      </c>
      <c r="M111" t="str">
        <f>Start_Daten!M111</f>
        <v>Waren</v>
      </c>
      <c r="N111">
        <f>Start_Daten!N111</f>
        <v>0</v>
      </c>
      <c r="O111" s="4">
        <f>Start_Daten!O111</f>
        <v>0</v>
      </c>
    </row>
    <row r="112" spans="1:15">
      <c r="A112" s="1">
        <v>110</v>
      </c>
      <c r="B112" t="str">
        <f>Start_Daten!B112</f>
        <v>BINKS</v>
      </c>
      <c r="C112" s="2">
        <f>Start_Daten!C112</f>
        <v>9.6</v>
      </c>
      <c r="E112" s="3">
        <f t="shared" si="1"/>
        <v>0</v>
      </c>
      <c r="F112" s="1">
        <f>Start_Daten!F112</f>
        <v>2000</v>
      </c>
      <c r="G112" s="1">
        <f>Start_Daten!G112</f>
        <v>0</v>
      </c>
      <c r="H112" t="str">
        <f>Start_Daten!H112</f>
        <v>Laura Groß
Lina Sofie Scholz</v>
      </c>
      <c r="I112" t="str">
        <f>Start_Daten!I112</f>
        <v>Gymnasium Wellingdorf</v>
      </c>
      <c r="J112">
        <f>Start_Daten!J112</f>
        <v>0</v>
      </c>
      <c r="K112" t="str">
        <f>Start_Daten!K112</f>
        <v>Am Park 33</v>
      </c>
      <c r="L112">
        <f>Start_Daten!L112</f>
        <v>24253</v>
      </c>
      <c r="M112" t="str">
        <f>Start_Daten!M112</f>
        <v>Probsteierhagen</v>
      </c>
      <c r="N112">
        <f>Start_Daten!N112</f>
        <v>0</v>
      </c>
      <c r="O112" s="4">
        <f>Start_Daten!O112</f>
        <v>0</v>
      </c>
    </row>
    <row r="113" spans="1:15">
      <c r="A113" s="1">
        <v>111</v>
      </c>
      <c r="B113" t="str">
        <f>Start_Daten!B113</f>
        <v>Expendable</v>
      </c>
      <c r="C113" s="2">
        <f>Start_Daten!C113</f>
        <v>9.6999999999999993</v>
      </c>
      <c r="E113" s="3">
        <f t="shared" si="1"/>
        <v>0</v>
      </c>
      <c r="F113" s="1">
        <f>Start_Daten!F113</f>
        <v>2000</v>
      </c>
      <c r="G113" s="1">
        <f>Start_Daten!G113</f>
        <v>0</v>
      </c>
      <c r="H113" t="str">
        <f>Start_Daten!H113</f>
        <v>Scott Schneider</v>
      </c>
      <c r="I113" t="str">
        <f>Start_Daten!I113</f>
        <v>Wossidlo-Gymnasium</v>
      </c>
      <c r="J113">
        <f>Start_Daten!J113</f>
        <v>0</v>
      </c>
      <c r="K113">
        <f>Start_Daten!K113</f>
        <v>0</v>
      </c>
      <c r="L113">
        <f>Start_Daten!L113</f>
        <v>0</v>
      </c>
      <c r="M113" t="str">
        <f>Start_Daten!M113</f>
        <v>Waren</v>
      </c>
      <c r="N113">
        <f>Start_Daten!N113</f>
        <v>0</v>
      </c>
      <c r="O113" s="4">
        <f>Start_Daten!O113</f>
        <v>0</v>
      </c>
    </row>
    <row r="114" spans="1:15">
      <c r="A114" s="1">
        <v>112</v>
      </c>
      <c r="B114" t="str">
        <f>Start_Daten!B114</f>
        <v>Falter</v>
      </c>
      <c r="C114" s="2">
        <f>Start_Daten!C114</f>
        <v>10.5</v>
      </c>
      <c r="E114" s="3">
        <f t="shared" si="1"/>
        <v>0</v>
      </c>
      <c r="F114" s="1">
        <f>Start_Daten!F114</f>
        <v>2000</v>
      </c>
      <c r="G114" s="1">
        <f>Start_Daten!G114</f>
        <v>0</v>
      </c>
      <c r="H114" t="str">
        <f>Start_Daten!H114</f>
        <v>Gabriele Lüdtke</v>
      </c>
      <c r="I114">
        <f>Start_Daten!I114</f>
        <v>0</v>
      </c>
      <c r="J114">
        <f>Start_Daten!J114</f>
        <v>0</v>
      </c>
      <c r="K114" t="str">
        <f>Start_Daten!K114</f>
        <v>Am Ring 5</v>
      </c>
      <c r="L114">
        <f>Start_Daten!L114</f>
        <v>18249</v>
      </c>
      <c r="M114" t="str">
        <f>Start_Daten!M114</f>
        <v>Dreetz</v>
      </c>
      <c r="N114">
        <f>Start_Daten!N114</f>
        <v>0</v>
      </c>
      <c r="O114" s="4">
        <f>Start_Daten!O114</f>
        <v>0</v>
      </c>
    </row>
    <row r="115" spans="1:15">
      <c r="A115" s="1">
        <v>113</v>
      </c>
      <c r="B115" t="str">
        <f>Start_Daten!B115</f>
        <v>H3H7</v>
      </c>
      <c r="C115" s="2">
        <f>Start_Daten!C115</f>
        <v>8.1999999999999993</v>
      </c>
      <c r="E115" s="3">
        <f t="shared" si="1"/>
        <v>0</v>
      </c>
      <c r="F115" s="1">
        <f>Start_Daten!F115</f>
        <v>2000</v>
      </c>
      <c r="G115" s="1">
        <f>Start_Daten!G115</f>
        <v>0</v>
      </c>
      <c r="H115" t="str">
        <f>Start_Daten!H115</f>
        <v>Fredy Lüdtke</v>
      </c>
      <c r="I115">
        <f>Start_Daten!I115</f>
        <v>0</v>
      </c>
      <c r="J115">
        <f>Start_Daten!J115</f>
        <v>0</v>
      </c>
      <c r="K115">
        <f>Start_Daten!K115</f>
        <v>0</v>
      </c>
      <c r="L115">
        <f>Start_Daten!L115</f>
        <v>0</v>
      </c>
      <c r="M115" t="str">
        <f>Start_Daten!M115</f>
        <v>Groß Roge</v>
      </c>
      <c r="N115">
        <f>Start_Daten!N115</f>
        <v>0</v>
      </c>
      <c r="O115" s="4">
        <f>Start_Daten!O115</f>
        <v>0</v>
      </c>
    </row>
    <row r="116" spans="1:15">
      <c r="A116" s="1">
        <v>114</v>
      </c>
      <c r="B116" t="str">
        <f>Start_Daten!B116</f>
        <v>Königswasser B1</v>
      </c>
      <c r="C116" s="2">
        <f>Start_Daten!C116</f>
        <v>9.8000000000000007</v>
      </c>
      <c r="E116" s="3">
        <f t="shared" si="1"/>
        <v>0</v>
      </c>
      <c r="F116" s="1">
        <f>Start_Daten!F116</f>
        <v>2000</v>
      </c>
      <c r="G116" s="1">
        <f>Start_Daten!G116</f>
        <v>0</v>
      </c>
      <c r="H116" t="str">
        <f>Start_Daten!H116</f>
        <v>Wolfgang Böttcher</v>
      </c>
      <c r="I116">
        <f>Start_Daten!I116</f>
        <v>0</v>
      </c>
      <c r="J116">
        <f>Start_Daten!J116</f>
        <v>0</v>
      </c>
      <c r="K116" t="str">
        <f>Start_Daten!K116</f>
        <v>Maßmannstr. 23</v>
      </c>
      <c r="L116">
        <f>Start_Daten!L116</f>
        <v>18057</v>
      </c>
      <c r="M116" t="str">
        <f>Start_Daten!M116</f>
        <v>Rostock</v>
      </c>
      <c r="N116">
        <f>Start_Daten!N116</f>
        <v>0</v>
      </c>
      <c r="O116" s="4">
        <f>Start_Daten!O116</f>
        <v>0</v>
      </c>
    </row>
    <row r="117" spans="1:15">
      <c r="A117" s="1">
        <v>115</v>
      </c>
      <c r="B117" t="str">
        <f>Start_Daten!B117</f>
        <v>Max</v>
      </c>
      <c r="C117" s="2">
        <f>Start_Daten!C117</f>
        <v>8.6</v>
      </c>
      <c r="E117" s="3">
        <f t="shared" si="1"/>
        <v>0</v>
      </c>
      <c r="F117" s="1">
        <f>Start_Daten!F117</f>
        <v>2000</v>
      </c>
      <c r="G117" s="1">
        <f>Start_Daten!G117</f>
        <v>0</v>
      </c>
      <c r="H117" t="str">
        <f>Start_Daten!H117</f>
        <v>Marlene Lüdtke</v>
      </c>
      <c r="I117">
        <f>Start_Daten!I117</f>
        <v>0</v>
      </c>
      <c r="J117">
        <f>Start_Daten!J117</f>
        <v>0</v>
      </c>
      <c r="K117">
        <f>Start_Daten!K117</f>
        <v>0</v>
      </c>
      <c r="L117">
        <f>Start_Daten!L117</f>
        <v>0</v>
      </c>
      <c r="M117" t="str">
        <f>Start_Daten!M117</f>
        <v>Groß Roge</v>
      </c>
      <c r="N117">
        <f>Start_Daten!N117</f>
        <v>0</v>
      </c>
      <c r="O117" s="4">
        <f>Start_Daten!O117</f>
        <v>0</v>
      </c>
    </row>
    <row r="118" spans="1:15">
      <c r="A118" s="1">
        <v>116</v>
      </c>
      <c r="B118" t="str">
        <f>Start_Daten!B118</f>
        <v>Moritz</v>
      </c>
      <c r="C118" s="2">
        <f>Start_Daten!C118</f>
        <v>10</v>
      </c>
      <c r="E118" s="3">
        <f t="shared" si="1"/>
        <v>0</v>
      </c>
      <c r="F118" s="1">
        <f>Start_Daten!F118</f>
        <v>2000</v>
      </c>
      <c r="G118" s="1">
        <f>Start_Daten!G118</f>
        <v>0</v>
      </c>
      <c r="H118" t="str">
        <f>Start_Daten!H118</f>
        <v>Marlene Lüdtke</v>
      </c>
      <c r="I118">
        <f>Start_Daten!I118</f>
        <v>0</v>
      </c>
      <c r="J118">
        <f>Start_Daten!J118</f>
        <v>0</v>
      </c>
      <c r="K118">
        <f>Start_Daten!K118</f>
        <v>0</v>
      </c>
      <c r="L118">
        <f>Start_Daten!L118</f>
        <v>0</v>
      </c>
      <c r="M118" t="str">
        <f>Start_Daten!M118</f>
        <v>Groß Roge</v>
      </c>
      <c r="N118">
        <f>Start_Daten!N118</f>
        <v>0</v>
      </c>
      <c r="O118" s="4">
        <f>Start_Daten!O118</f>
        <v>0</v>
      </c>
    </row>
    <row r="119" spans="1:15">
      <c r="A119" s="1">
        <v>117</v>
      </c>
      <c r="B119" t="str">
        <f>Start_Daten!B119</f>
        <v>N1H7</v>
      </c>
      <c r="C119" s="2">
        <f>Start_Daten!C119</f>
        <v>8.6999999999999993</v>
      </c>
      <c r="E119" s="3">
        <f t="shared" si="1"/>
        <v>0</v>
      </c>
      <c r="F119" s="1">
        <f>Start_Daten!F119</f>
        <v>2000</v>
      </c>
      <c r="G119" s="1">
        <f>Start_Daten!G119</f>
        <v>0</v>
      </c>
      <c r="H119" t="str">
        <f>Start_Daten!H119</f>
        <v>Fredy Lüdtke</v>
      </c>
      <c r="I119">
        <f>Start_Daten!I119</f>
        <v>0</v>
      </c>
      <c r="J119">
        <f>Start_Daten!J119</f>
        <v>0</v>
      </c>
      <c r="K119">
        <f>Start_Daten!K119</f>
        <v>0</v>
      </c>
      <c r="L119">
        <f>Start_Daten!L119</f>
        <v>0</v>
      </c>
      <c r="M119" t="str">
        <f>Start_Daten!M119</f>
        <v>Groß Roge</v>
      </c>
      <c r="N119">
        <f>Start_Daten!N119</f>
        <v>0</v>
      </c>
      <c r="O119" s="4">
        <f>Start_Daten!O119</f>
        <v>0</v>
      </c>
    </row>
    <row r="120" spans="1:15">
      <c r="A120" s="1">
        <v>118</v>
      </c>
      <c r="B120" t="str">
        <f>Start_Daten!B120</f>
        <v>Taifun</v>
      </c>
      <c r="C120" s="2">
        <f>Start_Daten!C120</f>
        <v>10.199999999999999</v>
      </c>
      <c r="E120" s="3">
        <f t="shared" si="1"/>
        <v>0</v>
      </c>
      <c r="F120" s="1">
        <f>Start_Daten!F120</f>
        <v>2000</v>
      </c>
      <c r="G120" s="1">
        <f>Start_Daten!G120</f>
        <v>0</v>
      </c>
      <c r="H120" t="str">
        <f>Start_Daten!H120</f>
        <v>Gabriele Lüdtke</v>
      </c>
      <c r="I120">
        <f>Start_Daten!I120</f>
        <v>0</v>
      </c>
      <c r="J120">
        <f>Start_Daten!J120</f>
        <v>0</v>
      </c>
      <c r="K120" t="str">
        <f>Start_Daten!K120</f>
        <v>Am Ring 5</v>
      </c>
      <c r="L120">
        <f>Start_Daten!L120</f>
        <v>18249</v>
      </c>
      <c r="M120" t="str">
        <f>Start_Daten!M120</f>
        <v>Dreetz</v>
      </c>
      <c r="N120">
        <f>Start_Daten!N120</f>
        <v>0</v>
      </c>
      <c r="O120" s="4">
        <f>Start_Daten!O120</f>
        <v>0</v>
      </c>
    </row>
    <row r="121" spans="1:15">
      <c r="A121" s="1">
        <v>119</v>
      </c>
      <c r="B121" t="str">
        <f>Start_Daten!B121</f>
        <v>Top</v>
      </c>
      <c r="C121" s="2">
        <f>Start_Daten!C121</f>
        <v>9.5</v>
      </c>
      <c r="E121" s="3">
        <f t="shared" si="1"/>
        <v>0</v>
      </c>
      <c r="F121" s="1">
        <f>Start_Daten!F121</f>
        <v>2000</v>
      </c>
      <c r="G121" s="1">
        <f>Start_Daten!G121</f>
        <v>0</v>
      </c>
      <c r="H121" t="str">
        <f>Start_Daten!H121</f>
        <v>Tom Kuhl</v>
      </c>
      <c r="I121" t="str">
        <f>Start_Daten!I121</f>
        <v>Ernst-Abbe-Gymnasium</v>
      </c>
      <c r="J121">
        <f>Start_Daten!J121</f>
        <v>0</v>
      </c>
      <c r="K121" t="str">
        <f>Start_Daten!K121</f>
        <v>Hölderlinweg 1</v>
      </c>
      <c r="L121">
        <f>Start_Daten!L121</f>
        <v>73447</v>
      </c>
      <c r="M121" t="str">
        <f>Start_Daten!M121</f>
        <v>Oberkochen</v>
      </c>
      <c r="N121">
        <f>Start_Daten!N121</f>
        <v>0</v>
      </c>
      <c r="O121" s="4">
        <f>Start_Daten!O121</f>
        <v>0</v>
      </c>
    </row>
    <row r="122" spans="1:15">
      <c r="A122" s="1">
        <v>120</v>
      </c>
      <c r="B122" t="str">
        <f>Start_Daten!B122</f>
        <v>und da</v>
      </c>
      <c r="C122" s="2">
        <f>Start_Daten!C122</f>
        <v>8.3000000000000007</v>
      </c>
      <c r="E122" s="3">
        <f t="shared" si="1"/>
        <v>0</v>
      </c>
      <c r="F122" s="1">
        <f>Start_Daten!F122</f>
        <v>2000</v>
      </c>
      <c r="G122" s="1">
        <f>Start_Daten!G122</f>
        <v>0</v>
      </c>
      <c r="H122" t="str">
        <f>Start_Daten!H122</f>
        <v>Hartmut Lüdtke</v>
      </c>
      <c r="I122">
        <f>Start_Daten!I122</f>
        <v>0</v>
      </c>
      <c r="J122">
        <f>Start_Daten!J122</f>
        <v>0</v>
      </c>
      <c r="K122">
        <f>Start_Daten!K122</f>
        <v>0</v>
      </c>
      <c r="L122">
        <f>Start_Daten!L122</f>
        <v>0</v>
      </c>
      <c r="M122">
        <f>Start_Daten!M122</f>
        <v>0</v>
      </c>
      <c r="N122">
        <f>Start_Daten!N122</f>
        <v>0</v>
      </c>
      <c r="O122" s="4">
        <f>Start_Daten!O122</f>
        <v>0</v>
      </c>
    </row>
    <row r="123" spans="1:15">
      <c r="A123" s="1">
        <v>121</v>
      </c>
      <c r="B123" t="str">
        <f>Start_Daten!B123</f>
        <v>und weg</v>
      </c>
      <c r="C123" s="2">
        <f>Start_Daten!C123</f>
        <v>8.1999999999999993</v>
      </c>
      <c r="E123" s="3">
        <f t="shared" si="1"/>
        <v>0</v>
      </c>
      <c r="F123" s="1">
        <f>Start_Daten!F123</f>
        <v>2000</v>
      </c>
      <c r="G123" s="1">
        <f>Start_Daten!G123</f>
        <v>0</v>
      </c>
      <c r="H123" t="str">
        <f>Start_Daten!H123</f>
        <v>Hartmut Lüdtke</v>
      </c>
      <c r="I123">
        <f>Start_Daten!I123</f>
        <v>0</v>
      </c>
      <c r="J123">
        <f>Start_Daten!J123</f>
        <v>0</v>
      </c>
      <c r="K123">
        <f>Start_Daten!K123</f>
        <v>0</v>
      </c>
      <c r="L123">
        <f>Start_Daten!L123</f>
        <v>0</v>
      </c>
      <c r="M123">
        <f>Start_Daten!M123</f>
        <v>0</v>
      </c>
      <c r="N123">
        <f>Start_Daten!N123</f>
        <v>0</v>
      </c>
      <c r="O123" s="4">
        <f>Start_Daten!O123</f>
        <v>0</v>
      </c>
    </row>
    <row r="124" spans="1:15">
      <c r="A124" s="1">
        <v>122</v>
      </c>
      <c r="B124" t="str">
        <f>Start_Daten!B124</f>
        <v>Zum Schluss</v>
      </c>
      <c r="C124" s="2">
        <f>Start_Daten!C124</f>
        <v>9.8000000000000007</v>
      </c>
      <c r="E124" s="3">
        <f t="shared" si="1"/>
        <v>0</v>
      </c>
      <c r="F124" s="1">
        <f>Start_Daten!F124</f>
        <v>2000</v>
      </c>
      <c r="G124" s="1">
        <f>Start_Daten!G124</f>
        <v>0</v>
      </c>
      <c r="H124" t="str">
        <f>Start_Daten!H124</f>
        <v>Jessika Lüdtke</v>
      </c>
      <c r="I124">
        <f>Start_Daten!I124</f>
        <v>0</v>
      </c>
      <c r="J124">
        <f>Start_Daten!J124</f>
        <v>0</v>
      </c>
      <c r="K124" t="str">
        <f>Start_Daten!K124</f>
        <v>Am Ring 5</v>
      </c>
      <c r="L124">
        <f>Start_Daten!L124</f>
        <v>18249</v>
      </c>
      <c r="M124" t="str">
        <f>Start_Daten!M124</f>
        <v>Dreetz</v>
      </c>
      <c r="N124">
        <f>Start_Daten!N124</f>
        <v>0</v>
      </c>
      <c r="O124" s="4">
        <f>Start_Daten!O124</f>
        <v>0</v>
      </c>
    </row>
    <row r="125" spans="1:15">
      <c r="A125" s="1">
        <v>123</v>
      </c>
      <c r="B125" t="str">
        <f>Start_Daten!B125</f>
        <v>Zum Schößchen</v>
      </c>
      <c r="C125" s="2">
        <f>Start_Daten!C125</f>
        <v>8.6999999999999993</v>
      </c>
      <c r="E125" s="3">
        <f t="shared" si="1"/>
        <v>0</v>
      </c>
      <c r="F125" s="1">
        <f>Start_Daten!F125</f>
        <v>2000</v>
      </c>
      <c r="G125" s="1">
        <f>Start_Daten!G125</f>
        <v>0</v>
      </c>
      <c r="H125" t="str">
        <f>Start_Daten!H125</f>
        <v>Jessika Lüdtke</v>
      </c>
      <c r="I125">
        <f>Start_Daten!I125</f>
        <v>0</v>
      </c>
      <c r="J125">
        <f>Start_Daten!J125</f>
        <v>0</v>
      </c>
      <c r="K125" t="str">
        <f>Start_Daten!K125</f>
        <v>Am Ring 5</v>
      </c>
      <c r="L125">
        <f>Start_Daten!L125</f>
        <v>18249</v>
      </c>
      <c r="M125" t="str">
        <f>Start_Daten!M125</f>
        <v>Dreetz</v>
      </c>
      <c r="N125">
        <f>Start_Daten!N125</f>
        <v>0</v>
      </c>
      <c r="O125" s="4">
        <f>Start_Daten!O125</f>
        <v>0</v>
      </c>
    </row>
    <row r="126" spans="1:15">
      <c r="A126" s="1">
        <v>124</v>
      </c>
      <c r="B126" t="str">
        <f>Start_Daten!B126</f>
        <v>Neptun</v>
      </c>
      <c r="C126" s="2">
        <f>Start_Daten!C126</f>
        <v>10</v>
      </c>
      <c r="E126" s="3">
        <f t="shared" si="1"/>
        <v>0</v>
      </c>
      <c r="F126" s="1">
        <f>Start_Daten!F126</f>
        <v>2100</v>
      </c>
      <c r="G126" s="1">
        <f>Start_Daten!G126</f>
        <v>0</v>
      </c>
      <c r="H126" t="str">
        <f>Start_Daten!H126</f>
        <v>Benjamin Wittke</v>
      </c>
      <c r="I126" t="str">
        <f>Start_Daten!I126</f>
        <v>Wossidlo-Gymnasium</v>
      </c>
      <c r="J126">
        <f>Start_Daten!J126</f>
        <v>0</v>
      </c>
      <c r="K126">
        <f>Start_Daten!K126</f>
        <v>0</v>
      </c>
      <c r="L126">
        <f>Start_Daten!L126</f>
        <v>0</v>
      </c>
      <c r="M126" t="str">
        <f>Start_Daten!M126</f>
        <v>Waren</v>
      </c>
      <c r="N126">
        <f>Start_Daten!N126</f>
        <v>0</v>
      </c>
      <c r="O126" s="4">
        <f>Start_Daten!O126</f>
        <v>0</v>
      </c>
    </row>
    <row r="127" spans="1:15">
      <c r="A127" s="1">
        <v>125</v>
      </c>
      <c r="B127" t="str">
        <f>Start_Daten!B127</f>
        <v>Elfenblüte</v>
      </c>
      <c r="C127" s="2">
        <f>Start_Daten!C127</f>
        <v>10.4</v>
      </c>
      <c r="E127" s="3">
        <f t="shared" si="1"/>
        <v>0</v>
      </c>
      <c r="F127" s="1">
        <f>Start_Daten!F127</f>
        <v>2200</v>
      </c>
      <c r="G127" s="1" t="str">
        <f>Start_Daten!G127</f>
        <v>x</v>
      </c>
      <c r="H127" t="str">
        <f>Start_Daten!H127</f>
        <v>Marieke Hollje
Frank Pinte Hollje</v>
      </c>
      <c r="I127">
        <f>Start_Daten!I127</f>
        <v>0</v>
      </c>
      <c r="J127">
        <f>Start_Daten!J127</f>
        <v>0</v>
      </c>
      <c r="K127" t="str">
        <f>Start_Daten!K127</f>
        <v>Rösselstr. 4</v>
      </c>
      <c r="L127">
        <f>Start_Daten!L127</f>
        <v>86609</v>
      </c>
      <c r="M127" t="str">
        <f>Start_Daten!M127</f>
        <v>Donauwörth</v>
      </c>
      <c r="N127" t="str">
        <f>Start_Daten!N127</f>
        <v>0906-7056764</v>
      </c>
      <c r="O127" s="4" t="str">
        <f>Start_Daten!O127</f>
        <v>frankhollje@t-online.de</v>
      </c>
    </row>
    <row r="128" spans="1:15">
      <c r="A128" s="1">
        <v>126</v>
      </c>
      <c r="B128" t="str">
        <f>Start_Daten!B128</f>
        <v>LINKS</v>
      </c>
      <c r="C128" s="2">
        <f>Start_Daten!C128</f>
        <v>9.4</v>
      </c>
      <c r="E128" s="3">
        <f t="shared" si="1"/>
        <v>0</v>
      </c>
      <c r="F128" s="1">
        <f>Start_Daten!F128</f>
        <v>2225</v>
      </c>
      <c r="G128" s="1" t="str">
        <f>Start_Daten!G128</f>
        <v>x</v>
      </c>
      <c r="H128" t="str">
        <f>Start_Daten!H128</f>
        <v>Lina Sofie Scholz
Laura Groß</v>
      </c>
      <c r="I128">
        <f>Start_Daten!I128</f>
        <v>0</v>
      </c>
      <c r="J128">
        <f>Start_Daten!J128</f>
        <v>0</v>
      </c>
      <c r="K128" t="str">
        <f>Start_Daten!K128</f>
        <v>Am Königsmoor 9</v>
      </c>
      <c r="L128">
        <f>Start_Daten!L128</f>
        <v>24248</v>
      </c>
      <c r="M128" t="str">
        <f>Start_Daten!M128</f>
        <v>Mönkeberg</v>
      </c>
      <c r="N128">
        <f>Start_Daten!N128</f>
        <v>0</v>
      </c>
      <c r="O128" s="4">
        <f>Start_Daten!O128</f>
        <v>0</v>
      </c>
    </row>
    <row r="129" spans="1:15">
      <c r="A129" s="1">
        <v>127</v>
      </c>
      <c r="B129" t="str">
        <f>Start_Daten!B129</f>
        <v>MS Mississippi</v>
      </c>
      <c r="C129" s="2">
        <f>Start_Daten!C129</f>
        <v>9.5</v>
      </c>
      <c r="E129" s="3">
        <f t="shared" si="1"/>
        <v>0</v>
      </c>
      <c r="F129" s="1">
        <f>Start_Daten!F129</f>
        <v>2250</v>
      </c>
      <c r="G129" s="1">
        <f>Start_Daten!G129</f>
        <v>0</v>
      </c>
      <c r="H129" t="str">
        <f>Start_Daten!H129</f>
        <v>Benno Weischer</v>
      </c>
      <c r="I129">
        <f>Start_Daten!I129</f>
        <v>0</v>
      </c>
      <c r="J129">
        <f>Start_Daten!J129</f>
        <v>0</v>
      </c>
      <c r="K129" t="str">
        <f>Start_Daten!K129</f>
        <v>Perleberger Str.44</v>
      </c>
      <c r="L129">
        <f>Start_Daten!L129</f>
        <v>10559</v>
      </c>
      <c r="M129" t="str">
        <f>Start_Daten!M129</f>
        <v>Berlin</v>
      </c>
      <c r="N129" t="str">
        <f>Start_Daten!N129</f>
        <v>0177/21000017</v>
      </c>
      <c r="O129" s="4" t="str">
        <f>Start_Daten!O129</f>
        <v>benno.weischer@t-online.de</v>
      </c>
    </row>
    <row r="130" spans="1:15">
      <c r="A130" s="1">
        <v>128</v>
      </c>
      <c r="B130" t="str">
        <f>Start_Daten!B130</f>
        <v>PB10</v>
      </c>
      <c r="C130" s="2">
        <f>Start_Daten!C130</f>
        <v>9.8000000000000007</v>
      </c>
      <c r="E130" s="3">
        <f t="shared" si="1"/>
        <v>0</v>
      </c>
      <c r="F130" s="1">
        <f>Start_Daten!F130</f>
        <v>2500</v>
      </c>
      <c r="G130" s="1">
        <f>Start_Daten!G130</f>
        <v>0</v>
      </c>
      <c r="H130" t="str">
        <f>Start_Daten!H130</f>
        <v>Martin Eckermann</v>
      </c>
      <c r="I130">
        <f>Start_Daten!I130</f>
        <v>0</v>
      </c>
      <c r="J130">
        <f>Start_Daten!J130</f>
        <v>0</v>
      </c>
      <c r="K130" t="str">
        <f>Start_Daten!K130</f>
        <v>Luttermann Str. 3</v>
      </c>
      <c r="L130">
        <f>Start_Daten!L130</f>
        <v>18055</v>
      </c>
      <c r="M130" t="str">
        <f>Start_Daten!M130</f>
        <v>Rostock</v>
      </c>
      <c r="N130">
        <f>Start_Daten!N130</f>
        <v>0</v>
      </c>
      <c r="O130" s="4">
        <f>Start_Daten!O130</f>
        <v>0</v>
      </c>
    </row>
    <row r="131" spans="1:15">
      <c r="A131" s="1">
        <v>129</v>
      </c>
      <c r="B131" t="str">
        <f>Start_Daten!B131</f>
        <v>Jonas</v>
      </c>
      <c r="C131" s="2">
        <f>Start_Daten!C131</f>
        <v>9.4</v>
      </c>
      <c r="E131" s="3">
        <f t="shared" si="1"/>
        <v>0</v>
      </c>
      <c r="F131" s="1">
        <f>Start_Daten!F131</f>
        <v>2700</v>
      </c>
      <c r="G131" s="1">
        <f>Start_Daten!G131</f>
        <v>0</v>
      </c>
      <c r="H131" t="str">
        <f>Start_Daten!H131</f>
        <v>Benjamin Wittke</v>
      </c>
      <c r="I131" t="str">
        <f>Start_Daten!I131</f>
        <v>Wossidlo-Gymnasium</v>
      </c>
      <c r="J131">
        <f>Start_Daten!J131</f>
        <v>0</v>
      </c>
      <c r="K131">
        <f>Start_Daten!K131</f>
        <v>0</v>
      </c>
      <c r="L131">
        <f>Start_Daten!L131</f>
        <v>0</v>
      </c>
      <c r="M131" t="str">
        <f>Start_Daten!M131</f>
        <v>Waren</v>
      </c>
      <c r="N131">
        <f>Start_Daten!N131</f>
        <v>0</v>
      </c>
      <c r="O131" s="4">
        <f>Start_Daten!O131</f>
        <v>0</v>
      </c>
    </row>
    <row r="132" spans="1:15">
      <c r="A132" s="1">
        <v>130</v>
      </c>
      <c r="B132" t="str">
        <f>Start_Daten!B132</f>
        <v>Silberhauch</v>
      </c>
      <c r="C132" s="2">
        <f>Start_Daten!C132</f>
        <v>10</v>
      </c>
      <c r="E132" s="3">
        <f t="shared" ref="E132:E195" si="2">IF(C132&gt;0,D132/C132,"")</f>
        <v>0</v>
      </c>
      <c r="F132" s="1">
        <f>Start_Daten!F132</f>
        <v>2800</v>
      </c>
      <c r="G132" s="1" t="str">
        <f>Start_Daten!G132</f>
        <v>x</v>
      </c>
      <c r="H132" t="str">
        <f>Start_Daten!H132</f>
        <v>Marieke Hollje
Frank Pinte Hollje</v>
      </c>
      <c r="I132">
        <f>Start_Daten!I132</f>
        <v>0</v>
      </c>
      <c r="J132">
        <f>Start_Daten!J132</f>
        <v>0</v>
      </c>
      <c r="K132" t="str">
        <f>Start_Daten!K132</f>
        <v>Rösselstr. 4</v>
      </c>
      <c r="L132">
        <f>Start_Daten!L132</f>
        <v>86609</v>
      </c>
      <c r="M132" t="str">
        <f>Start_Daten!M132</f>
        <v>Donauwörth</v>
      </c>
      <c r="N132" t="str">
        <f>Start_Daten!N132</f>
        <v>0906-7056764</v>
      </c>
      <c r="O132" s="4" t="str">
        <f>Start_Daten!O132</f>
        <v>frankhollje@t-online.de</v>
      </c>
    </row>
    <row r="133" spans="1:15">
      <c r="A133" s="1">
        <v>131</v>
      </c>
      <c r="B133" t="str">
        <f>Start_Daten!B133</f>
        <v>Revolutio</v>
      </c>
      <c r="C133" s="2">
        <f>Start_Daten!C133</f>
        <v>11.2</v>
      </c>
      <c r="E133" s="3">
        <f t="shared" si="2"/>
        <v>0</v>
      </c>
      <c r="F133" s="1">
        <f>Start_Daten!F133</f>
        <v>2900</v>
      </c>
      <c r="G133" s="1">
        <f>Start_Daten!G133</f>
        <v>0</v>
      </c>
      <c r="H133" t="str">
        <f>Start_Daten!H133</f>
        <v>Jacobo Fuentes Arévalo</v>
      </c>
      <c r="I133" t="str">
        <f>Start_Daten!I133</f>
        <v>Polytechnic University of Madrid</v>
      </c>
      <c r="J133">
        <f>Start_Daten!J133</f>
        <v>0</v>
      </c>
      <c r="K133">
        <f>Start_Daten!K133</f>
        <v>0</v>
      </c>
      <c r="L133">
        <f>Start_Daten!L133</f>
        <v>0</v>
      </c>
      <c r="M133">
        <f>Start_Daten!M133</f>
        <v>0</v>
      </c>
      <c r="N133">
        <f>Start_Daten!N133</f>
        <v>0</v>
      </c>
      <c r="O133" s="4">
        <f>Start_Daten!O133</f>
        <v>0</v>
      </c>
    </row>
    <row r="134" spans="1:15">
      <c r="A134" s="1">
        <v>132</v>
      </c>
      <c r="B134" t="str">
        <f>Start_Daten!B134</f>
        <v>PB02</v>
      </c>
      <c r="C134" s="2">
        <f>Start_Daten!C134</f>
        <v>10</v>
      </c>
      <c r="E134" s="3">
        <f t="shared" si="2"/>
        <v>0</v>
      </c>
      <c r="F134" s="1">
        <f>Start_Daten!F134</f>
        <v>3200</v>
      </c>
      <c r="G134" s="1">
        <f>Start_Daten!G134</f>
        <v>0</v>
      </c>
      <c r="H134" t="str">
        <f>Start_Daten!H134</f>
        <v>Martin Eckermann</v>
      </c>
      <c r="I134">
        <f>Start_Daten!I134</f>
        <v>0</v>
      </c>
      <c r="J134">
        <f>Start_Daten!J134</f>
        <v>0</v>
      </c>
      <c r="K134" t="str">
        <f>Start_Daten!K134</f>
        <v>Luttermann Str. 3</v>
      </c>
      <c r="L134">
        <f>Start_Daten!L134</f>
        <v>18055</v>
      </c>
      <c r="M134" t="str">
        <f>Start_Daten!M134</f>
        <v>Rostock</v>
      </c>
      <c r="N134">
        <f>Start_Daten!N134</f>
        <v>0</v>
      </c>
      <c r="O134" s="4">
        <f>Start_Daten!O134</f>
        <v>0</v>
      </c>
    </row>
    <row r="135" spans="1:15">
      <c r="A135" s="1">
        <v>133</v>
      </c>
      <c r="B135" t="str">
        <f>Start_Daten!B135</f>
        <v>Corny 2013</v>
      </c>
      <c r="C135" s="2">
        <f>Start_Daten!C135</f>
        <v>7.5</v>
      </c>
      <c r="E135" s="3">
        <f t="shared" si="2"/>
        <v>0</v>
      </c>
      <c r="F135" s="1">
        <f>Start_Daten!F135</f>
        <v>3500</v>
      </c>
      <c r="G135" s="1" t="str">
        <f>Start_Daten!G135</f>
        <v>x</v>
      </c>
      <c r="H135" t="str">
        <f>Start_Daten!H135</f>
        <v>C. Cornilsen</v>
      </c>
      <c r="I135" t="str">
        <f>Start_Daten!I135</f>
        <v>Jungmannschule Eckernförde</v>
      </c>
      <c r="J135">
        <f>Start_Daten!J135</f>
        <v>0</v>
      </c>
      <c r="K135">
        <f>Start_Daten!K135</f>
        <v>0</v>
      </c>
      <c r="L135">
        <f>Start_Daten!L135</f>
        <v>0</v>
      </c>
      <c r="M135" t="str">
        <f>Start_Daten!M135</f>
        <v>Eckernförde</v>
      </c>
      <c r="N135">
        <f>Start_Daten!N135</f>
        <v>0</v>
      </c>
      <c r="O135" s="4">
        <f>Start_Daten!O135</f>
        <v>0</v>
      </c>
    </row>
    <row r="136" spans="1:15">
      <c r="A136" s="1">
        <v>134</v>
      </c>
      <c r="B136" t="str">
        <f>Start_Daten!B136</f>
        <v>Nuestra Senora de las Mercedes</v>
      </c>
      <c r="C136" s="2">
        <f>Start_Daten!C136</f>
        <v>7.7</v>
      </c>
      <c r="E136" s="3">
        <f t="shared" si="2"/>
        <v>0</v>
      </c>
      <c r="F136" s="1">
        <f>Start_Daten!F136</f>
        <v>4000</v>
      </c>
      <c r="G136" s="1">
        <f>Start_Daten!G136</f>
        <v>0</v>
      </c>
      <c r="H136" t="str">
        <f>Start_Daten!H136</f>
        <v>Rafael dÀmore Domenech</v>
      </c>
      <c r="I136" t="str">
        <f>Start_Daten!I136</f>
        <v>Polytechnic University of Madrid</v>
      </c>
      <c r="J136">
        <f>Start_Daten!J136</f>
        <v>0</v>
      </c>
      <c r="K136">
        <f>Start_Daten!K136</f>
        <v>0</v>
      </c>
      <c r="L136">
        <f>Start_Daten!L136</f>
        <v>0</v>
      </c>
      <c r="M136">
        <f>Start_Daten!M136</f>
        <v>0</v>
      </c>
      <c r="N136">
        <f>Start_Daten!N136</f>
        <v>0</v>
      </c>
      <c r="O136" s="4">
        <f>Start_Daten!O136</f>
        <v>0</v>
      </c>
    </row>
    <row r="137" spans="1:15">
      <c r="A137" s="1">
        <v>135</v>
      </c>
      <c r="B137" t="str">
        <f>Start_Daten!B137</f>
        <v>Bodo</v>
      </c>
      <c r="C137" s="2">
        <f>Start_Daten!C137</f>
        <v>11</v>
      </c>
      <c r="E137" s="3">
        <f t="shared" si="2"/>
        <v>0</v>
      </c>
      <c r="F137" s="1">
        <f>Start_Daten!F137</f>
        <v>4500</v>
      </c>
      <c r="G137" s="1">
        <f>Start_Daten!G137</f>
        <v>0</v>
      </c>
      <c r="H137" t="str">
        <f>Start_Daten!H137</f>
        <v>Bodo Jackstell</v>
      </c>
      <c r="I137">
        <f>Start_Daten!I137</f>
        <v>0</v>
      </c>
      <c r="J137">
        <f>Start_Daten!J137</f>
        <v>0</v>
      </c>
      <c r="K137" t="str">
        <f>Start_Daten!K137</f>
        <v>Wilhelm-Pieck-Ring 21</v>
      </c>
      <c r="L137">
        <f>Start_Daten!L137</f>
        <v>18528</v>
      </c>
      <c r="M137" t="str">
        <f>Start_Daten!M137</f>
        <v>Bergen auf Rügen</v>
      </c>
      <c r="N137">
        <f>Start_Daten!N137</f>
        <v>0</v>
      </c>
      <c r="O137" s="4">
        <f>Start_Daten!O137</f>
        <v>0</v>
      </c>
    </row>
    <row r="138" spans="1:15">
      <c r="A138" s="1">
        <v>136</v>
      </c>
      <c r="B138" t="str">
        <f>Start_Daten!B138</f>
        <v>Corny II 2013</v>
      </c>
      <c r="C138" s="2">
        <f>Start_Daten!C138</f>
        <v>11.3</v>
      </c>
      <c r="E138" s="3">
        <f t="shared" si="2"/>
        <v>0</v>
      </c>
      <c r="F138" s="1">
        <f>Start_Daten!F138</f>
        <v>4500</v>
      </c>
      <c r="G138" s="1">
        <f>Start_Daten!G138</f>
        <v>0</v>
      </c>
      <c r="H138" t="str">
        <f>Start_Daten!H138</f>
        <v>C. Cornilsen</v>
      </c>
      <c r="I138" t="str">
        <f>Start_Daten!I138</f>
        <v>Jungmannschule Eckernförde</v>
      </c>
      <c r="J138">
        <f>Start_Daten!J138</f>
        <v>0</v>
      </c>
      <c r="K138">
        <f>Start_Daten!K138</f>
        <v>0</v>
      </c>
      <c r="L138">
        <f>Start_Daten!L138</f>
        <v>0</v>
      </c>
      <c r="M138" t="str">
        <f>Start_Daten!M138</f>
        <v>Eckernförde</v>
      </c>
      <c r="N138">
        <f>Start_Daten!N138</f>
        <v>0</v>
      </c>
      <c r="O138" s="4">
        <f>Start_Daten!O138</f>
        <v>0</v>
      </c>
    </row>
    <row r="139" spans="1:15">
      <c r="A139" s="1">
        <v>137</v>
      </c>
      <c r="B139">
        <f>Start_Daten!B139</f>
        <v>0</v>
      </c>
      <c r="C139" s="2">
        <f>Start_Daten!C139</f>
        <v>0</v>
      </c>
      <c r="E139" s="3" t="str">
        <f t="shared" si="2"/>
        <v/>
      </c>
      <c r="F139" s="1">
        <f>Start_Daten!F139</f>
        <v>0</v>
      </c>
      <c r="G139" s="1">
        <f>Start_Daten!G139</f>
        <v>0</v>
      </c>
      <c r="H139">
        <f>Start_Daten!H139</f>
        <v>0</v>
      </c>
      <c r="I139">
        <f>Start_Daten!I139</f>
        <v>0</v>
      </c>
      <c r="J139">
        <f>Start_Daten!J139</f>
        <v>0</v>
      </c>
      <c r="K139">
        <f>Start_Daten!K139</f>
        <v>0</v>
      </c>
      <c r="L139">
        <f>Start_Daten!L139</f>
        <v>0</v>
      </c>
      <c r="M139">
        <f>Start_Daten!M139</f>
        <v>0</v>
      </c>
      <c r="N139">
        <f>Start_Daten!N139</f>
        <v>0</v>
      </c>
      <c r="O139" s="4">
        <f>Start_Daten!O139</f>
        <v>0</v>
      </c>
    </row>
    <row r="140" spans="1:15">
      <c r="A140" s="1">
        <v>138</v>
      </c>
      <c r="B140">
        <f>Start_Daten!B140</f>
        <v>0</v>
      </c>
      <c r="C140" s="2">
        <f>Start_Daten!C140</f>
        <v>0</v>
      </c>
      <c r="E140" s="3" t="str">
        <f t="shared" si="2"/>
        <v/>
      </c>
      <c r="F140" s="1">
        <f>Start_Daten!F140</f>
        <v>0</v>
      </c>
      <c r="G140" s="1">
        <f>Start_Daten!G140</f>
        <v>0</v>
      </c>
      <c r="H140">
        <f>Start_Daten!H140</f>
        <v>0</v>
      </c>
      <c r="I140">
        <f>Start_Daten!I140</f>
        <v>0</v>
      </c>
      <c r="J140">
        <f>Start_Daten!J140</f>
        <v>0</v>
      </c>
      <c r="K140">
        <f>Start_Daten!K140</f>
        <v>0</v>
      </c>
      <c r="L140">
        <f>Start_Daten!L140</f>
        <v>0</v>
      </c>
      <c r="M140">
        <f>Start_Daten!M140</f>
        <v>0</v>
      </c>
      <c r="N140">
        <f>Start_Daten!N140</f>
        <v>0</v>
      </c>
      <c r="O140" s="4">
        <f>Start_Daten!O140</f>
        <v>0</v>
      </c>
    </row>
    <row r="141" spans="1:15">
      <c r="A141" s="1">
        <v>139</v>
      </c>
      <c r="B141">
        <f>Start_Daten!B141</f>
        <v>0</v>
      </c>
      <c r="C141" s="2">
        <f>Start_Daten!C141</f>
        <v>0</v>
      </c>
      <c r="E141" s="3" t="str">
        <f t="shared" si="2"/>
        <v/>
      </c>
      <c r="F141" s="1">
        <f>Start_Daten!F141</f>
        <v>0</v>
      </c>
      <c r="G141" s="1">
        <f>Start_Daten!G141</f>
        <v>0</v>
      </c>
      <c r="H141">
        <f>Start_Daten!H141</f>
        <v>0</v>
      </c>
      <c r="I141">
        <f>Start_Daten!I141</f>
        <v>0</v>
      </c>
      <c r="J141">
        <f>Start_Daten!J141</f>
        <v>0</v>
      </c>
      <c r="K141">
        <f>Start_Daten!K141</f>
        <v>0</v>
      </c>
      <c r="L141">
        <f>Start_Daten!L141</f>
        <v>0</v>
      </c>
      <c r="M141">
        <f>Start_Daten!M141</f>
        <v>0</v>
      </c>
      <c r="N141">
        <f>Start_Daten!N141</f>
        <v>0</v>
      </c>
      <c r="O141" s="4">
        <f>Start_Daten!O141</f>
        <v>0</v>
      </c>
    </row>
    <row r="142" spans="1:15">
      <c r="A142" s="1">
        <v>140</v>
      </c>
      <c r="B142">
        <f>Start_Daten!B142</f>
        <v>0</v>
      </c>
      <c r="C142" s="2">
        <f>Start_Daten!C142</f>
        <v>0</v>
      </c>
      <c r="E142" s="3" t="str">
        <f t="shared" si="2"/>
        <v/>
      </c>
      <c r="F142" s="1">
        <f>Start_Daten!F142</f>
        <v>0</v>
      </c>
      <c r="G142" s="1">
        <f>Start_Daten!G142</f>
        <v>0</v>
      </c>
      <c r="H142">
        <f>Start_Daten!H142</f>
        <v>0</v>
      </c>
      <c r="I142">
        <f>Start_Daten!I142</f>
        <v>0</v>
      </c>
      <c r="J142">
        <f>Start_Daten!J142</f>
        <v>0</v>
      </c>
      <c r="K142">
        <f>Start_Daten!K142</f>
        <v>0</v>
      </c>
      <c r="L142">
        <f>Start_Daten!L142</f>
        <v>0</v>
      </c>
      <c r="M142">
        <f>Start_Daten!M142</f>
        <v>0</v>
      </c>
      <c r="N142">
        <f>Start_Daten!N142</f>
        <v>0</v>
      </c>
      <c r="O142" s="4">
        <f>Start_Daten!O142</f>
        <v>0</v>
      </c>
    </row>
    <row r="143" spans="1:15">
      <c r="A143" s="1">
        <v>141</v>
      </c>
      <c r="B143">
        <f>Start_Daten!B143</f>
        <v>0</v>
      </c>
      <c r="C143" s="2">
        <f>Start_Daten!C143</f>
        <v>0</v>
      </c>
      <c r="E143" s="3" t="str">
        <f t="shared" si="2"/>
        <v/>
      </c>
      <c r="F143" s="1">
        <f>Start_Daten!F143</f>
        <v>0</v>
      </c>
      <c r="G143" s="1">
        <f>Start_Daten!G143</f>
        <v>0</v>
      </c>
      <c r="H143">
        <f>Start_Daten!H143</f>
        <v>0</v>
      </c>
      <c r="I143">
        <f>Start_Daten!I143</f>
        <v>0</v>
      </c>
      <c r="J143">
        <f>Start_Daten!J143</f>
        <v>0</v>
      </c>
      <c r="K143">
        <f>Start_Daten!K143</f>
        <v>0</v>
      </c>
      <c r="L143">
        <f>Start_Daten!L143</f>
        <v>0</v>
      </c>
      <c r="M143">
        <f>Start_Daten!M143</f>
        <v>0</v>
      </c>
      <c r="N143">
        <f>Start_Daten!N143</f>
        <v>0</v>
      </c>
      <c r="O143" s="4">
        <f>Start_Daten!O143</f>
        <v>0</v>
      </c>
    </row>
    <row r="144" spans="1:15">
      <c r="A144" s="1">
        <v>142</v>
      </c>
      <c r="B144">
        <f>Start_Daten!B144</f>
        <v>0</v>
      </c>
      <c r="C144" s="2">
        <f>Start_Daten!C144</f>
        <v>0</v>
      </c>
      <c r="E144" s="3" t="str">
        <f t="shared" si="2"/>
        <v/>
      </c>
      <c r="F144" s="1">
        <f>Start_Daten!F144</f>
        <v>0</v>
      </c>
      <c r="G144" s="1">
        <f>Start_Daten!G144</f>
        <v>0</v>
      </c>
      <c r="H144">
        <f>Start_Daten!H144</f>
        <v>0</v>
      </c>
      <c r="I144">
        <f>Start_Daten!I144</f>
        <v>0</v>
      </c>
      <c r="J144">
        <f>Start_Daten!J144</f>
        <v>0</v>
      </c>
      <c r="K144">
        <f>Start_Daten!K144</f>
        <v>0</v>
      </c>
      <c r="L144">
        <f>Start_Daten!L144</f>
        <v>0</v>
      </c>
      <c r="M144">
        <f>Start_Daten!M144</f>
        <v>0</v>
      </c>
      <c r="N144">
        <f>Start_Daten!N144</f>
        <v>0</v>
      </c>
      <c r="O144" s="4">
        <f>Start_Daten!O144</f>
        <v>0</v>
      </c>
    </row>
    <row r="145" spans="1:15">
      <c r="A145" s="1">
        <v>143</v>
      </c>
      <c r="B145">
        <f>Start_Daten!B145</f>
        <v>0</v>
      </c>
      <c r="C145" s="2">
        <f>Start_Daten!C145</f>
        <v>0</v>
      </c>
      <c r="E145" s="3" t="str">
        <f t="shared" si="2"/>
        <v/>
      </c>
      <c r="F145" s="1">
        <f>Start_Daten!F145</f>
        <v>0</v>
      </c>
      <c r="G145" s="1">
        <f>Start_Daten!G145</f>
        <v>0</v>
      </c>
      <c r="H145">
        <f>Start_Daten!H145</f>
        <v>0</v>
      </c>
      <c r="I145">
        <f>Start_Daten!I145</f>
        <v>0</v>
      </c>
      <c r="J145">
        <f>Start_Daten!J145</f>
        <v>0</v>
      </c>
      <c r="K145">
        <f>Start_Daten!K145</f>
        <v>0</v>
      </c>
      <c r="L145">
        <f>Start_Daten!L145</f>
        <v>0</v>
      </c>
      <c r="M145">
        <f>Start_Daten!M145</f>
        <v>0</v>
      </c>
      <c r="N145">
        <f>Start_Daten!N145</f>
        <v>0</v>
      </c>
      <c r="O145" s="4">
        <f>Start_Daten!O145</f>
        <v>0</v>
      </c>
    </row>
    <row r="146" spans="1:15">
      <c r="A146" s="1">
        <v>144</v>
      </c>
      <c r="B146">
        <f>Start_Daten!B146</f>
        <v>0</v>
      </c>
      <c r="C146" s="2">
        <f>Start_Daten!C146</f>
        <v>0</v>
      </c>
      <c r="E146" s="3" t="str">
        <f t="shared" si="2"/>
        <v/>
      </c>
      <c r="F146" s="1">
        <f>Start_Daten!F146</f>
        <v>0</v>
      </c>
      <c r="G146" s="1">
        <f>Start_Daten!G146</f>
        <v>0</v>
      </c>
      <c r="H146">
        <f>Start_Daten!H146</f>
        <v>0</v>
      </c>
      <c r="I146">
        <f>Start_Daten!I146</f>
        <v>0</v>
      </c>
      <c r="J146">
        <f>Start_Daten!J146</f>
        <v>0</v>
      </c>
      <c r="K146">
        <f>Start_Daten!K146</f>
        <v>0</v>
      </c>
      <c r="L146">
        <f>Start_Daten!L146</f>
        <v>0</v>
      </c>
      <c r="M146">
        <f>Start_Daten!M146</f>
        <v>0</v>
      </c>
      <c r="N146">
        <f>Start_Daten!N146</f>
        <v>0</v>
      </c>
      <c r="O146" s="4">
        <f>Start_Daten!O146</f>
        <v>0</v>
      </c>
    </row>
    <row r="147" spans="1:15">
      <c r="A147" s="1">
        <v>145</v>
      </c>
      <c r="B147">
        <f>Start_Daten!B147</f>
        <v>0</v>
      </c>
      <c r="C147" s="2">
        <f>Start_Daten!C147</f>
        <v>0</v>
      </c>
      <c r="E147" s="3" t="str">
        <f t="shared" si="2"/>
        <v/>
      </c>
      <c r="F147" s="1">
        <f>Start_Daten!F147</f>
        <v>0</v>
      </c>
      <c r="G147" s="1">
        <f>Start_Daten!G147</f>
        <v>0</v>
      </c>
      <c r="H147">
        <f>Start_Daten!H147</f>
        <v>0</v>
      </c>
      <c r="I147">
        <f>Start_Daten!I147</f>
        <v>0</v>
      </c>
      <c r="J147">
        <f>Start_Daten!J147</f>
        <v>0</v>
      </c>
      <c r="K147">
        <f>Start_Daten!K147</f>
        <v>0</v>
      </c>
      <c r="L147">
        <f>Start_Daten!L147</f>
        <v>0</v>
      </c>
      <c r="M147">
        <f>Start_Daten!M147</f>
        <v>0</v>
      </c>
      <c r="N147">
        <f>Start_Daten!N147</f>
        <v>0</v>
      </c>
      <c r="O147" s="4">
        <f>Start_Daten!O147</f>
        <v>0</v>
      </c>
    </row>
    <row r="148" spans="1:15">
      <c r="A148" s="1">
        <v>146</v>
      </c>
      <c r="B148">
        <f>Start_Daten!B148</f>
        <v>0</v>
      </c>
      <c r="C148" s="2">
        <f>Start_Daten!C148</f>
        <v>0</v>
      </c>
      <c r="E148" s="3" t="str">
        <f t="shared" si="2"/>
        <v/>
      </c>
      <c r="F148" s="1">
        <f>Start_Daten!F148</f>
        <v>0</v>
      </c>
      <c r="G148" s="1">
        <f>Start_Daten!G148</f>
        <v>0</v>
      </c>
      <c r="H148">
        <f>Start_Daten!H148</f>
        <v>0</v>
      </c>
      <c r="I148">
        <f>Start_Daten!I148</f>
        <v>0</v>
      </c>
      <c r="J148">
        <f>Start_Daten!J148</f>
        <v>0</v>
      </c>
      <c r="K148">
        <f>Start_Daten!K148</f>
        <v>0</v>
      </c>
      <c r="L148">
        <f>Start_Daten!L148</f>
        <v>0</v>
      </c>
      <c r="M148">
        <f>Start_Daten!M148</f>
        <v>0</v>
      </c>
      <c r="N148">
        <f>Start_Daten!N148</f>
        <v>0</v>
      </c>
      <c r="O148" s="4">
        <f>Start_Daten!O148</f>
        <v>0</v>
      </c>
    </row>
    <row r="149" spans="1:15">
      <c r="A149" s="1">
        <v>147</v>
      </c>
      <c r="B149">
        <f>Start_Daten!B149</f>
        <v>0</v>
      </c>
      <c r="C149" s="2">
        <f>Start_Daten!C149</f>
        <v>0</v>
      </c>
      <c r="E149" s="3" t="str">
        <f t="shared" si="2"/>
        <v/>
      </c>
      <c r="F149" s="1">
        <f>Start_Daten!F149</f>
        <v>0</v>
      </c>
      <c r="G149" s="1">
        <f>Start_Daten!G149</f>
        <v>0</v>
      </c>
      <c r="H149">
        <f>Start_Daten!H149</f>
        <v>0</v>
      </c>
      <c r="I149">
        <f>Start_Daten!I149</f>
        <v>0</v>
      </c>
      <c r="J149">
        <f>Start_Daten!J149</f>
        <v>0</v>
      </c>
      <c r="K149">
        <f>Start_Daten!K149</f>
        <v>0</v>
      </c>
      <c r="L149">
        <f>Start_Daten!L149</f>
        <v>0</v>
      </c>
      <c r="M149">
        <f>Start_Daten!M149</f>
        <v>0</v>
      </c>
      <c r="N149">
        <f>Start_Daten!N149</f>
        <v>0</v>
      </c>
      <c r="O149" s="4">
        <f>Start_Daten!O149</f>
        <v>0</v>
      </c>
    </row>
    <row r="150" spans="1:15">
      <c r="A150" s="1">
        <v>148</v>
      </c>
      <c r="B150">
        <f>Start_Daten!B150</f>
        <v>0</v>
      </c>
      <c r="C150" s="2">
        <f>Start_Daten!C150</f>
        <v>0</v>
      </c>
      <c r="E150" s="3" t="str">
        <f t="shared" si="2"/>
        <v/>
      </c>
      <c r="F150" s="1">
        <f>Start_Daten!F150</f>
        <v>0</v>
      </c>
      <c r="G150" s="1">
        <f>Start_Daten!G150</f>
        <v>0</v>
      </c>
      <c r="H150">
        <f>Start_Daten!H150</f>
        <v>0</v>
      </c>
      <c r="I150">
        <f>Start_Daten!I150</f>
        <v>0</v>
      </c>
      <c r="J150">
        <f>Start_Daten!J150</f>
        <v>0</v>
      </c>
      <c r="K150">
        <f>Start_Daten!K150</f>
        <v>0</v>
      </c>
      <c r="L150">
        <f>Start_Daten!L150</f>
        <v>0</v>
      </c>
      <c r="M150">
        <f>Start_Daten!M150</f>
        <v>0</v>
      </c>
      <c r="N150">
        <f>Start_Daten!N150</f>
        <v>0</v>
      </c>
      <c r="O150" s="4">
        <f>Start_Daten!O150</f>
        <v>0</v>
      </c>
    </row>
    <row r="151" spans="1:15">
      <c r="A151" s="1">
        <v>149</v>
      </c>
      <c r="B151">
        <f>Start_Daten!B151</f>
        <v>0</v>
      </c>
      <c r="C151" s="2">
        <f>Start_Daten!C151</f>
        <v>0</v>
      </c>
      <c r="E151" s="3" t="str">
        <f t="shared" si="2"/>
        <v/>
      </c>
      <c r="F151" s="1">
        <f>Start_Daten!F151</f>
        <v>0</v>
      </c>
      <c r="G151" s="1">
        <f>Start_Daten!G151</f>
        <v>0</v>
      </c>
      <c r="H151">
        <f>Start_Daten!H151</f>
        <v>0</v>
      </c>
      <c r="I151">
        <f>Start_Daten!I151</f>
        <v>0</v>
      </c>
      <c r="J151">
        <f>Start_Daten!J151</f>
        <v>0</v>
      </c>
      <c r="K151">
        <f>Start_Daten!K151</f>
        <v>0</v>
      </c>
      <c r="L151">
        <f>Start_Daten!L151</f>
        <v>0</v>
      </c>
      <c r="M151">
        <f>Start_Daten!M151</f>
        <v>0</v>
      </c>
      <c r="N151">
        <f>Start_Daten!N151</f>
        <v>0</v>
      </c>
      <c r="O151" s="4">
        <f>Start_Daten!O151</f>
        <v>0</v>
      </c>
    </row>
    <row r="152" spans="1:15">
      <c r="A152" s="1">
        <v>150</v>
      </c>
      <c r="B152">
        <f>Start_Daten!B152</f>
        <v>0</v>
      </c>
      <c r="C152" s="2">
        <f>Start_Daten!C152</f>
        <v>0</v>
      </c>
      <c r="E152" s="3" t="str">
        <f t="shared" si="2"/>
        <v/>
      </c>
      <c r="F152" s="1">
        <f>Start_Daten!F152</f>
        <v>0</v>
      </c>
      <c r="G152" s="1">
        <f>Start_Daten!G152</f>
        <v>0</v>
      </c>
      <c r="H152">
        <f>Start_Daten!H152</f>
        <v>0</v>
      </c>
      <c r="I152">
        <f>Start_Daten!I152</f>
        <v>0</v>
      </c>
      <c r="J152">
        <f>Start_Daten!J152</f>
        <v>0</v>
      </c>
      <c r="K152">
        <f>Start_Daten!K152</f>
        <v>0</v>
      </c>
      <c r="L152">
        <f>Start_Daten!L152</f>
        <v>0</v>
      </c>
      <c r="M152">
        <f>Start_Daten!M152</f>
        <v>0</v>
      </c>
      <c r="N152">
        <f>Start_Daten!N152</f>
        <v>0</v>
      </c>
      <c r="O152" s="4">
        <f>Start_Daten!O152</f>
        <v>0</v>
      </c>
    </row>
    <row r="153" spans="1:15">
      <c r="A153" s="1">
        <v>151</v>
      </c>
      <c r="B153">
        <f>Start_Daten!B153</f>
        <v>0</v>
      </c>
      <c r="C153" s="2">
        <f>Start_Daten!C153</f>
        <v>0</v>
      </c>
      <c r="E153" s="3" t="str">
        <f t="shared" si="2"/>
        <v/>
      </c>
      <c r="F153" s="1">
        <f>Start_Daten!F153</f>
        <v>0</v>
      </c>
      <c r="G153" s="1">
        <f>Start_Daten!G153</f>
        <v>0</v>
      </c>
      <c r="H153">
        <f>Start_Daten!H153</f>
        <v>0</v>
      </c>
      <c r="I153">
        <f>Start_Daten!I153</f>
        <v>0</v>
      </c>
      <c r="J153">
        <f>Start_Daten!J153</f>
        <v>0</v>
      </c>
      <c r="K153">
        <f>Start_Daten!K153</f>
        <v>0</v>
      </c>
      <c r="L153">
        <f>Start_Daten!L153</f>
        <v>0</v>
      </c>
      <c r="M153">
        <f>Start_Daten!M153</f>
        <v>0</v>
      </c>
      <c r="N153">
        <f>Start_Daten!N153</f>
        <v>0</v>
      </c>
      <c r="O153" s="4">
        <f>Start_Daten!O153</f>
        <v>0</v>
      </c>
    </row>
    <row r="154" spans="1:15">
      <c r="A154" s="1">
        <v>152</v>
      </c>
      <c r="B154">
        <f>Start_Daten!B154</f>
        <v>0</v>
      </c>
      <c r="C154" s="2">
        <f>Start_Daten!C154</f>
        <v>0</v>
      </c>
      <c r="E154" s="3" t="str">
        <f t="shared" si="2"/>
        <v/>
      </c>
      <c r="F154" s="1">
        <f>Start_Daten!F154</f>
        <v>0</v>
      </c>
      <c r="G154" s="1">
        <f>Start_Daten!G154</f>
        <v>0</v>
      </c>
      <c r="H154">
        <f>Start_Daten!H154</f>
        <v>0</v>
      </c>
      <c r="I154">
        <f>Start_Daten!I154</f>
        <v>0</v>
      </c>
      <c r="J154">
        <f>Start_Daten!J154</f>
        <v>0</v>
      </c>
      <c r="K154">
        <f>Start_Daten!K154</f>
        <v>0</v>
      </c>
      <c r="L154">
        <f>Start_Daten!L154</f>
        <v>0</v>
      </c>
      <c r="M154">
        <f>Start_Daten!M154</f>
        <v>0</v>
      </c>
      <c r="N154">
        <f>Start_Daten!N154</f>
        <v>0</v>
      </c>
      <c r="O154" s="4">
        <f>Start_Daten!O154</f>
        <v>0</v>
      </c>
    </row>
    <row r="155" spans="1:15">
      <c r="A155" s="1">
        <v>153</v>
      </c>
      <c r="B155">
        <f>Start_Daten!B155</f>
        <v>0</v>
      </c>
      <c r="C155" s="2">
        <f>Start_Daten!C155</f>
        <v>0</v>
      </c>
      <c r="E155" s="3" t="str">
        <f t="shared" si="2"/>
        <v/>
      </c>
      <c r="F155" s="1">
        <f>Start_Daten!F155</f>
        <v>0</v>
      </c>
      <c r="G155" s="1">
        <f>Start_Daten!G155</f>
        <v>0</v>
      </c>
      <c r="H155">
        <f>Start_Daten!H155</f>
        <v>0</v>
      </c>
      <c r="I155">
        <f>Start_Daten!I155</f>
        <v>0</v>
      </c>
      <c r="J155">
        <f>Start_Daten!J155</f>
        <v>0</v>
      </c>
      <c r="K155">
        <f>Start_Daten!K155</f>
        <v>0</v>
      </c>
      <c r="L155">
        <f>Start_Daten!L155</f>
        <v>0</v>
      </c>
      <c r="M155">
        <f>Start_Daten!M155</f>
        <v>0</v>
      </c>
      <c r="N155">
        <f>Start_Daten!N155</f>
        <v>0</v>
      </c>
      <c r="O155" s="4">
        <f>Start_Daten!O155</f>
        <v>0</v>
      </c>
    </row>
    <row r="156" spans="1:15">
      <c r="A156" s="1">
        <v>154</v>
      </c>
      <c r="B156">
        <f>Start_Daten!B156</f>
        <v>0</v>
      </c>
      <c r="C156" s="2">
        <f>Start_Daten!C156</f>
        <v>0</v>
      </c>
      <c r="E156" s="3" t="str">
        <f t="shared" si="2"/>
        <v/>
      </c>
      <c r="F156" s="1">
        <f>Start_Daten!F156</f>
        <v>0</v>
      </c>
      <c r="G156" s="1">
        <f>Start_Daten!G156</f>
        <v>0</v>
      </c>
      <c r="H156">
        <f>Start_Daten!H156</f>
        <v>0</v>
      </c>
      <c r="I156">
        <f>Start_Daten!I156</f>
        <v>0</v>
      </c>
      <c r="J156">
        <f>Start_Daten!J156</f>
        <v>0</v>
      </c>
      <c r="K156">
        <f>Start_Daten!K156</f>
        <v>0</v>
      </c>
      <c r="L156">
        <f>Start_Daten!L156</f>
        <v>0</v>
      </c>
      <c r="M156">
        <f>Start_Daten!M156</f>
        <v>0</v>
      </c>
      <c r="N156">
        <f>Start_Daten!N156</f>
        <v>0</v>
      </c>
      <c r="O156" s="4">
        <f>Start_Daten!O156</f>
        <v>0</v>
      </c>
    </row>
    <row r="157" spans="1:15">
      <c r="A157" s="1">
        <v>155</v>
      </c>
      <c r="B157">
        <f>Start_Daten!B157</f>
        <v>0</v>
      </c>
      <c r="C157" s="2">
        <f>Start_Daten!C157</f>
        <v>0</v>
      </c>
      <c r="E157" s="3" t="str">
        <f t="shared" si="2"/>
        <v/>
      </c>
      <c r="F157" s="1">
        <f>Start_Daten!F157</f>
        <v>0</v>
      </c>
      <c r="G157" s="1">
        <f>Start_Daten!G157</f>
        <v>0</v>
      </c>
      <c r="H157">
        <f>Start_Daten!H157</f>
        <v>0</v>
      </c>
      <c r="I157">
        <f>Start_Daten!I157</f>
        <v>0</v>
      </c>
      <c r="J157">
        <f>Start_Daten!J157</f>
        <v>0</v>
      </c>
      <c r="K157">
        <f>Start_Daten!K157</f>
        <v>0</v>
      </c>
      <c r="L157">
        <f>Start_Daten!L157</f>
        <v>0</v>
      </c>
      <c r="M157">
        <f>Start_Daten!M157</f>
        <v>0</v>
      </c>
      <c r="N157">
        <f>Start_Daten!N157</f>
        <v>0</v>
      </c>
      <c r="O157" s="4">
        <f>Start_Daten!O157</f>
        <v>0</v>
      </c>
    </row>
    <row r="158" spans="1:15">
      <c r="A158" s="1">
        <v>156</v>
      </c>
      <c r="B158">
        <f>Start_Daten!B158</f>
        <v>0</v>
      </c>
      <c r="C158" s="2">
        <f>Start_Daten!C158</f>
        <v>0</v>
      </c>
      <c r="E158" s="3" t="str">
        <f t="shared" si="2"/>
        <v/>
      </c>
      <c r="F158" s="1">
        <f>Start_Daten!F158</f>
        <v>0</v>
      </c>
      <c r="G158" s="1">
        <f>Start_Daten!G158</f>
        <v>0</v>
      </c>
      <c r="H158">
        <f>Start_Daten!H158</f>
        <v>0</v>
      </c>
      <c r="I158">
        <f>Start_Daten!I158</f>
        <v>0</v>
      </c>
      <c r="J158">
        <f>Start_Daten!J158</f>
        <v>0</v>
      </c>
      <c r="K158">
        <f>Start_Daten!K158</f>
        <v>0</v>
      </c>
      <c r="L158">
        <f>Start_Daten!L158</f>
        <v>0</v>
      </c>
      <c r="M158">
        <f>Start_Daten!M158</f>
        <v>0</v>
      </c>
      <c r="N158">
        <f>Start_Daten!N158</f>
        <v>0</v>
      </c>
      <c r="O158" s="4">
        <f>Start_Daten!O158</f>
        <v>0</v>
      </c>
    </row>
    <row r="159" spans="1:15">
      <c r="A159" s="1">
        <v>157</v>
      </c>
      <c r="B159">
        <f>Start_Daten!B159</f>
        <v>0</v>
      </c>
      <c r="C159" s="2">
        <f>Start_Daten!C159</f>
        <v>0</v>
      </c>
      <c r="E159" s="3" t="str">
        <f t="shared" si="2"/>
        <v/>
      </c>
      <c r="F159" s="1">
        <f>Start_Daten!F159</f>
        <v>0</v>
      </c>
      <c r="G159" s="1">
        <f>Start_Daten!G159</f>
        <v>0</v>
      </c>
      <c r="H159">
        <f>Start_Daten!H159</f>
        <v>0</v>
      </c>
      <c r="I159">
        <f>Start_Daten!I159</f>
        <v>0</v>
      </c>
      <c r="J159">
        <f>Start_Daten!J159</f>
        <v>0</v>
      </c>
      <c r="K159">
        <f>Start_Daten!K159</f>
        <v>0</v>
      </c>
      <c r="L159">
        <f>Start_Daten!L159</f>
        <v>0</v>
      </c>
      <c r="M159">
        <f>Start_Daten!M159</f>
        <v>0</v>
      </c>
      <c r="N159">
        <f>Start_Daten!N159</f>
        <v>0</v>
      </c>
      <c r="O159" s="4">
        <f>Start_Daten!O159</f>
        <v>0</v>
      </c>
    </row>
    <row r="160" spans="1:15">
      <c r="A160" s="1">
        <v>158</v>
      </c>
      <c r="B160">
        <f>Start_Daten!B160</f>
        <v>0</v>
      </c>
      <c r="C160" s="2">
        <f>Start_Daten!C160</f>
        <v>0</v>
      </c>
      <c r="E160" s="3" t="str">
        <f t="shared" si="2"/>
        <v/>
      </c>
      <c r="F160" s="1">
        <f>Start_Daten!F160</f>
        <v>0</v>
      </c>
      <c r="G160" s="1">
        <f>Start_Daten!G160</f>
        <v>0</v>
      </c>
      <c r="H160">
        <f>Start_Daten!H160</f>
        <v>0</v>
      </c>
      <c r="I160">
        <f>Start_Daten!I160</f>
        <v>0</v>
      </c>
      <c r="J160">
        <f>Start_Daten!J160</f>
        <v>0</v>
      </c>
      <c r="K160">
        <f>Start_Daten!K160</f>
        <v>0</v>
      </c>
      <c r="L160">
        <f>Start_Daten!L160</f>
        <v>0</v>
      </c>
      <c r="M160">
        <f>Start_Daten!M160</f>
        <v>0</v>
      </c>
      <c r="N160">
        <f>Start_Daten!N160</f>
        <v>0</v>
      </c>
      <c r="O160" s="4">
        <f>Start_Daten!O160</f>
        <v>0</v>
      </c>
    </row>
    <row r="161" spans="1:15">
      <c r="A161" s="1">
        <v>159</v>
      </c>
      <c r="B161">
        <f>Start_Daten!B161</f>
        <v>0</v>
      </c>
      <c r="C161" s="2">
        <f>Start_Daten!C161</f>
        <v>0</v>
      </c>
      <c r="E161" s="3" t="str">
        <f t="shared" si="2"/>
        <v/>
      </c>
      <c r="F161" s="1">
        <f>Start_Daten!F161</f>
        <v>0</v>
      </c>
      <c r="G161" s="1">
        <f>Start_Daten!G161</f>
        <v>0</v>
      </c>
      <c r="H161">
        <f>Start_Daten!H161</f>
        <v>0</v>
      </c>
      <c r="I161">
        <f>Start_Daten!I161</f>
        <v>0</v>
      </c>
      <c r="J161">
        <f>Start_Daten!J161</f>
        <v>0</v>
      </c>
      <c r="K161">
        <f>Start_Daten!K161</f>
        <v>0</v>
      </c>
      <c r="L161">
        <f>Start_Daten!L161</f>
        <v>0</v>
      </c>
      <c r="M161">
        <f>Start_Daten!M161</f>
        <v>0</v>
      </c>
      <c r="N161">
        <f>Start_Daten!N161</f>
        <v>0</v>
      </c>
      <c r="O161" s="4">
        <f>Start_Daten!O161</f>
        <v>0</v>
      </c>
    </row>
    <row r="162" spans="1:15">
      <c r="A162" s="1">
        <v>160</v>
      </c>
      <c r="B162">
        <f>Start_Daten!B162</f>
        <v>0</v>
      </c>
      <c r="C162" s="2">
        <f>Start_Daten!C162</f>
        <v>0</v>
      </c>
      <c r="E162" s="3" t="str">
        <f t="shared" si="2"/>
        <v/>
      </c>
      <c r="F162" s="1">
        <f>Start_Daten!F162</f>
        <v>0</v>
      </c>
      <c r="G162" s="1">
        <f>Start_Daten!G162</f>
        <v>0</v>
      </c>
      <c r="H162">
        <f>Start_Daten!H162</f>
        <v>0</v>
      </c>
      <c r="I162">
        <f>Start_Daten!I162</f>
        <v>0</v>
      </c>
      <c r="J162">
        <f>Start_Daten!J162</f>
        <v>0</v>
      </c>
      <c r="K162">
        <f>Start_Daten!K162</f>
        <v>0</v>
      </c>
      <c r="L162">
        <f>Start_Daten!L162</f>
        <v>0</v>
      </c>
      <c r="M162">
        <f>Start_Daten!M162</f>
        <v>0</v>
      </c>
      <c r="N162">
        <f>Start_Daten!N162</f>
        <v>0</v>
      </c>
      <c r="O162" s="4">
        <f>Start_Daten!O162</f>
        <v>0</v>
      </c>
    </row>
    <row r="163" spans="1:15">
      <c r="A163" s="1">
        <v>161</v>
      </c>
      <c r="B163">
        <f>Start_Daten!B163</f>
        <v>0</v>
      </c>
      <c r="C163" s="2">
        <f>Start_Daten!C163</f>
        <v>0</v>
      </c>
      <c r="E163" s="3" t="str">
        <f t="shared" si="2"/>
        <v/>
      </c>
      <c r="F163" s="1">
        <f>Start_Daten!F163</f>
        <v>0</v>
      </c>
      <c r="G163" s="1">
        <f>Start_Daten!G163</f>
        <v>0</v>
      </c>
      <c r="H163">
        <f>Start_Daten!H163</f>
        <v>0</v>
      </c>
      <c r="I163">
        <f>Start_Daten!I163</f>
        <v>0</v>
      </c>
      <c r="J163">
        <f>Start_Daten!J163</f>
        <v>0</v>
      </c>
      <c r="K163">
        <f>Start_Daten!K163</f>
        <v>0</v>
      </c>
      <c r="L163">
        <f>Start_Daten!L163</f>
        <v>0</v>
      </c>
      <c r="M163">
        <f>Start_Daten!M163</f>
        <v>0</v>
      </c>
      <c r="N163">
        <f>Start_Daten!N163</f>
        <v>0</v>
      </c>
      <c r="O163" s="4">
        <f>Start_Daten!O163</f>
        <v>0</v>
      </c>
    </row>
    <row r="164" spans="1:15">
      <c r="A164" s="1">
        <v>162</v>
      </c>
      <c r="B164">
        <f>Start_Daten!B164</f>
        <v>0</v>
      </c>
      <c r="C164" s="2">
        <f>Start_Daten!C164</f>
        <v>0</v>
      </c>
      <c r="E164" s="3" t="str">
        <f t="shared" si="2"/>
        <v/>
      </c>
      <c r="F164" s="1">
        <f>Start_Daten!F164</f>
        <v>0</v>
      </c>
      <c r="G164" s="1">
        <f>Start_Daten!G164</f>
        <v>0</v>
      </c>
      <c r="H164">
        <f>Start_Daten!H164</f>
        <v>0</v>
      </c>
      <c r="I164">
        <f>Start_Daten!I164</f>
        <v>0</v>
      </c>
      <c r="J164">
        <f>Start_Daten!J164</f>
        <v>0</v>
      </c>
      <c r="K164">
        <f>Start_Daten!K164</f>
        <v>0</v>
      </c>
      <c r="L164">
        <f>Start_Daten!L164</f>
        <v>0</v>
      </c>
      <c r="M164">
        <f>Start_Daten!M164</f>
        <v>0</v>
      </c>
      <c r="N164">
        <f>Start_Daten!N164</f>
        <v>0</v>
      </c>
      <c r="O164" s="4">
        <f>Start_Daten!O164</f>
        <v>0</v>
      </c>
    </row>
    <row r="165" spans="1:15">
      <c r="A165" s="1">
        <v>163</v>
      </c>
      <c r="B165">
        <f>Start_Daten!B165</f>
        <v>0</v>
      </c>
      <c r="C165" s="2">
        <f>Start_Daten!C165</f>
        <v>0</v>
      </c>
      <c r="E165" s="3" t="str">
        <f t="shared" si="2"/>
        <v/>
      </c>
      <c r="F165" s="1">
        <f>Start_Daten!F165</f>
        <v>0</v>
      </c>
      <c r="G165" s="1">
        <f>Start_Daten!G165</f>
        <v>0</v>
      </c>
      <c r="H165">
        <f>Start_Daten!H165</f>
        <v>0</v>
      </c>
      <c r="I165">
        <f>Start_Daten!I165</f>
        <v>0</v>
      </c>
      <c r="J165">
        <f>Start_Daten!J165</f>
        <v>0</v>
      </c>
      <c r="K165">
        <f>Start_Daten!K165</f>
        <v>0</v>
      </c>
      <c r="L165">
        <f>Start_Daten!L165</f>
        <v>0</v>
      </c>
      <c r="M165">
        <f>Start_Daten!M165</f>
        <v>0</v>
      </c>
      <c r="N165">
        <f>Start_Daten!N165</f>
        <v>0</v>
      </c>
      <c r="O165" s="4">
        <f>Start_Daten!O165</f>
        <v>0</v>
      </c>
    </row>
    <row r="166" spans="1:15">
      <c r="A166" s="1">
        <v>164</v>
      </c>
      <c r="B166">
        <f>Start_Daten!B166</f>
        <v>0</v>
      </c>
      <c r="C166" s="2">
        <f>Start_Daten!C166</f>
        <v>0</v>
      </c>
      <c r="E166" s="3" t="str">
        <f t="shared" si="2"/>
        <v/>
      </c>
      <c r="F166" s="1">
        <f>Start_Daten!F166</f>
        <v>0</v>
      </c>
      <c r="G166" s="1">
        <f>Start_Daten!G166</f>
        <v>0</v>
      </c>
      <c r="H166">
        <f>Start_Daten!H166</f>
        <v>0</v>
      </c>
      <c r="I166">
        <f>Start_Daten!I166</f>
        <v>0</v>
      </c>
      <c r="J166">
        <f>Start_Daten!J166</f>
        <v>0</v>
      </c>
      <c r="K166">
        <f>Start_Daten!K166</f>
        <v>0</v>
      </c>
      <c r="L166">
        <f>Start_Daten!L166</f>
        <v>0</v>
      </c>
      <c r="M166">
        <f>Start_Daten!M166</f>
        <v>0</v>
      </c>
      <c r="N166">
        <f>Start_Daten!N166</f>
        <v>0</v>
      </c>
      <c r="O166" s="4">
        <f>Start_Daten!O166</f>
        <v>0</v>
      </c>
    </row>
    <row r="167" spans="1:15">
      <c r="A167" s="1">
        <v>165</v>
      </c>
      <c r="B167">
        <f>Start_Daten!B167</f>
        <v>0</v>
      </c>
      <c r="C167" s="2">
        <f>Start_Daten!C167</f>
        <v>0</v>
      </c>
      <c r="E167" s="3" t="str">
        <f t="shared" si="2"/>
        <v/>
      </c>
      <c r="F167" s="1">
        <f>Start_Daten!F167</f>
        <v>0</v>
      </c>
      <c r="G167" s="1">
        <f>Start_Daten!G167</f>
        <v>0</v>
      </c>
      <c r="H167">
        <f>Start_Daten!H167</f>
        <v>0</v>
      </c>
      <c r="I167">
        <f>Start_Daten!I167</f>
        <v>0</v>
      </c>
      <c r="J167">
        <f>Start_Daten!J167</f>
        <v>0</v>
      </c>
      <c r="K167">
        <f>Start_Daten!K167</f>
        <v>0</v>
      </c>
      <c r="L167">
        <f>Start_Daten!L167</f>
        <v>0</v>
      </c>
      <c r="M167">
        <f>Start_Daten!M167</f>
        <v>0</v>
      </c>
      <c r="N167">
        <f>Start_Daten!N167</f>
        <v>0</v>
      </c>
      <c r="O167" s="4">
        <f>Start_Daten!O167</f>
        <v>0</v>
      </c>
    </row>
    <row r="168" spans="1:15">
      <c r="A168" s="1">
        <v>166</v>
      </c>
      <c r="B168">
        <f>Start_Daten!B168</f>
        <v>0</v>
      </c>
      <c r="C168" s="2">
        <f>Start_Daten!C168</f>
        <v>0</v>
      </c>
      <c r="E168" s="3" t="str">
        <f t="shared" si="2"/>
        <v/>
      </c>
      <c r="F168" s="1">
        <f>Start_Daten!F168</f>
        <v>0</v>
      </c>
      <c r="G168" s="1">
        <f>Start_Daten!G168</f>
        <v>0</v>
      </c>
      <c r="H168">
        <f>Start_Daten!H168</f>
        <v>0</v>
      </c>
      <c r="I168">
        <f>Start_Daten!I168</f>
        <v>0</v>
      </c>
      <c r="J168">
        <f>Start_Daten!J168</f>
        <v>0</v>
      </c>
      <c r="K168">
        <f>Start_Daten!K168</f>
        <v>0</v>
      </c>
      <c r="L168">
        <f>Start_Daten!L168</f>
        <v>0</v>
      </c>
      <c r="M168">
        <f>Start_Daten!M168</f>
        <v>0</v>
      </c>
      <c r="N168">
        <f>Start_Daten!N168</f>
        <v>0</v>
      </c>
      <c r="O168" s="4">
        <f>Start_Daten!O168</f>
        <v>0</v>
      </c>
    </row>
    <row r="169" spans="1:15">
      <c r="A169" s="1">
        <v>167</v>
      </c>
      <c r="B169">
        <f>Start_Daten!B169</f>
        <v>0</v>
      </c>
      <c r="C169" s="2">
        <f>Start_Daten!C169</f>
        <v>0</v>
      </c>
      <c r="E169" s="3" t="str">
        <f t="shared" si="2"/>
        <v/>
      </c>
      <c r="F169" s="1">
        <f>Start_Daten!F169</f>
        <v>0</v>
      </c>
      <c r="G169" s="1">
        <f>Start_Daten!G169</f>
        <v>0</v>
      </c>
      <c r="H169">
        <f>Start_Daten!H169</f>
        <v>0</v>
      </c>
      <c r="I169">
        <f>Start_Daten!I169</f>
        <v>0</v>
      </c>
      <c r="J169">
        <f>Start_Daten!J169</f>
        <v>0</v>
      </c>
      <c r="K169">
        <f>Start_Daten!K169</f>
        <v>0</v>
      </c>
      <c r="L169">
        <f>Start_Daten!L169</f>
        <v>0</v>
      </c>
      <c r="M169">
        <f>Start_Daten!M169</f>
        <v>0</v>
      </c>
      <c r="N169">
        <f>Start_Daten!N169</f>
        <v>0</v>
      </c>
      <c r="O169" s="4">
        <f>Start_Daten!O169</f>
        <v>0</v>
      </c>
    </row>
    <row r="170" spans="1:15">
      <c r="A170" s="1">
        <v>168</v>
      </c>
      <c r="B170">
        <f>Start_Daten!B170</f>
        <v>0</v>
      </c>
      <c r="C170" s="2">
        <f>Start_Daten!C170</f>
        <v>0</v>
      </c>
      <c r="E170" s="3" t="str">
        <f t="shared" si="2"/>
        <v/>
      </c>
      <c r="F170" s="1">
        <f>Start_Daten!F170</f>
        <v>0</v>
      </c>
      <c r="G170" s="1">
        <f>Start_Daten!G170</f>
        <v>0</v>
      </c>
      <c r="H170">
        <f>Start_Daten!H170</f>
        <v>0</v>
      </c>
      <c r="I170">
        <f>Start_Daten!I170</f>
        <v>0</v>
      </c>
      <c r="J170">
        <f>Start_Daten!J170</f>
        <v>0</v>
      </c>
      <c r="K170">
        <f>Start_Daten!K170</f>
        <v>0</v>
      </c>
      <c r="L170">
        <f>Start_Daten!L170</f>
        <v>0</v>
      </c>
      <c r="M170">
        <f>Start_Daten!M170</f>
        <v>0</v>
      </c>
      <c r="N170">
        <f>Start_Daten!N170</f>
        <v>0</v>
      </c>
      <c r="O170" s="4">
        <f>Start_Daten!O170</f>
        <v>0</v>
      </c>
    </row>
    <row r="171" spans="1:15">
      <c r="A171" s="1">
        <v>169</v>
      </c>
      <c r="B171">
        <f>Start_Daten!B171</f>
        <v>0</v>
      </c>
      <c r="C171" s="2">
        <f>Start_Daten!C171</f>
        <v>0</v>
      </c>
      <c r="E171" s="3" t="str">
        <f t="shared" si="2"/>
        <v/>
      </c>
      <c r="F171" s="1">
        <f>Start_Daten!F171</f>
        <v>0</v>
      </c>
      <c r="G171" s="1">
        <f>Start_Daten!G171</f>
        <v>0</v>
      </c>
      <c r="H171">
        <f>Start_Daten!H171</f>
        <v>0</v>
      </c>
      <c r="I171">
        <f>Start_Daten!I171</f>
        <v>0</v>
      </c>
      <c r="J171">
        <f>Start_Daten!J171</f>
        <v>0</v>
      </c>
      <c r="K171">
        <f>Start_Daten!K171</f>
        <v>0</v>
      </c>
      <c r="L171">
        <f>Start_Daten!L171</f>
        <v>0</v>
      </c>
      <c r="M171">
        <f>Start_Daten!M171</f>
        <v>0</v>
      </c>
      <c r="N171">
        <f>Start_Daten!N171</f>
        <v>0</v>
      </c>
      <c r="O171" s="4">
        <f>Start_Daten!O171</f>
        <v>0</v>
      </c>
    </row>
    <row r="172" spans="1:15">
      <c r="A172" s="1">
        <v>170</v>
      </c>
      <c r="B172">
        <f>Start_Daten!B172</f>
        <v>0</v>
      </c>
      <c r="C172" s="2">
        <f>Start_Daten!C172</f>
        <v>0</v>
      </c>
      <c r="E172" s="3" t="str">
        <f t="shared" si="2"/>
        <v/>
      </c>
      <c r="F172" s="1">
        <f>Start_Daten!F172</f>
        <v>0</v>
      </c>
      <c r="G172" s="1">
        <f>Start_Daten!G172</f>
        <v>0</v>
      </c>
      <c r="H172">
        <f>Start_Daten!H172</f>
        <v>0</v>
      </c>
      <c r="I172">
        <f>Start_Daten!I172</f>
        <v>0</v>
      </c>
      <c r="J172">
        <f>Start_Daten!J172</f>
        <v>0</v>
      </c>
      <c r="K172">
        <f>Start_Daten!K172</f>
        <v>0</v>
      </c>
      <c r="L172">
        <f>Start_Daten!L172</f>
        <v>0</v>
      </c>
      <c r="M172">
        <f>Start_Daten!M172</f>
        <v>0</v>
      </c>
      <c r="N172">
        <f>Start_Daten!N172</f>
        <v>0</v>
      </c>
      <c r="O172" s="4">
        <f>Start_Daten!O172</f>
        <v>0</v>
      </c>
    </row>
    <row r="173" spans="1:15">
      <c r="A173" s="1">
        <v>171</v>
      </c>
      <c r="B173">
        <f>Start_Daten!B173</f>
        <v>0</v>
      </c>
      <c r="C173" s="2">
        <f>Start_Daten!C173</f>
        <v>0</v>
      </c>
      <c r="E173" s="3" t="str">
        <f t="shared" si="2"/>
        <v/>
      </c>
      <c r="F173" s="1">
        <f>Start_Daten!F173</f>
        <v>0</v>
      </c>
      <c r="G173" s="1">
        <f>Start_Daten!G173</f>
        <v>0</v>
      </c>
      <c r="H173">
        <f>Start_Daten!H173</f>
        <v>0</v>
      </c>
      <c r="I173">
        <f>Start_Daten!I173</f>
        <v>0</v>
      </c>
      <c r="J173">
        <f>Start_Daten!J173</f>
        <v>0</v>
      </c>
      <c r="K173">
        <f>Start_Daten!K173</f>
        <v>0</v>
      </c>
      <c r="L173">
        <f>Start_Daten!L173</f>
        <v>0</v>
      </c>
      <c r="M173">
        <f>Start_Daten!M173</f>
        <v>0</v>
      </c>
      <c r="N173">
        <f>Start_Daten!N173</f>
        <v>0</v>
      </c>
      <c r="O173" s="4">
        <f>Start_Daten!O173</f>
        <v>0</v>
      </c>
    </row>
    <row r="174" spans="1:15">
      <c r="A174" s="1">
        <v>172</v>
      </c>
      <c r="B174">
        <f>Start_Daten!B174</f>
        <v>0</v>
      </c>
      <c r="C174" s="2">
        <f>Start_Daten!C174</f>
        <v>0</v>
      </c>
      <c r="E174" s="3" t="str">
        <f t="shared" si="2"/>
        <v/>
      </c>
      <c r="F174" s="1">
        <f>Start_Daten!F174</f>
        <v>0</v>
      </c>
      <c r="G174" s="1">
        <f>Start_Daten!G174</f>
        <v>0</v>
      </c>
      <c r="H174">
        <f>Start_Daten!H174</f>
        <v>0</v>
      </c>
      <c r="I174">
        <f>Start_Daten!I174</f>
        <v>0</v>
      </c>
      <c r="J174">
        <f>Start_Daten!J174</f>
        <v>0</v>
      </c>
      <c r="K174">
        <f>Start_Daten!K174</f>
        <v>0</v>
      </c>
      <c r="L174">
        <f>Start_Daten!L174</f>
        <v>0</v>
      </c>
      <c r="M174">
        <f>Start_Daten!M174</f>
        <v>0</v>
      </c>
      <c r="N174">
        <f>Start_Daten!N174</f>
        <v>0</v>
      </c>
      <c r="O174" s="4">
        <f>Start_Daten!O174</f>
        <v>0</v>
      </c>
    </row>
    <row r="175" spans="1:15">
      <c r="A175" s="1">
        <v>173</v>
      </c>
      <c r="B175">
        <f>Start_Daten!B175</f>
        <v>0</v>
      </c>
      <c r="C175" s="2">
        <f>Start_Daten!C175</f>
        <v>0</v>
      </c>
      <c r="E175" s="3" t="str">
        <f t="shared" si="2"/>
        <v/>
      </c>
      <c r="F175" s="1">
        <f>Start_Daten!F175</f>
        <v>0</v>
      </c>
      <c r="G175" s="1">
        <f>Start_Daten!G175</f>
        <v>0</v>
      </c>
      <c r="H175">
        <f>Start_Daten!H175</f>
        <v>0</v>
      </c>
      <c r="I175">
        <f>Start_Daten!I175</f>
        <v>0</v>
      </c>
      <c r="J175">
        <f>Start_Daten!J175</f>
        <v>0</v>
      </c>
      <c r="K175">
        <f>Start_Daten!K175</f>
        <v>0</v>
      </c>
      <c r="L175">
        <f>Start_Daten!L175</f>
        <v>0</v>
      </c>
      <c r="M175">
        <f>Start_Daten!M175</f>
        <v>0</v>
      </c>
      <c r="N175">
        <f>Start_Daten!N175</f>
        <v>0</v>
      </c>
      <c r="O175" s="4">
        <f>Start_Daten!O175</f>
        <v>0</v>
      </c>
    </row>
    <row r="176" spans="1:15">
      <c r="A176" s="1">
        <v>174</v>
      </c>
      <c r="B176">
        <f>Start_Daten!B176</f>
        <v>0</v>
      </c>
      <c r="C176" s="2">
        <f>Start_Daten!C176</f>
        <v>0</v>
      </c>
      <c r="E176" s="3" t="str">
        <f t="shared" si="2"/>
        <v/>
      </c>
      <c r="F176" s="1">
        <f>Start_Daten!F176</f>
        <v>0</v>
      </c>
      <c r="G176" s="1">
        <f>Start_Daten!G176</f>
        <v>0</v>
      </c>
      <c r="H176">
        <f>Start_Daten!H176</f>
        <v>0</v>
      </c>
      <c r="I176">
        <f>Start_Daten!I176</f>
        <v>0</v>
      </c>
      <c r="J176">
        <f>Start_Daten!J176</f>
        <v>0</v>
      </c>
      <c r="K176">
        <f>Start_Daten!K176</f>
        <v>0</v>
      </c>
      <c r="L176">
        <f>Start_Daten!L176</f>
        <v>0</v>
      </c>
      <c r="M176">
        <f>Start_Daten!M176</f>
        <v>0</v>
      </c>
      <c r="N176">
        <f>Start_Daten!N176</f>
        <v>0</v>
      </c>
      <c r="O176" s="4">
        <f>Start_Daten!O176</f>
        <v>0</v>
      </c>
    </row>
    <row r="177" spans="1:15">
      <c r="A177" s="1">
        <v>175</v>
      </c>
      <c r="B177">
        <f>Start_Daten!B177</f>
        <v>0</v>
      </c>
      <c r="C177" s="2">
        <f>Start_Daten!C177</f>
        <v>0</v>
      </c>
      <c r="E177" s="3" t="str">
        <f t="shared" si="2"/>
        <v/>
      </c>
      <c r="F177" s="1">
        <f>Start_Daten!F177</f>
        <v>0</v>
      </c>
      <c r="G177" s="1">
        <f>Start_Daten!G177</f>
        <v>0</v>
      </c>
      <c r="H177">
        <f>Start_Daten!H177</f>
        <v>0</v>
      </c>
      <c r="I177">
        <f>Start_Daten!I177</f>
        <v>0</v>
      </c>
      <c r="J177">
        <f>Start_Daten!J177</f>
        <v>0</v>
      </c>
      <c r="K177">
        <f>Start_Daten!K177</f>
        <v>0</v>
      </c>
      <c r="L177">
        <f>Start_Daten!L177</f>
        <v>0</v>
      </c>
      <c r="M177">
        <f>Start_Daten!M177</f>
        <v>0</v>
      </c>
      <c r="N177">
        <f>Start_Daten!N177</f>
        <v>0</v>
      </c>
      <c r="O177" s="4">
        <f>Start_Daten!O177</f>
        <v>0</v>
      </c>
    </row>
    <row r="178" spans="1:15">
      <c r="A178" s="1">
        <v>176</v>
      </c>
      <c r="B178">
        <f>Start_Daten!B178</f>
        <v>0</v>
      </c>
      <c r="C178" s="2">
        <f>Start_Daten!C178</f>
        <v>0</v>
      </c>
      <c r="E178" s="3" t="str">
        <f t="shared" si="2"/>
        <v/>
      </c>
      <c r="F178" s="1">
        <f>Start_Daten!F178</f>
        <v>0</v>
      </c>
      <c r="G178" s="1">
        <f>Start_Daten!G178</f>
        <v>0</v>
      </c>
      <c r="H178">
        <f>Start_Daten!H178</f>
        <v>0</v>
      </c>
      <c r="I178">
        <f>Start_Daten!I178</f>
        <v>0</v>
      </c>
      <c r="J178">
        <f>Start_Daten!J178</f>
        <v>0</v>
      </c>
      <c r="K178">
        <f>Start_Daten!K178</f>
        <v>0</v>
      </c>
      <c r="L178">
        <f>Start_Daten!L178</f>
        <v>0</v>
      </c>
      <c r="M178">
        <f>Start_Daten!M178</f>
        <v>0</v>
      </c>
      <c r="N178">
        <f>Start_Daten!N178</f>
        <v>0</v>
      </c>
      <c r="O178" s="4">
        <f>Start_Daten!O178</f>
        <v>0</v>
      </c>
    </row>
    <row r="179" spans="1:15">
      <c r="A179" s="1">
        <v>177</v>
      </c>
      <c r="B179">
        <f>Start_Daten!B179</f>
        <v>0</v>
      </c>
      <c r="C179" s="2">
        <f>Start_Daten!C179</f>
        <v>0</v>
      </c>
      <c r="E179" s="3" t="str">
        <f t="shared" si="2"/>
        <v/>
      </c>
      <c r="F179" s="1">
        <f>Start_Daten!F179</f>
        <v>0</v>
      </c>
      <c r="G179" s="1">
        <f>Start_Daten!G179</f>
        <v>0</v>
      </c>
      <c r="H179">
        <f>Start_Daten!H179</f>
        <v>0</v>
      </c>
      <c r="I179">
        <f>Start_Daten!I179</f>
        <v>0</v>
      </c>
      <c r="J179">
        <f>Start_Daten!J179</f>
        <v>0</v>
      </c>
      <c r="K179">
        <f>Start_Daten!K179</f>
        <v>0</v>
      </c>
      <c r="L179">
        <f>Start_Daten!L179</f>
        <v>0</v>
      </c>
      <c r="M179">
        <f>Start_Daten!M179</f>
        <v>0</v>
      </c>
      <c r="N179">
        <f>Start_Daten!N179</f>
        <v>0</v>
      </c>
      <c r="O179" s="4">
        <f>Start_Daten!O179</f>
        <v>0</v>
      </c>
    </row>
    <row r="180" spans="1:15">
      <c r="A180" s="1">
        <v>178</v>
      </c>
      <c r="B180">
        <f>Start_Daten!B180</f>
        <v>0</v>
      </c>
      <c r="C180" s="2">
        <f>Start_Daten!C180</f>
        <v>0</v>
      </c>
      <c r="E180" s="3" t="str">
        <f t="shared" si="2"/>
        <v/>
      </c>
      <c r="F180" s="1">
        <f>Start_Daten!F180</f>
        <v>0</v>
      </c>
      <c r="G180" s="1">
        <f>Start_Daten!G180</f>
        <v>0</v>
      </c>
      <c r="H180">
        <f>Start_Daten!H180</f>
        <v>0</v>
      </c>
      <c r="I180">
        <f>Start_Daten!I180</f>
        <v>0</v>
      </c>
      <c r="J180">
        <f>Start_Daten!J180</f>
        <v>0</v>
      </c>
      <c r="K180">
        <f>Start_Daten!K180</f>
        <v>0</v>
      </c>
      <c r="L180">
        <f>Start_Daten!L180</f>
        <v>0</v>
      </c>
      <c r="M180">
        <f>Start_Daten!M180</f>
        <v>0</v>
      </c>
      <c r="N180">
        <f>Start_Daten!N180</f>
        <v>0</v>
      </c>
      <c r="O180" s="4">
        <f>Start_Daten!O180</f>
        <v>0</v>
      </c>
    </row>
    <row r="181" spans="1:15">
      <c r="A181" s="1">
        <v>179</v>
      </c>
      <c r="B181">
        <f>Start_Daten!B181</f>
        <v>0</v>
      </c>
      <c r="C181" s="2">
        <f>Start_Daten!C181</f>
        <v>0</v>
      </c>
      <c r="E181" s="3" t="str">
        <f t="shared" si="2"/>
        <v/>
      </c>
      <c r="F181" s="1">
        <f>Start_Daten!F181</f>
        <v>0</v>
      </c>
      <c r="G181" s="1">
        <f>Start_Daten!G181</f>
        <v>0</v>
      </c>
      <c r="H181">
        <f>Start_Daten!H181</f>
        <v>0</v>
      </c>
      <c r="I181">
        <f>Start_Daten!I181</f>
        <v>0</v>
      </c>
      <c r="J181">
        <f>Start_Daten!J181</f>
        <v>0</v>
      </c>
      <c r="K181">
        <f>Start_Daten!K181</f>
        <v>0</v>
      </c>
      <c r="L181">
        <f>Start_Daten!L181</f>
        <v>0</v>
      </c>
      <c r="M181">
        <f>Start_Daten!M181</f>
        <v>0</v>
      </c>
      <c r="N181">
        <f>Start_Daten!N181</f>
        <v>0</v>
      </c>
      <c r="O181" s="4">
        <f>Start_Daten!O181</f>
        <v>0</v>
      </c>
    </row>
    <row r="182" spans="1:15">
      <c r="A182" s="1">
        <v>180</v>
      </c>
      <c r="B182">
        <f>Start_Daten!B182</f>
        <v>0</v>
      </c>
      <c r="C182" s="2">
        <f>Start_Daten!C182</f>
        <v>0</v>
      </c>
      <c r="E182" s="3" t="str">
        <f t="shared" si="2"/>
        <v/>
      </c>
      <c r="F182" s="1">
        <f>Start_Daten!F182</f>
        <v>0</v>
      </c>
      <c r="G182" s="1">
        <f>Start_Daten!G182</f>
        <v>0</v>
      </c>
      <c r="H182">
        <f>Start_Daten!H182</f>
        <v>0</v>
      </c>
      <c r="I182">
        <f>Start_Daten!I182</f>
        <v>0</v>
      </c>
      <c r="J182">
        <f>Start_Daten!J182</f>
        <v>0</v>
      </c>
      <c r="K182">
        <f>Start_Daten!K182</f>
        <v>0</v>
      </c>
      <c r="L182">
        <f>Start_Daten!L182</f>
        <v>0</v>
      </c>
      <c r="M182">
        <f>Start_Daten!M182</f>
        <v>0</v>
      </c>
      <c r="N182">
        <f>Start_Daten!N182</f>
        <v>0</v>
      </c>
      <c r="O182" s="4">
        <f>Start_Daten!O182</f>
        <v>0</v>
      </c>
    </row>
    <row r="183" spans="1:15">
      <c r="A183" s="1">
        <v>181</v>
      </c>
      <c r="B183">
        <f>Start_Daten!B183</f>
        <v>0</v>
      </c>
      <c r="C183" s="2">
        <f>Start_Daten!C183</f>
        <v>0</v>
      </c>
      <c r="E183" s="3" t="str">
        <f t="shared" si="2"/>
        <v/>
      </c>
      <c r="F183" s="1">
        <f>Start_Daten!F183</f>
        <v>0</v>
      </c>
      <c r="G183" s="1">
        <f>Start_Daten!G183</f>
        <v>0</v>
      </c>
      <c r="H183">
        <f>Start_Daten!H183</f>
        <v>0</v>
      </c>
      <c r="I183">
        <f>Start_Daten!I183</f>
        <v>0</v>
      </c>
      <c r="J183">
        <f>Start_Daten!J183</f>
        <v>0</v>
      </c>
      <c r="K183">
        <f>Start_Daten!K183</f>
        <v>0</v>
      </c>
      <c r="L183">
        <f>Start_Daten!L183</f>
        <v>0</v>
      </c>
      <c r="M183">
        <f>Start_Daten!M183</f>
        <v>0</v>
      </c>
      <c r="N183">
        <f>Start_Daten!N183</f>
        <v>0</v>
      </c>
      <c r="O183" s="4">
        <f>Start_Daten!O183</f>
        <v>0</v>
      </c>
    </row>
    <row r="184" spans="1:15">
      <c r="A184" s="1">
        <v>182</v>
      </c>
      <c r="B184">
        <f>Start_Daten!B184</f>
        <v>0</v>
      </c>
      <c r="C184" s="2">
        <f>Start_Daten!C184</f>
        <v>0</v>
      </c>
      <c r="E184" s="3" t="str">
        <f t="shared" si="2"/>
        <v/>
      </c>
      <c r="F184" s="1">
        <f>Start_Daten!F184</f>
        <v>0</v>
      </c>
      <c r="G184" s="1">
        <f>Start_Daten!G184</f>
        <v>0</v>
      </c>
      <c r="H184">
        <f>Start_Daten!H184</f>
        <v>0</v>
      </c>
      <c r="I184">
        <f>Start_Daten!I184</f>
        <v>0</v>
      </c>
      <c r="J184">
        <f>Start_Daten!J184</f>
        <v>0</v>
      </c>
      <c r="K184">
        <f>Start_Daten!K184</f>
        <v>0</v>
      </c>
      <c r="L184">
        <f>Start_Daten!L184</f>
        <v>0</v>
      </c>
      <c r="M184">
        <f>Start_Daten!M186</f>
        <v>0</v>
      </c>
      <c r="N184">
        <f>Start_Daten!N184</f>
        <v>0</v>
      </c>
      <c r="O184" s="4">
        <f>Start_Daten!O184</f>
        <v>0</v>
      </c>
    </row>
    <row r="185" spans="1:15">
      <c r="A185" s="1">
        <v>183</v>
      </c>
      <c r="B185">
        <f>Start_Daten!B185</f>
        <v>0</v>
      </c>
      <c r="C185" s="2">
        <f>Start_Daten!C185</f>
        <v>0</v>
      </c>
      <c r="E185" s="3" t="str">
        <f t="shared" si="2"/>
        <v/>
      </c>
      <c r="F185" s="1">
        <f>Start_Daten!F185</f>
        <v>0</v>
      </c>
      <c r="G185" s="1">
        <f>Start_Daten!G185</f>
        <v>0</v>
      </c>
      <c r="H185">
        <f>Start_Daten!H185</f>
        <v>0</v>
      </c>
      <c r="I185">
        <f>Start_Daten!I185</f>
        <v>0</v>
      </c>
      <c r="J185">
        <f>Start_Daten!J185</f>
        <v>0</v>
      </c>
      <c r="K185">
        <f>Start_Daten!K185</f>
        <v>0</v>
      </c>
      <c r="L185">
        <f>Start_Daten!L185</f>
        <v>0</v>
      </c>
      <c r="M185">
        <f>Start_Daten!M185</f>
        <v>0</v>
      </c>
      <c r="N185">
        <f>Start_Daten!N185</f>
        <v>0</v>
      </c>
      <c r="O185" s="4">
        <f>Start_Daten!O185</f>
        <v>0</v>
      </c>
    </row>
    <row r="186" spans="1:15">
      <c r="A186" s="1">
        <v>184</v>
      </c>
      <c r="B186">
        <f>Start_Daten!B186</f>
        <v>0</v>
      </c>
      <c r="C186" s="2">
        <f>Start_Daten!C186</f>
        <v>0</v>
      </c>
      <c r="E186" s="3" t="str">
        <f t="shared" si="2"/>
        <v/>
      </c>
      <c r="F186" s="1">
        <f>Start_Daten!F186</f>
        <v>0</v>
      </c>
      <c r="G186" s="1">
        <f>Start_Daten!G186</f>
        <v>0</v>
      </c>
      <c r="H186">
        <f>Start_Daten!H186</f>
        <v>0</v>
      </c>
      <c r="I186">
        <f>Start_Daten!I186</f>
        <v>0</v>
      </c>
      <c r="J186">
        <f>Start_Daten!J186</f>
        <v>0</v>
      </c>
      <c r="K186">
        <f>Start_Daten!K186</f>
        <v>0</v>
      </c>
      <c r="L186">
        <f>Start_Daten!L186</f>
        <v>0</v>
      </c>
      <c r="M186" t="e">
        <f>Start_Daten!#REF!</f>
        <v>#REF!</v>
      </c>
      <c r="N186">
        <f>Start_Daten!N186</f>
        <v>0</v>
      </c>
      <c r="O186" s="4">
        <f>Start_Daten!O186</f>
        <v>0</v>
      </c>
    </row>
    <row r="187" spans="1:15">
      <c r="A187" s="1">
        <v>185</v>
      </c>
      <c r="B187">
        <f>Start_Daten!B187</f>
        <v>0</v>
      </c>
      <c r="C187" s="2">
        <f>Start_Daten!C187</f>
        <v>0</v>
      </c>
      <c r="E187" s="3" t="str">
        <f t="shared" si="2"/>
        <v/>
      </c>
      <c r="F187" s="1">
        <f>Start_Daten!F187</f>
        <v>0</v>
      </c>
      <c r="G187" s="1">
        <f>Start_Daten!G187</f>
        <v>0</v>
      </c>
      <c r="H187">
        <f>Start_Daten!H187</f>
        <v>0</v>
      </c>
      <c r="I187">
        <f>Start_Daten!I187</f>
        <v>0</v>
      </c>
      <c r="J187">
        <f>Start_Daten!J187</f>
        <v>0</v>
      </c>
      <c r="K187">
        <f>Start_Daten!K187</f>
        <v>0</v>
      </c>
      <c r="L187">
        <f>Start_Daten!L187</f>
        <v>0</v>
      </c>
      <c r="M187">
        <f>Start_Daten!M187</f>
        <v>0</v>
      </c>
      <c r="N187">
        <f>Start_Daten!N187</f>
        <v>0</v>
      </c>
      <c r="O187" s="4">
        <f>Start_Daten!O187</f>
        <v>0</v>
      </c>
    </row>
    <row r="188" spans="1:15">
      <c r="A188" s="1">
        <v>186</v>
      </c>
      <c r="B188">
        <f>Start_Daten!B188</f>
        <v>0</v>
      </c>
      <c r="C188" s="2">
        <f>Start_Daten!C188</f>
        <v>0</v>
      </c>
      <c r="E188" s="3" t="str">
        <f t="shared" si="2"/>
        <v/>
      </c>
      <c r="F188" s="1">
        <f>Start_Daten!F188</f>
        <v>0</v>
      </c>
      <c r="G188" s="1">
        <f>Start_Daten!G188</f>
        <v>0</v>
      </c>
      <c r="H188">
        <f>Start_Daten!H188</f>
        <v>0</v>
      </c>
      <c r="I188">
        <f>Start_Daten!I188</f>
        <v>0</v>
      </c>
      <c r="J188">
        <f>Start_Daten!J188</f>
        <v>0</v>
      </c>
      <c r="K188">
        <f>Start_Daten!K188</f>
        <v>0</v>
      </c>
      <c r="L188">
        <f>Start_Daten!L188</f>
        <v>0</v>
      </c>
      <c r="M188">
        <f>Start_Daten!M188</f>
        <v>0</v>
      </c>
      <c r="N188">
        <f>Start_Daten!N188</f>
        <v>0</v>
      </c>
      <c r="O188" s="4">
        <f>Start_Daten!O188</f>
        <v>0</v>
      </c>
    </row>
    <row r="189" spans="1:15">
      <c r="A189" s="1">
        <v>187</v>
      </c>
      <c r="B189">
        <f>Start_Daten!B189</f>
        <v>0</v>
      </c>
      <c r="C189" s="2">
        <f>Start_Daten!C189</f>
        <v>0</v>
      </c>
      <c r="E189" s="3" t="str">
        <f t="shared" si="2"/>
        <v/>
      </c>
      <c r="F189" s="1">
        <f>Start_Daten!F189</f>
        <v>0</v>
      </c>
      <c r="G189" s="1">
        <f>Start_Daten!G189</f>
        <v>0</v>
      </c>
      <c r="H189">
        <f>Start_Daten!H189</f>
        <v>0</v>
      </c>
      <c r="I189">
        <f>Start_Daten!I189</f>
        <v>0</v>
      </c>
      <c r="J189">
        <f>Start_Daten!J189</f>
        <v>0</v>
      </c>
      <c r="K189">
        <f>Start_Daten!K189</f>
        <v>0</v>
      </c>
      <c r="L189">
        <f>Start_Daten!L189</f>
        <v>0</v>
      </c>
      <c r="M189">
        <f>Start_Daten!M189</f>
        <v>0</v>
      </c>
      <c r="N189">
        <f>Start_Daten!N189</f>
        <v>0</v>
      </c>
      <c r="O189" s="4">
        <f>Start_Daten!O189</f>
        <v>0</v>
      </c>
    </row>
    <row r="190" spans="1:15">
      <c r="A190" s="1">
        <v>188</v>
      </c>
      <c r="B190">
        <f>Start_Daten!B190</f>
        <v>0</v>
      </c>
      <c r="C190" s="2">
        <f>Start_Daten!C190</f>
        <v>0</v>
      </c>
      <c r="E190" s="3" t="str">
        <f t="shared" si="2"/>
        <v/>
      </c>
      <c r="F190" s="1">
        <f>Start_Daten!F190</f>
        <v>0</v>
      </c>
      <c r="G190" s="1">
        <f>Start_Daten!G190</f>
        <v>0</v>
      </c>
      <c r="H190">
        <f>Start_Daten!H190</f>
        <v>0</v>
      </c>
      <c r="I190">
        <f>Start_Daten!I190</f>
        <v>0</v>
      </c>
      <c r="J190">
        <f>Start_Daten!J190</f>
        <v>0</v>
      </c>
      <c r="K190">
        <f>Start_Daten!K190</f>
        <v>0</v>
      </c>
      <c r="L190">
        <f>Start_Daten!L190</f>
        <v>0</v>
      </c>
      <c r="M190">
        <f>Start_Daten!M190</f>
        <v>0</v>
      </c>
      <c r="N190">
        <f>Start_Daten!N190</f>
        <v>0</v>
      </c>
      <c r="O190" s="4">
        <f>Start_Daten!O190</f>
        <v>0</v>
      </c>
    </row>
    <row r="191" spans="1:15">
      <c r="A191" s="1">
        <v>189</v>
      </c>
      <c r="B191">
        <f>Start_Daten!B191</f>
        <v>0</v>
      </c>
      <c r="C191" s="2">
        <f>Start_Daten!C191</f>
        <v>0</v>
      </c>
      <c r="E191" s="3" t="str">
        <f t="shared" si="2"/>
        <v/>
      </c>
      <c r="F191" s="1">
        <f>Start_Daten!F191</f>
        <v>0</v>
      </c>
      <c r="G191" s="1">
        <f>Start_Daten!G191</f>
        <v>0</v>
      </c>
      <c r="H191">
        <f>Start_Daten!H191</f>
        <v>0</v>
      </c>
      <c r="I191">
        <f>Start_Daten!I191</f>
        <v>0</v>
      </c>
      <c r="J191">
        <f>Start_Daten!J191</f>
        <v>0</v>
      </c>
      <c r="K191">
        <f>Start_Daten!K191</f>
        <v>0</v>
      </c>
      <c r="L191">
        <f>Start_Daten!L191</f>
        <v>0</v>
      </c>
      <c r="M191">
        <f>Start_Daten!M191</f>
        <v>0</v>
      </c>
      <c r="N191">
        <f>Start_Daten!N191</f>
        <v>0</v>
      </c>
      <c r="O191" s="4">
        <f>Start_Daten!O191</f>
        <v>0</v>
      </c>
    </row>
    <row r="192" spans="1:15">
      <c r="A192" s="1">
        <v>190</v>
      </c>
      <c r="B192">
        <f>Start_Daten!B192</f>
        <v>0</v>
      </c>
      <c r="C192" s="2">
        <f>Start_Daten!C192</f>
        <v>0</v>
      </c>
      <c r="E192" s="3" t="str">
        <f t="shared" si="2"/>
        <v/>
      </c>
      <c r="F192" s="1">
        <f>Start_Daten!F192</f>
        <v>0</v>
      </c>
      <c r="G192" s="1">
        <f>Start_Daten!G192</f>
        <v>0</v>
      </c>
      <c r="H192">
        <f>Start_Daten!H192</f>
        <v>0</v>
      </c>
      <c r="I192">
        <f>Start_Daten!I192</f>
        <v>0</v>
      </c>
      <c r="J192">
        <f>Start_Daten!J192</f>
        <v>0</v>
      </c>
      <c r="K192">
        <f>Start_Daten!K192</f>
        <v>0</v>
      </c>
      <c r="L192">
        <f>Start_Daten!L192</f>
        <v>0</v>
      </c>
      <c r="M192">
        <f>Start_Daten!M192</f>
        <v>0</v>
      </c>
      <c r="N192">
        <f>Start_Daten!N192</f>
        <v>0</v>
      </c>
      <c r="O192" s="4">
        <f>Start_Daten!O192</f>
        <v>0</v>
      </c>
    </row>
    <row r="193" spans="1:15">
      <c r="A193" s="1">
        <v>191</v>
      </c>
      <c r="B193">
        <f>Start_Daten!B193</f>
        <v>0</v>
      </c>
      <c r="C193" s="2">
        <f>Start_Daten!C193</f>
        <v>0</v>
      </c>
      <c r="E193" s="3" t="str">
        <f t="shared" si="2"/>
        <v/>
      </c>
      <c r="F193" s="1">
        <f>Start_Daten!F193</f>
        <v>0</v>
      </c>
      <c r="G193" s="1">
        <f>Start_Daten!G193</f>
        <v>0</v>
      </c>
      <c r="H193">
        <f>Start_Daten!H193</f>
        <v>0</v>
      </c>
      <c r="I193">
        <f>Start_Daten!I193</f>
        <v>0</v>
      </c>
      <c r="J193">
        <f>Start_Daten!J193</f>
        <v>0</v>
      </c>
      <c r="K193">
        <f>Start_Daten!K193</f>
        <v>0</v>
      </c>
      <c r="L193">
        <f>Start_Daten!L193</f>
        <v>0</v>
      </c>
      <c r="M193">
        <f>Start_Daten!M193</f>
        <v>0</v>
      </c>
      <c r="N193">
        <f>Start_Daten!N193</f>
        <v>0</v>
      </c>
      <c r="O193" s="4">
        <f>Start_Daten!O193</f>
        <v>0</v>
      </c>
    </row>
    <row r="194" spans="1:15">
      <c r="A194" s="1">
        <v>192</v>
      </c>
      <c r="B194">
        <f>Start_Daten!B194</f>
        <v>0</v>
      </c>
      <c r="C194" s="2">
        <f>Start_Daten!C194</f>
        <v>0</v>
      </c>
      <c r="E194" s="3" t="str">
        <f t="shared" si="2"/>
        <v/>
      </c>
      <c r="F194" s="1">
        <f>Start_Daten!F194</f>
        <v>0</v>
      </c>
      <c r="G194" s="1">
        <f>Start_Daten!G194</f>
        <v>0</v>
      </c>
      <c r="H194">
        <f>Start_Daten!H194</f>
        <v>0</v>
      </c>
      <c r="I194">
        <f>Start_Daten!I194</f>
        <v>0</v>
      </c>
      <c r="J194">
        <f>Start_Daten!J194</f>
        <v>0</v>
      </c>
      <c r="K194">
        <f>Start_Daten!K194</f>
        <v>0</v>
      </c>
      <c r="L194">
        <f>Start_Daten!L194</f>
        <v>0</v>
      </c>
      <c r="M194">
        <f>Start_Daten!M194</f>
        <v>0</v>
      </c>
      <c r="N194">
        <f>Start_Daten!N194</f>
        <v>0</v>
      </c>
      <c r="O194" s="4">
        <f>Start_Daten!O194</f>
        <v>0</v>
      </c>
    </row>
    <row r="195" spans="1:15">
      <c r="A195" s="1">
        <v>193</v>
      </c>
      <c r="B195">
        <f>Start_Daten!B195</f>
        <v>0</v>
      </c>
      <c r="C195" s="2">
        <f>Start_Daten!C195</f>
        <v>0</v>
      </c>
      <c r="E195" s="3" t="str">
        <f t="shared" si="2"/>
        <v/>
      </c>
      <c r="F195" s="1">
        <f>Start_Daten!F195</f>
        <v>0</v>
      </c>
      <c r="G195" s="1">
        <f>Start_Daten!G195</f>
        <v>0</v>
      </c>
      <c r="H195">
        <f>Start_Daten!H195</f>
        <v>0</v>
      </c>
      <c r="I195">
        <f>Start_Daten!I195</f>
        <v>0</v>
      </c>
      <c r="J195">
        <f>Start_Daten!J195</f>
        <v>0</v>
      </c>
      <c r="K195">
        <f>Start_Daten!K195</f>
        <v>0</v>
      </c>
      <c r="L195">
        <f>Start_Daten!L195</f>
        <v>0</v>
      </c>
      <c r="M195">
        <f>Start_Daten!M195</f>
        <v>0</v>
      </c>
      <c r="N195">
        <f>Start_Daten!N195</f>
        <v>0</v>
      </c>
      <c r="O195" s="4">
        <f>Start_Daten!O195</f>
        <v>0</v>
      </c>
    </row>
    <row r="196" spans="1:15">
      <c r="A196" s="1">
        <v>194</v>
      </c>
      <c r="B196">
        <f>Start_Daten!B196</f>
        <v>0</v>
      </c>
      <c r="C196" s="2">
        <f>Start_Daten!C196</f>
        <v>0</v>
      </c>
      <c r="E196" s="3" t="str">
        <f t="shared" ref="E196:E259" si="3">IF(C196&gt;0,D196/C196,"")</f>
        <v/>
      </c>
      <c r="F196" s="1">
        <f>Start_Daten!F196</f>
        <v>0</v>
      </c>
      <c r="G196" s="1">
        <f>Start_Daten!G196</f>
        <v>0</v>
      </c>
      <c r="H196">
        <f>Start_Daten!H196</f>
        <v>0</v>
      </c>
      <c r="I196">
        <f>Start_Daten!I196</f>
        <v>0</v>
      </c>
      <c r="J196">
        <f>Start_Daten!J196</f>
        <v>0</v>
      </c>
      <c r="K196">
        <f>Start_Daten!K196</f>
        <v>0</v>
      </c>
      <c r="L196">
        <f>Start_Daten!L196</f>
        <v>0</v>
      </c>
      <c r="M196">
        <f>Start_Daten!M196</f>
        <v>0</v>
      </c>
      <c r="N196">
        <f>Start_Daten!N196</f>
        <v>0</v>
      </c>
      <c r="O196" s="4">
        <f>Start_Daten!O196</f>
        <v>0</v>
      </c>
    </row>
    <row r="197" spans="1:15">
      <c r="A197" s="1">
        <v>195</v>
      </c>
      <c r="B197">
        <f>Start_Daten!B197</f>
        <v>0</v>
      </c>
      <c r="C197" s="2">
        <f>Start_Daten!C197</f>
        <v>0</v>
      </c>
      <c r="E197" s="3" t="str">
        <f t="shared" si="3"/>
        <v/>
      </c>
      <c r="F197" s="1">
        <f>Start_Daten!F197</f>
        <v>0</v>
      </c>
      <c r="G197" s="1">
        <f>Start_Daten!G197</f>
        <v>0</v>
      </c>
      <c r="H197">
        <f>Start_Daten!H197</f>
        <v>0</v>
      </c>
      <c r="I197">
        <f>Start_Daten!I197</f>
        <v>0</v>
      </c>
      <c r="J197">
        <f>Start_Daten!J197</f>
        <v>0</v>
      </c>
      <c r="K197">
        <f>Start_Daten!K197</f>
        <v>0</v>
      </c>
      <c r="L197">
        <f>Start_Daten!L197</f>
        <v>0</v>
      </c>
      <c r="M197">
        <f>Start_Daten!M197</f>
        <v>0</v>
      </c>
      <c r="N197">
        <f>Start_Daten!N197</f>
        <v>0</v>
      </c>
      <c r="O197" s="4">
        <f>Start_Daten!O197</f>
        <v>0</v>
      </c>
    </row>
    <row r="198" spans="1:15">
      <c r="A198" s="1">
        <v>196</v>
      </c>
      <c r="B198">
        <f>Start_Daten!B198</f>
        <v>0</v>
      </c>
      <c r="C198" s="2">
        <f>Start_Daten!C198</f>
        <v>0</v>
      </c>
      <c r="E198" s="3" t="str">
        <f t="shared" si="3"/>
        <v/>
      </c>
      <c r="F198" s="1">
        <f>Start_Daten!F198</f>
        <v>0</v>
      </c>
      <c r="G198" s="1">
        <f>Start_Daten!G198</f>
        <v>0</v>
      </c>
      <c r="H198">
        <f>Start_Daten!H198</f>
        <v>0</v>
      </c>
      <c r="I198">
        <f>Start_Daten!I198</f>
        <v>0</v>
      </c>
      <c r="J198">
        <f>Start_Daten!J198</f>
        <v>0</v>
      </c>
      <c r="K198">
        <f>Start_Daten!K198</f>
        <v>0</v>
      </c>
      <c r="L198">
        <f>Start_Daten!L198</f>
        <v>0</v>
      </c>
      <c r="M198">
        <f>Start_Daten!M198</f>
        <v>0</v>
      </c>
      <c r="N198">
        <f>Start_Daten!N198</f>
        <v>0</v>
      </c>
      <c r="O198" s="4">
        <f>Start_Daten!O198</f>
        <v>0</v>
      </c>
    </row>
    <row r="199" spans="1:15">
      <c r="A199" s="1">
        <v>197</v>
      </c>
      <c r="B199">
        <f>Start_Daten!B199</f>
        <v>0</v>
      </c>
      <c r="C199" s="2">
        <f>Start_Daten!C199</f>
        <v>0</v>
      </c>
      <c r="E199" s="3" t="str">
        <f t="shared" si="3"/>
        <v/>
      </c>
      <c r="F199" s="1">
        <f>Start_Daten!F199</f>
        <v>0</v>
      </c>
      <c r="G199" s="1">
        <f>Start_Daten!G199</f>
        <v>0</v>
      </c>
      <c r="H199">
        <f>Start_Daten!H199</f>
        <v>0</v>
      </c>
      <c r="I199">
        <f>Start_Daten!I199</f>
        <v>0</v>
      </c>
      <c r="J199">
        <f>Start_Daten!J199</f>
        <v>0</v>
      </c>
      <c r="K199">
        <f>Start_Daten!K199</f>
        <v>0</v>
      </c>
      <c r="L199">
        <f>Start_Daten!L199</f>
        <v>0</v>
      </c>
      <c r="M199">
        <f>Start_Daten!M199</f>
        <v>0</v>
      </c>
      <c r="N199">
        <f>Start_Daten!N199</f>
        <v>0</v>
      </c>
      <c r="O199" s="4">
        <f>Start_Daten!O199</f>
        <v>0</v>
      </c>
    </row>
    <row r="200" spans="1:15">
      <c r="A200" s="1">
        <v>198</v>
      </c>
      <c r="B200">
        <f>Start_Daten!B200</f>
        <v>0</v>
      </c>
      <c r="C200" s="2">
        <f>Start_Daten!C200</f>
        <v>0</v>
      </c>
      <c r="E200" s="3" t="str">
        <f t="shared" si="3"/>
        <v/>
      </c>
      <c r="F200" s="1">
        <f>Start_Daten!F200</f>
        <v>0</v>
      </c>
      <c r="G200" s="1">
        <f>Start_Daten!G200</f>
        <v>0</v>
      </c>
      <c r="H200">
        <f>Start_Daten!H200</f>
        <v>0</v>
      </c>
      <c r="I200">
        <f>Start_Daten!I200</f>
        <v>0</v>
      </c>
      <c r="J200">
        <f>Start_Daten!J200</f>
        <v>0</v>
      </c>
      <c r="K200">
        <f>Start_Daten!K200</f>
        <v>0</v>
      </c>
      <c r="L200">
        <f>Start_Daten!L200</f>
        <v>0</v>
      </c>
      <c r="M200">
        <f>Start_Daten!M200</f>
        <v>0</v>
      </c>
      <c r="N200">
        <f>Start_Daten!N200</f>
        <v>0</v>
      </c>
      <c r="O200" s="4">
        <f>Start_Daten!O200</f>
        <v>0</v>
      </c>
    </row>
    <row r="201" spans="1:15">
      <c r="A201" s="1">
        <v>199</v>
      </c>
      <c r="B201">
        <f>Start_Daten!B201</f>
        <v>0</v>
      </c>
      <c r="C201" s="2">
        <f>Start_Daten!C201</f>
        <v>0</v>
      </c>
      <c r="E201" s="3" t="str">
        <f t="shared" si="3"/>
        <v/>
      </c>
      <c r="F201" s="1">
        <f>Start_Daten!F201</f>
        <v>0</v>
      </c>
      <c r="G201" s="1">
        <f>Start_Daten!G201</f>
        <v>0</v>
      </c>
      <c r="H201">
        <f>Start_Daten!H201</f>
        <v>0</v>
      </c>
      <c r="I201">
        <f>Start_Daten!I201</f>
        <v>0</v>
      </c>
      <c r="J201">
        <f>Start_Daten!J201</f>
        <v>0</v>
      </c>
      <c r="K201">
        <f>Start_Daten!K201</f>
        <v>0</v>
      </c>
      <c r="L201">
        <f>Start_Daten!L201</f>
        <v>0</v>
      </c>
      <c r="M201">
        <f>Start_Daten!M201</f>
        <v>0</v>
      </c>
      <c r="N201">
        <f>Start_Daten!N201</f>
        <v>0</v>
      </c>
      <c r="O201" s="4">
        <f>Start_Daten!O201</f>
        <v>0</v>
      </c>
    </row>
    <row r="202" spans="1:15">
      <c r="A202" s="1">
        <v>200</v>
      </c>
      <c r="B202">
        <f>Start_Daten!B202</f>
        <v>0</v>
      </c>
      <c r="C202" s="2">
        <f>Start_Daten!C202</f>
        <v>0</v>
      </c>
      <c r="E202" s="3" t="str">
        <f t="shared" si="3"/>
        <v/>
      </c>
      <c r="F202" s="1">
        <f>Start_Daten!F202</f>
        <v>0</v>
      </c>
      <c r="G202" s="1">
        <f>Start_Daten!G202</f>
        <v>0</v>
      </c>
      <c r="H202">
        <f>Start_Daten!H202</f>
        <v>0</v>
      </c>
      <c r="I202">
        <f>Start_Daten!I202</f>
        <v>0</v>
      </c>
      <c r="J202">
        <f>Start_Daten!J202</f>
        <v>0</v>
      </c>
      <c r="K202">
        <f>Start_Daten!K202</f>
        <v>0</v>
      </c>
      <c r="L202">
        <f>Start_Daten!L202</f>
        <v>0</v>
      </c>
      <c r="M202">
        <f>Start_Daten!M202</f>
        <v>0</v>
      </c>
      <c r="N202">
        <f>Start_Daten!N202</f>
        <v>0</v>
      </c>
      <c r="O202" s="4">
        <f>Start_Daten!O202</f>
        <v>0</v>
      </c>
    </row>
    <row r="203" spans="1:15">
      <c r="A203" s="1">
        <v>201</v>
      </c>
      <c r="B203">
        <f>Start_Daten!B203</f>
        <v>0</v>
      </c>
      <c r="C203" s="2">
        <f>Start_Daten!C203</f>
        <v>0</v>
      </c>
      <c r="E203" s="3" t="str">
        <f t="shared" si="3"/>
        <v/>
      </c>
      <c r="F203" s="1">
        <f>Start_Daten!F203</f>
        <v>0</v>
      </c>
      <c r="G203" s="1">
        <f>Start_Daten!G203</f>
        <v>0</v>
      </c>
      <c r="H203">
        <f>Start_Daten!H203</f>
        <v>0</v>
      </c>
      <c r="I203">
        <f>Start_Daten!I203</f>
        <v>0</v>
      </c>
      <c r="J203">
        <f>Start_Daten!J203</f>
        <v>0</v>
      </c>
      <c r="K203">
        <f>Start_Daten!K203</f>
        <v>0</v>
      </c>
      <c r="L203">
        <f>Start_Daten!L203</f>
        <v>0</v>
      </c>
      <c r="M203">
        <f>Start_Daten!M203</f>
        <v>0</v>
      </c>
      <c r="N203">
        <f>Start_Daten!N203</f>
        <v>0</v>
      </c>
      <c r="O203" s="4">
        <f>Start_Daten!O203</f>
        <v>0</v>
      </c>
    </row>
    <row r="204" spans="1:15">
      <c r="A204" s="1">
        <v>202</v>
      </c>
      <c r="B204">
        <f>Start_Daten!B204</f>
        <v>0</v>
      </c>
      <c r="C204" s="2">
        <f>Start_Daten!C204</f>
        <v>0</v>
      </c>
      <c r="E204" s="3" t="str">
        <f t="shared" si="3"/>
        <v/>
      </c>
      <c r="F204" s="1">
        <f>Start_Daten!F204</f>
        <v>0</v>
      </c>
      <c r="G204" s="1">
        <f>Start_Daten!G204</f>
        <v>0</v>
      </c>
      <c r="H204">
        <f>Start_Daten!H204</f>
        <v>0</v>
      </c>
      <c r="I204">
        <f>Start_Daten!I204</f>
        <v>0</v>
      </c>
      <c r="J204">
        <f>Start_Daten!J204</f>
        <v>0</v>
      </c>
      <c r="K204">
        <f>Start_Daten!K204</f>
        <v>0</v>
      </c>
      <c r="L204">
        <f>Start_Daten!L204</f>
        <v>0</v>
      </c>
      <c r="M204">
        <f>Start_Daten!M204</f>
        <v>0</v>
      </c>
      <c r="N204">
        <f>Start_Daten!N204</f>
        <v>0</v>
      </c>
      <c r="O204" s="4">
        <f>Start_Daten!O204</f>
        <v>0</v>
      </c>
    </row>
    <row r="205" spans="1:15">
      <c r="A205" s="1">
        <v>203</v>
      </c>
      <c r="B205">
        <f>Start_Daten!B205</f>
        <v>0</v>
      </c>
      <c r="C205" s="2">
        <f>Start_Daten!C205</f>
        <v>0</v>
      </c>
      <c r="E205" s="3" t="str">
        <f t="shared" si="3"/>
        <v/>
      </c>
      <c r="F205" s="1">
        <f>Start_Daten!F205</f>
        <v>0</v>
      </c>
      <c r="G205" s="1">
        <f>Start_Daten!G205</f>
        <v>0</v>
      </c>
      <c r="H205">
        <f>Start_Daten!H205</f>
        <v>0</v>
      </c>
      <c r="I205">
        <f>Start_Daten!I205</f>
        <v>0</v>
      </c>
      <c r="J205">
        <f>Start_Daten!J205</f>
        <v>0</v>
      </c>
      <c r="K205">
        <f>Start_Daten!K205</f>
        <v>0</v>
      </c>
      <c r="L205">
        <f>Start_Daten!L205</f>
        <v>0</v>
      </c>
      <c r="M205">
        <f>Start_Daten!M205</f>
        <v>0</v>
      </c>
      <c r="N205">
        <f>Start_Daten!N205</f>
        <v>0</v>
      </c>
      <c r="O205" s="4">
        <f>Start_Daten!O205</f>
        <v>0</v>
      </c>
    </row>
    <row r="206" spans="1:15">
      <c r="A206" s="1">
        <v>204</v>
      </c>
      <c r="B206">
        <f>Start_Daten!B206</f>
        <v>0</v>
      </c>
      <c r="C206" s="2">
        <f>Start_Daten!C206</f>
        <v>0</v>
      </c>
      <c r="E206" s="3" t="str">
        <f t="shared" si="3"/>
        <v/>
      </c>
      <c r="F206" s="1">
        <f>Start_Daten!F206</f>
        <v>0</v>
      </c>
      <c r="G206" s="1">
        <f>Start_Daten!G206</f>
        <v>0</v>
      </c>
      <c r="H206">
        <f>Start_Daten!H206</f>
        <v>0</v>
      </c>
      <c r="I206">
        <f>Start_Daten!I206</f>
        <v>0</v>
      </c>
      <c r="J206">
        <f>Start_Daten!J206</f>
        <v>0</v>
      </c>
      <c r="K206">
        <f>Start_Daten!K206</f>
        <v>0</v>
      </c>
      <c r="L206">
        <f>Start_Daten!L206</f>
        <v>0</v>
      </c>
      <c r="M206">
        <f>Start_Daten!M206</f>
        <v>0</v>
      </c>
      <c r="N206">
        <f>Start_Daten!N206</f>
        <v>0</v>
      </c>
      <c r="O206" s="4">
        <f>Start_Daten!O206</f>
        <v>0</v>
      </c>
    </row>
    <row r="207" spans="1:15">
      <c r="A207" s="1">
        <v>205</v>
      </c>
      <c r="B207">
        <f>Start_Daten!B207</f>
        <v>0</v>
      </c>
      <c r="C207" s="2">
        <f>Start_Daten!C207</f>
        <v>0</v>
      </c>
      <c r="E207" s="3" t="str">
        <f t="shared" si="3"/>
        <v/>
      </c>
      <c r="F207" s="1">
        <f>Start_Daten!F207</f>
        <v>0</v>
      </c>
      <c r="G207" s="1">
        <f>Start_Daten!G207</f>
        <v>0</v>
      </c>
      <c r="H207">
        <f>Start_Daten!H207</f>
        <v>0</v>
      </c>
      <c r="I207">
        <f>Start_Daten!I207</f>
        <v>0</v>
      </c>
      <c r="J207">
        <f>Start_Daten!J207</f>
        <v>0</v>
      </c>
      <c r="K207">
        <f>Start_Daten!K207</f>
        <v>0</v>
      </c>
      <c r="L207">
        <f>Start_Daten!L207</f>
        <v>0</v>
      </c>
      <c r="M207">
        <f>Start_Daten!M207</f>
        <v>0</v>
      </c>
      <c r="N207">
        <f>Start_Daten!N207</f>
        <v>0</v>
      </c>
      <c r="O207" s="4">
        <f>Start_Daten!O207</f>
        <v>0</v>
      </c>
    </row>
    <row r="208" spans="1:15">
      <c r="A208" s="1">
        <v>206</v>
      </c>
      <c r="B208">
        <f>Start_Daten!B208</f>
        <v>0</v>
      </c>
      <c r="C208" s="2">
        <f>Start_Daten!C208</f>
        <v>0</v>
      </c>
      <c r="E208" s="3" t="str">
        <f t="shared" si="3"/>
        <v/>
      </c>
      <c r="F208" s="1">
        <f>Start_Daten!F208</f>
        <v>0</v>
      </c>
      <c r="G208" s="1">
        <f>Start_Daten!G208</f>
        <v>0</v>
      </c>
      <c r="H208">
        <f>Start_Daten!H208</f>
        <v>0</v>
      </c>
      <c r="I208">
        <f>Start_Daten!I208</f>
        <v>0</v>
      </c>
      <c r="J208">
        <f>Start_Daten!J208</f>
        <v>0</v>
      </c>
      <c r="K208">
        <f>Start_Daten!K208</f>
        <v>0</v>
      </c>
      <c r="L208">
        <f>Start_Daten!L208</f>
        <v>0</v>
      </c>
      <c r="M208">
        <f>Start_Daten!M208</f>
        <v>0</v>
      </c>
      <c r="N208">
        <f>Start_Daten!N208</f>
        <v>0</v>
      </c>
      <c r="O208" s="4">
        <f>Start_Daten!O208</f>
        <v>0</v>
      </c>
    </row>
    <row r="209" spans="1:15">
      <c r="A209" s="1">
        <v>207</v>
      </c>
      <c r="B209">
        <f>Start_Daten!B209</f>
        <v>0</v>
      </c>
      <c r="C209" s="2">
        <f>Start_Daten!C209</f>
        <v>0</v>
      </c>
      <c r="E209" s="3" t="str">
        <f t="shared" si="3"/>
        <v/>
      </c>
      <c r="F209" s="1">
        <f>Start_Daten!F209</f>
        <v>0</v>
      </c>
      <c r="G209" s="1">
        <f>Start_Daten!G209</f>
        <v>0</v>
      </c>
      <c r="H209">
        <f>Start_Daten!H209</f>
        <v>0</v>
      </c>
      <c r="I209">
        <f>Start_Daten!I209</f>
        <v>0</v>
      </c>
      <c r="J209">
        <f>Start_Daten!J209</f>
        <v>0</v>
      </c>
      <c r="K209">
        <f>Start_Daten!K209</f>
        <v>0</v>
      </c>
      <c r="L209">
        <f>Start_Daten!L209</f>
        <v>0</v>
      </c>
      <c r="M209">
        <f>Start_Daten!M209</f>
        <v>0</v>
      </c>
      <c r="N209">
        <f>Start_Daten!N209</f>
        <v>0</v>
      </c>
      <c r="O209" s="4">
        <f>Start_Daten!O209</f>
        <v>0</v>
      </c>
    </row>
    <row r="210" spans="1:15">
      <c r="A210" s="1">
        <v>208</v>
      </c>
      <c r="B210">
        <f>Start_Daten!B210</f>
        <v>0</v>
      </c>
      <c r="C210" s="2">
        <f>Start_Daten!C210</f>
        <v>0</v>
      </c>
      <c r="E210" s="3" t="str">
        <f t="shared" si="3"/>
        <v/>
      </c>
      <c r="F210" s="1">
        <f>Start_Daten!F210</f>
        <v>0</v>
      </c>
      <c r="G210" s="1">
        <f>Start_Daten!G210</f>
        <v>0</v>
      </c>
      <c r="H210">
        <f>Start_Daten!H210</f>
        <v>0</v>
      </c>
      <c r="I210">
        <f>Start_Daten!I210</f>
        <v>0</v>
      </c>
      <c r="J210">
        <f>Start_Daten!J210</f>
        <v>0</v>
      </c>
      <c r="K210">
        <f>Start_Daten!K210</f>
        <v>0</v>
      </c>
      <c r="L210">
        <f>Start_Daten!L210</f>
        <v>0</v>
      </c>
      <c r="M210">
        <f>Start_Daten!M210</f>
        <v>0</v>
      </c>
      <c r="N210">
        <f>Start_Daten!N210</f>
        <v>0</v>
      </c>
      <c r="O210" s="4">
        <f>Start_Daten!O210</f>
        <v>0</v>
      </c>
    </row>
    <row r="211" spans="1:15">
      <c r="A211" s="1">
        <v>209</v>
      </c>
      <c r="B211">
        <f>Start_Daten!B211</f>
        <v>0</v>
      </c>
      <c r="C211" s="2">
        <f>Start_Daten!C211</f>
        <v>0</v>
      </c>
      <c r="E211" s="3" t="str">
        <f t="shared" si="3"/>
        <v/>
      </c>
      <c r="F211" s="1">
        <f>Start_Daten!F211</f>
        <v>0</v>
      </c>
      <c r="G211" s="1">
        <f>Start_Daten!G211</f>
        <v>0</v>
      </c>
      <c r="H211">
        <f>Start_Daten!H211</f>
        <v>0</v>
      </c>
      <c r="I211">
        <f>Start_Daten!I211</f>
        <v>0</v>
      </c>
      <c r="J211">
        <f>Start_Daten!J211</f>
        <v>0</v>
      </c>
      <c r="K211">
        <f>Start_Daten!K211</f>
        <v>0</v>
      </c>
      <c r="L211">
        <f>Start_Daten!L211</f>
        <v>0</v>
      </c>
      <c r="M211">
        <f>Start_Daten!M211</f>
        <v>0</v>
      </c>
      <c r="N211">
        <f>Start_Daten!N211</f>
        <v>0</v>
      </c>
      <c r="O211" s="4">
        <f>Start_Daten!O211</f>
        <v>0</v>
      </c>
    </row>
    <row r="212" spans="1:15">
      <c r="A212" s="1">
        <v>210</v>
      </c>
      <c r="B212">
        <f>Start_Daten!B212</f>
        <v>0</v>
      </c>
      <c r="C212" s="2">
        <f>Start_Daten!C212</f>
        <v>0</v>
      </c>
      <c r="E212" s="3" t="str">
        <f t="shared" si="3"/>
        <v/>
      </c>
      <c r="F212" s="1">
        <f>Start_Daten!F212</f>
        <v>0</v>
      </c>
      <c r="G212" s="1">
        <f>Start_Daten!G212</f>
        <v>0</v>
      </c>
      <c r="H212">
        <f>Start_Daten!H212</f>
        <v>0</v>
      </c>
      <c r="I212">
        <f>Start_Daten!I212</f>
        <v>0</v>
      </c>
      <c r="J212">
        <f>Start_Daten!J212</f>
        <v>0</v>
      </c>
      <c r="K212">
        <f>Start_Daten!K212</f>
        <v>0</v>
      </c>
      <c r="L212">
        <f>Start_Daten!L212</f>
        <v>0</v>
      </c>
      <c r="M212">
        <f>Start_Daten!M212</f>
        <v>0</v>
      </c>
      <c r="N212">
        <f>Start_Daten!N212</f>
        <v>0</v>
      </c>
      <c r="O212" s="4">
        <f>Start_Daten!O212</f>
        <v>0</v>
      </c>
    </row>
    <row r="213" spans="1:15">
      <c r="A213" s="1">
        <v>211</v>
      </c>
      <c r="B213">
        <f>Start_Daten!B213</f>
        <v>0</v>
      </c>
      <c r="C213" s="2">
        <f>Start_Daten!C213</f>
        <v>0</v>
      </c>
      <c r="E213" s="3" t="str">
        <f t="shared" si="3"/>
        <v/>
      </c>
      <c r="F213" s="1">
        <f>Start_Daten!F213</f>
        <v>0</v>
      </c>
      <c r="G213" s="1">
        <f>Start_Daten!G213</f>
        <v>0</v>
      </c>
      <c r="H213">
        <f>Start_Daten!H213</f>
        <v>0</v>
      </c>
      <c r="I213">
        <f>Start_Daten!I213</f>
        <v>0</v>
      </c>
      <c r="J213">
        <f>Start_Daten!J213</f>
        <v>0</v>
      </c>
      <c r="K213">
        <f>Start_Daten!K213</f>
        <v>0</v>
      </c>
      <c r="L213">
        <f>Start_Daten!L213</f>
        <v>0</v>
      </c>
      <c r="M213">
        <f>Start_Daten!M213</f>
        <v>0</v>
      </c>
      <c r="N213">
        <f>Start_Daten!N213</f>
        <v>0</v>
      </c>
      <c r="O213" s="4">
        <f>Start_Daten!O213</f>
        <v>0</v>
      </c>
    </row>
    <row r="214" spans="1:15">
      <c r="A214" s="1">
        <v>212</v>
      </c>
      <c r="B214">
        <f>Start_Daten!B214</f>
        <v>0</v>
      </c>
      <c r="C214" s="2">
        <f>Start_Daten!C214</f>
        <v>0</v>
      </c>
      <c r="E214" s="3" t="str">
        <f t="shared" si="3"/>
        <v/>
      </c>
      <c r="F214" s="1">
        <f>Start_Daten!F214</f>
        <v>0</v>
      </c>
      <c r="G214" s="1">
        <f>Start_Daten!G214</f>
        <v>0</v>
      </c>
      <c r="H214">
        <f>Start_Daten!H214</f>
        <v>0</v>
      </c>
      <c r="I214">
        <f>Start_Daten!I214</f>
        <v>0</v>
      </c>
      <c r="J214">
        <f>Start_Daten!J214</f>
        <v>0</v>
      </c>
      <c r="K214">
        <f>Start_Daten!K214</f>
        <v>0</v>
      </c>
      <c r="L214">
        <f>Start_Daten!L214</f>
        <v>0</v>
      </c>
      <c r="M214">
        <f>Start_Daten!M214</f>
        <v>0</v>
      </c>
      <c r="N214">
        <f>Start_Daten!N214</f>
        <v>0</v>
      </c>
      <c r="O214" s="4">
        <f>Start_Daten!O214</f>
        <v>0</v>
      </c>
    </row>
    <row r="215" spans="1:15">
      <c r="A215" s="1">
        <v>213</v>
      </c>
      <c r="B215">
        <f>Start_Daten!B215</f>
        <v>0</v>
      </c>
      <c r="C215" s="2">
        <f>Start_Daten!C215</f>
        <v>0</v>
      </c>
      <c r="E215" s="3" t="str">
        <f t="shared" si="3"/>
        <v/>
      </c>
      <c r="F215" s="1">
        <f>Start_Daten!F215</f>
        <v>0</v>
      </c>
      <c r="G215" s="1">
        <f>Start_Daten!G215</f>
        <v>0</v>
      </c>
      <c r="H215">
        <f>Start_Daten!H215</f>
        <v>0</v>
      </c>
      <c r="I215">
        <f>Start_Daten!I215</f>
        <v>0</v>
      </c>
      <c r="J215">
        <f>Start_Daten!J215</f>
        <v>0</v>
      </c>
      <c r="K215">
        <f>Start_Daten!K215</f>
        <v>0</v>
      </c>
      <c r="L215">
        <f>Start_Daten!L215</f>
        <v>0</v>
      </c>
      <c r="M215">
        <f>Start_Daten!M215</f>
        <v>0</v>
      </c>
      <c r="N215">
        <f>Start_Daten!N215</f>
        <v>0</v>
      </c>
      <c r="O215" s="4">
        <f>Start_Daten!O215</f>
        <v>0</v>
      </c>
    </row>
    <row r="216" spans="1:15">
      <c r="A216" s="1">
        <v>214</v>
      </c>
      <c r="B216">
        <f>Start_Daten!B216</f>
        <v>0</v>
      </c>
      <c r="C216" s="2">
        <f>Start_Daten!C216</f>
        <v>0</v>
      </c>
      <c r="E216" s="3" t="str">
        <f t="shared" si="3"/>
        <v/>
      </c>
      <c r="F216" s="1">
        <f>Start_Daten!F216</f>
        <v>0</v>
      </c>
      <c r="G216" s="1">
        <f>Start_Daten!G216</f>
        <v>0</v>
      </c>
      <c r="H216">
        <f>Start_Daten!H216</f>
        <v>0</v>
      </c>
      <c r="I216">
        <f>Start_Daten!I216</f>
        <v>0</v>
      </c>
      <c r="J216">
        <f>Start_Daten!J216</f>
        <v>0</v>
      </c>
      <c r="K216">
        <f>Start_Daten!K216</f>
        <v>0</v>
      </c>
      <c r="L216">
        <f>Start_Daten!L216</f>
        <v>0</v>
      </c>
      <c r="M216">
        <f>Start_Daten!M216</f>
        <v>0</v>
      </c>
      <c r="N216">
        <f>Start_Daten!N216</f>
        <v>0</v>
      </c>
      <c r="O216" s="4">
        <f>Start_Daten!O216</f>
        <v>0</v>
      </c>
    </row>
    <row r="217" spans="1:15">
      <c r="A217" s="1">
        <v>215</v>
      </c>
      <c r="B217">
        <f>Start_Daten!B217</f>
        <v>0</v>
      </c>
      <c r="C217" s="2">
        <f>Start_Daten!C217</f>
        <v>0</v>
      </c>
      <c r="E217" s="3" t="str">
        <f t="shared" si="3"/>
        <v/>
      </c>
      <c r="F217" s="1">
        <f>Start_Daten!F217</f>
        <v>0</v>
      </c>
      <c r="G217" s="1">
        <f>Start_Daten!G217</f>
        <v>0</v>
      </c>
      <c r="H217">
        <f>Start_Daten!H217</f>
        <v>0</v>
      </c>
      <c r="I217">
        <f>Start_Daten!I217</f>
        <v>0</v>
      </c>
      <c r="J217">
        <f>Start_Daten!J217</f>
        <v>0</v>
      </c>
      <c r="K217">
        <f>Start_Daten!K217</f>
        <v>0</v>
      </c>
      <c r="L217">
        <f>Start_Daten!L217</f>
        <v>0</v>
      </c>
      <c r="M217">
        <f>Start_Daten!M217</f>
        <v>0</v>
      </c>
      <c r="N217">
        <f>Start_Daten!N217</f>
        <v>0</v>
      </c>
      <c r="O217" s="4">
        <f>Start_Daten!O217</f>
        <v>0</v>
      </c>
    </row>
    <row r="218" spans="1:15">
      <c r="A218" s="1">
        <v>216</v>
      </c>
      <c r="B218">
        <f>Start_Daten!B218</f>
        <v>0</v>
      </c>
      <c r="C218" s="2">
        <f>Start_Daten!C218</f>
        <v>0</v>
      </c>
      <c r="E218" s="3" t="str">
        <f t="shared" si="3"/>
        <v/>
      </c>
      <c r="F218" s="1">
        <f>Start_Daten!F218</f>
        <v>0</v>
      </c>
      <c r="G218" s="1">
        <f>Start_Daten!G218</f>
        <v>0</v>
      </c>
      <c r="H218">
        <f>Start_Daten!H218</f>
        <v>0</v>
      </c>
      <c r="I218">
        <f>Start_Daten!I218</f>
        <v>0</v>
      </c>
      <c r="J218">
        <f>Start_Daten!J218</f>
        <v>0</v>
      </c>
      <c r="K218">
        <f>Start_Daten!K218</f>
        <v>0</v>
      </c>
      <c r="L218">
        <f>Start_Daten!L218</f>
        <v>0</v>
      </c>
      <c r="M218">
        <f>Start_Daten!M218</f>
        <v>0</v>
      </c>
      <c r="N218">
        <f>Start_Daten!N218</f>
        <v>0</v>
      </c>
      <c r="O218" s="4">
        <f>Start_Daten!O218</f>
        <v>0</v>
      </c>
    </row>
    <row r="219" spans="1:15">
      <c r="A219" s="1">
        <v>217</v>
      </c>
      <c r="B219">
        <f>Start_Daten!B219</f>
        <v>0</v>
      </c>
      <c r="C219" s="2">
        <f>Start_Daten!C219</f>
        <v>0</v>
      </c>
      <c r="E219" s="3" t="str">
        <f t="shared" si="3"/>
        <v/>
      </c>
      <c r="F219" s="1">
        <f>Start_Daten!F219</f>
        <v>0</v>
      </c>
      <c r="G219" s="1">
        <f>Start_Daten!G219</f>
        <v>0</v>
      </c>
      <c r="H219">
        <f>Start_Daten!H219</f>
        <v>0</v>
      </c>
      <c r="I219">
        <f>Start_Daten!I219</f>
        <v>0</v>
      </c>
      <c r="J219">
        <f>Start_Daten!J219</f>
        <v>0</v>
      </c>
      <c r="K219">
        <f>Start_Daten!K219</f>
        <v>0</v>
      </c>
      <c r="L219">
        <f>Start_Daten!L219</f>
        <v>0</v>
      </c>
      <c r="M219">
        <f>Start_Daten!M219</f>
        <v>0</v>
      </c>
      <c r="N219">
        <f>Start_Daten!N219</f>
        <v>0</v>
      </c>
      <c r="O219" s="4">
        <f>Start_Daten!O219</f>
        <v>0</v>
      </c>
    </row>
    <row r="220" spans="1:15">
      <c r="A220" s="1">
        <v>218</v>
      </c>
      <c r="B220">
        <f>Start_Daten!B220</f>
        <v>0</v>
      </c>
      <c r="C220" s="2">
        <f>Start_Daten!C220</f>
        <v>0</v>
      </c>
      <c r="E220" s="3" t="str">
        <f t="shared" si="3"/>
        <v/>
      </c>
      <c r="F220" s="1">
        <f>Start_Daten!F220</f>
        <v>0</v>
      </c>
      <c r="G220" s="1">
        <f>Start_Daten!G220</f>
        <v>0</v>
      </c>
      <c r="H220">
        <f>Start_Daten!H220</f>
        <v>0</v>
      </c>
      <c r="I220">
        <f>Start_Daten!I220</f>
        <v>0</v>
      </c>
      <c r="J220">
        <f>Start_Daten!J220</f>
        <v>0</v>
      </c>
      <c r="K220">
        <f>Start_Daten!K220</f>
        <v>0</v>
      </c>
      <c r="L220">
        <f>Start_Daten!L220</f>
        <v>0</v>
      </c>
      <c r="M220">
        <f>Start_Daten!M220</f>
        <v>0</v>
      </c>
      <c r="N220">
        <f>Start_Daten!N220</f>
        <v>0</v>
      </c>
      <c r="O220" s="4">
        <f>Start_Daten!O220</f>
        <v>0</v>
      </c>
    </row>
    <row r="221" spans="1:15">
      <c r="A221" s="1">
        <v>219</v>
      </c>
      <c r="B221">
        <f>Start_Daten!B221</f>
        <v>0</v>
      </c>
      <c r="C221" s="2">
        <f>Start_Daten!C221</f>
        <v>0</v>
      </c>
      <c r="E221" s="3" t="str">
        <f t="shared" si="3"/>
        <v/>
      </c>
      <c r="F221" s="1">
        <f>Start_Daten!F221</f>
        <v>0</v>
      </c>
      <c r="G221" s="1">
        <f>Start_Daten!G221</f>
        <v>0</v>
      </c>
      <c r="H221">
        <f>Start_Daten!H221</f>
        <v>0</v>
      </c>
      <c r="I221">
        <f>Start_Daten!I221</f>
        <v>0</v>
      </c>
      <c r="J221">
        <f>Start_Daten!J221</f>
        <v>0</v>
      </c>
      <c r="K221">
        <f>Start_Daten!K221</f>
        <v>0</v>
      </c>
      <c r="L221">
        <f>Start_Daten!L221</f>
        <v>0</v>
      </c>
      <c r="M221">
        <f>Start_Daten!M221</f>
        <v>0</v>
      </c>
      <c r="N221">
        <f>Start_Daten!N221</f>
        <v>0</v>
      </c>
      <c r="O221" s="4">
        <f>Start_Daten!O221</f>
        <v>0</v>
      </c>
    </row>
    <row r="222" spans="1:15">
      <c r="A222" s="1">
        <v>220</v>
      </c>
      <c r="B222">
        <f>Start_Daten!B222</f>
        <v>0</v>
      </c>
      <c r="C222" s="2">
        <f>Start_Daten!C222</f>
        <v>0</v>
      </c>
      <c r="E222" s="3" t="str">
        <f t="shared" si="3"/>
        <v/>
      </c>
      <c r="F222" s="1">
        <f>Start_Daten!F222</f>
        <v>0</v>
      </c>
      <c r="G222" s="1">
        <f>Start_Daten!G222</f>
        <v>0</v>
      </c>
      <c r="H222">
        <f>Start_Daten!H222</f>
        <v>0</v>
      </c>
      <c r="I222">
        <f>Start_Daten!I222</f>
        <v>0</v>
      </c>
      <c r="J222">
        <f>Start_Daten!J222</f>
        <v>0</v>
      </c>
      <c r="K222">
        <f>Start_Daten!K222</f>
        <v>0</v>
      </c>
      <c r="L222">
        <f>Start_Daten!L222</f>
        <v>0</v>
      </c>
      <c r="M222">
        <f>Start_Daten!M222</f>
        <v>0</v>
      </c>
      <c r="N222">
        <f>Start_Daten!N222</f>
        <v>0</v>
      </c>
      <c r="O222" s="4">
        <f>Start_Daten!O222</f>
        <v>0</v>
      </c>
    </row>
    <row r="223" spans="1:15">
      <c r="A223" s="1">
        <v>221</v>
      </c>
      <c r="B223">
        <f>Start_Daten!B223</f>
        <v>0</v>
      </c>
      <c r="C223" s="2">
        <f>Start_Daten!C223</f>
        <v>0</v>
      </c>
      <c r="E223" s="3" t="str">
        <f t="shared" si="3"/>
        <v/>
      </c>
      <c r="F223" s="1">
        <f>Start_Daten!F223</f>
        <v>0</v>
      </c>
      <c r="G223" s="1">
        <f>Start_Daten!G223</f>
        <v>0</v>
      </c>
      <c r="H223">
        <f>Start_Daten!H223</f>
        <v>0</v>
      </c>
      <c r="I223">
        <f>Start_Daten!I223</f>
        <v>0</v>
      </c>
      <c r="J223">
        <f>Start_Daten!J223</f>
        <v>0</v>
      </c>
      <c r="K223">
        <f>Start_Daten!K223</f>
        <v>0</v>
      </c>
      <c r="L223">
        <f>Start_Daten!L223</f>
        <v>0</v>
      </c>
      <c r="M223">
        <f>Start_Daten!M223</f>
        <v>0</v>
      </c>
      <c r="N223">
        <f>Start_Daten!N223</f>
        <v>0</v>
      </c>
      <c r="O223" s="4">
        <f>Start_Daten!O223</f>
        <v>0</v>
      </c>
    </row>
    <row r="224" spans="1:15">
      <c r="A224" s="1">
        <v>222</v>
      </c>
      <c r="B224">
        <f>Start_Daten!B224</f>
        <v>0</v>
      </c>
      <c r="C224" s="2">
        <f>Start_Daten!C224</f>
        <v>0</v>
      </c>
      <c r="E224" s="3" t="str">
        <f t="shared" si="3"/>
        <v/>
      </c>
      <c r="F224" s="1">
        <f>Start_Daten!F224</f>
        <v>0</v>
      </c>
      <c r="G224" s="1">
        <f>Start_Daten!G224</f>
        <v>0</v>
      </c>
      <c r="H224">
        <f>Start_Daten!H224</f>
        <v>0</v>
      </c>
      <c r="I224">
        <f>Start_Daten!I224</f>
        <v>0</v>
      </c>
      <c r="J224">
        <f>Start_Daten!J224</f>
        <v>0</v>
      </c>
      <c r="K224">
        <f>Start_Daten!K224</f>
        <v>0</v>
      </c>
      <c r="L224">
        <f>Start_Daten!L224</f>
        <v>0</v>
      </c>
      <c r="M224">
        <f>Start_Daten!M224</f>
        <v>0</v>
      </c>
      <c r="N224">
        <f>Start_Daten!N224</f>
        <v>0</v>
      </c>
      <c r="O224" s="4">
        <f>Start_Daten!O224</f>
        <v>0</v>
      </c>
    </row>
    <row r="225" spans="1:15">
      <c r="A225" s="1">
        <v>223</v>
      </c>
      <c r="B225">
        <f>Start_Daten!B225</f>
        <v>0</v>
      </c>
      <c r="C225" s="2">
        <f>Start_Daten!C225</f>
        <v>0</v>
      </c>
      <c r="E225" s="3" t="str">
        <f t="shared" si="3"/>
        <v/>
      </c>
      <c r="F225" s="1">
        <f>Start_Daten!F225</f>
        <v>0</v>
      </c>
      <c r="G225" s="1">
        <f>Start_Daten!G225</f>
        <v>0</v>
      </c>
      <c r="H225">
        <f>Start_Daten!H225</f>
        <v>0</v>
      </c>
      <c r="I225">
        <f>Start_Daten!I225</f>
        <v>0</v>
      </c>
      <c r="J225">
        <f>Start_Daten!J225</f>
        <v>0</v>
      </c>
      <c r="K225">
        <f>Start_Daten!K225</f>
        <v>0</v>
      </c>
      <c r="L225">
        <f>Start_Daten!L225</f>
        <v>0</v>
      </c>
      <c r="M225">
        <f>Start_Daten!M225</f>
        <v>0</v>
      </c>
      <c r="N225">
        <f>Start_Daten!N225</f>
        <v>0</v>
      </c>
      <c r="O225" s="4">
        <f>Start_Daten!O225</f>
        <v>0</v>
      </c>
    </row>
    <row r="226" spans="1:15">
      <c r="A226" s="1">
        <v>224</v>
      </c>
      <c r="B226">
        <f>Start_Daten!B226</f>
        <v>0</v>
      </c>
      <c r="C226" s="2">
        <f>Start_Daten!C226</f>
        <v>0</v>
      </c>
      <c r="E226" s="3" t="str">
        <f t="shared" si="3"/>
        <v/>
      </c>
      <c r="F226" s="1">
        <f>Start_Daten!F226</f>
        <v>0</v>
      </c>
      <c r="G226" s="1">
        <f>Start_Daten!G226</f>
        <v>0</v>
      </c>
      <c r="H226">
        <f>Start_Daten!H226</f>
        <v>0</v>
      </c>
      <c r="I226">
        <f>Start_Daten!I226</f>
        <v>0</v>
      </c>
      <c r="J226">
        <f>Start_Daten!J226</f>
        <v>0</v>
      </c>
      <c r="K226">
        <f>Start_Daten!K226</f>
        <v>0</v>
      </c>
      <c r="L226">
        <f>Start_Daten!L226</f>
        <v>0</v>
      </c>
      <c r="M226">
        <f>Start_Daten!M226</f>
        <v>0</v>
      </c>
      <c r="N226">
        <f>Start_Daten!N226</f>
        <v>0</v>
      </c>
      <c r="O226" s="4">
        <f>Start_Daten!O226</f>
        <v>0</v>
      </c>
    </row>
    <row r="227" spans="1:15">
      <c r="A227" s="1">
        <v>225</v>
      </c>
      <c r="B227">
        <f>Start_Daten!B227</f>
        <v>0</v>
      </c>
      <c r="C227" s="2">
        <f>Start_Daten!C227</f>
        <v>0</v>
      </c>
      <c r="E227" s="3" t="str">
        <f t="shared" si="3"/>
        <v/>
      </c>
      <c r="F227" s="1">
        <f>Start_Daten!F227</f>
        <v>0</v>
      </c>
      <c r="G227" s="1">
        <f>Start_Daten!G227</f>
        <v>0</v>
      </c>
      <c r="H227">
        <f>Start_Daten!H227</f>
        <v>0</v>
      </c>
      <c r="I227">
        <f>Start_Daten!I227</f>
        <v>0</v>
      </c>
      <c r="J227">
        <f>Start_Daten!J227</f>
        <v>0</v>
      </c>
      <c r="K227">
        <f>Start_Daten!K227</f>
        <v>0</v>
      </c>
      <c r="L227">
        <f>Start_Daten!L227</f>
        <v>0</v>
      </c>
      <c r="M227">
        <f>Start_Daten!M227</f>
        <v>0</v>
      </c>
      <c r="N227">
        <f>Start_Daten!N227</f>
        <v>0</v>
      </c>
      <c r="O227" s="4">
        <f>Start_Daten!O227</f>
        <v>0</v>
      </c>
    </row>
    <row r="228" spans="1:15">
      <c r="A228" s="1">
        <v>226</v>
      </c>
      <c r="B228">
        <f>Start_Daten!B228</f>
        <v>0</v>
      </c>
      <c r="C228" s="2">
        <f>Start_Daten!C228</f>
        <v>0</v>
      </c>
      <c r="E228" s="3" t="str">
        <f t="shared" si="3"/>
        <v/>
      </c>
      <c r="F228" s="1">
        <f>Start_Daten!F228</f>
        <v>0</v>
      </c>
      <c r="G228" s="1">
        <f>Start_Daten!G228</f>
        <v>0</v>
      </c>
      <c r="H228">
        <f>Start_Daten!H228</f>
        <v>0</v>
      </c>
      <c r="I228">
        <f>Start_Daten!I228</f>
        <v>0</v>
      </c>
      <c r="J228">
        <f>Start_Daten!J228</f>
        <v>0</v>
      </c>
      <c r="K228">
        <f>Start_Daten!K228</f>
        <v>0</v>
      </c>
      <c r="L228">
        <f>Start_Daten!L228</f>
        <v>0</v>
      </c>
      <c r="M228">
        <f>Start_Daten!M228</f>
        <v>0</v>
      </c>
      <c r="N228">
        <f>Start_Daten!N228</f>
        <v>0</v>
      </c>
      <c r="O228" s="4">
        <f>Start_Daten!O228</f>
        <v>0</v>
      </c>
    </row>
    <row r="229" spans="1:15">
      <c r="A229" s="1">
        <v>227</v>
      </c>
      <c r="B229">
        <f>Start_Daten!B229</f>
        <v>0</v>
      </c>
      <c r="C229" s="2">
        <f>Start_Daten!C229</f>
        <v>0</v>
      </c>
      <c r="E229" s="3" t="str">
        <f t="shared" si="3"/>
        <v/>
      </c>
      <c r="F229" s="1">
        <f>Start_Daten!F229</f>
        <v>0</v>
      </c>
      <c r="G229" s="1">
        <f>Start_Daten!G229</f>
        <v>0</v>
      </c>
      <c r="H229">
        <f>Start_Daten!H229</f>
        <v>0</v>
      </c>
      <c r="I229">
        <f>Start_Daten!I229</f>
        <v>0</v>
      </c>
      <c r="J229">
        <f>Start_Daten!J229</f>
        <v>0</v>
      </c>
      <c r="K229">
        <f>Start_Daten!K229</f>
        <v>0</v>
      </c>
      <c r="L229">
        <f>Start_Daten!L229</f>
        <v>0</v>
      </c>
      <c r="M229">
        <f>Start_Daten!M229</f>
        <v>0</v>
      </c>
      <c r="N229">
        <f>Start_Daten!N229</f>
        <v>0</v>
      </c>
      <c r="O229" s="4">
        <f>Start_Daten!O229</f>
        <v>0</v>
      </c>
    </row>
    <row r="230" spans="1:15">
      <c r="A230" s="1">
        <v>228</v>
      </c>
      <c r="B230">
        <f>Start_Daten!B230</f>
        <v>0</v>
      </c>
      <c r="C230" s="2">
        <f>Start_Daten!C230</f>
        <v>0</v>
      </c>
      <c r="E230" s="3" t="str">
        <f t="shared" si="3"/>
        <v/>
      </c>
      <c r="F230" s="1">
        <f>Start_Daten!F230</f>
        <v>0</v>
      </c>
      <c r="G230" s="1">
        <f>Start_Daten!G230</f>
        <v>0</v>
      </c>
      <c r="H230">
        <f>Start_Daten!H230</f>
        <v>0</v>
      </c>
      <c r="I230">
        <f>Start_Daten!I230</f>
        <v>0</v>
      </c>
      <c r="J230">
        <f>Start_Daten!J230</f>
        <v>0</v>
      </c>
      <c r="K230">
        <f>Start_Daten!K230</f>
        <v>0</v>
      </c>
      <c r="L230">
        <f>Start_Daten!L230</f>
        <v>0</v>
      </c>
      <c r="M230">
        <f>Start_Daten!M230</f>
        <v>0</v>
      </c>
      <c r="N230">
        <f>Start_Daten!N230</f>
        <v>0</v>
      </c>
      <c r="O230" s="4">
        <f>Start_Daten!O230</f>
        <v>0</v>
      </c>
    </row>
    <row r="231" spans="1:15">
      <c r="A231" s="1">
        <v>229</v>
      </c>
      <c r="B231">
        <f>Start_Daten!B231</f>
        <v>0</v>
      </c>
      <c r="C231" s="2">
        <f>Start_Daten!C231</f>
        <v>0</v>
      </c>
      <c r="E231" s="3" t="str">
        <f t="shared" si="3"/>
        <v/>
      </c>
      <c r="F231" s="1">
        <f>Start_Daten!F231</f>
        <v>0</v>
      </c>
      <c r="G231" s="1">
        <f>Start_Daten!G231</f>
        <v>0</v>
      </c>
      <c r="H231">
        <f>Start_Daten!H231</f>
        <v>0</v>
      </c>
      <c r="I231">
        <f>Start_Daten!I231</f>
        <v>0</v>
      </c>
      <c r="J231">
        <f>Start_Daten!J231</f>
        <v>0</v>
      </c>
      <c r="K231">
        <f>Start_Daten!K231</f>
        <v>0</v>
      </c>
      <c r="L231">
        <f>Start_Daten!L231</f>
        <v>0</v>
      </c>
      <c r="M231">
        <f>Start_Daten!M231</f>
        <v>0</v>
      </c>
      <c r="N231">
        <f>Start_Daten!N231</f>
        <v>0</v>
      </c>
      <c r="O231" s="4">
        <f>Start_Daten!O231</f>
        <v>0</v>
      </c>
    </row>
    <row r="232" spans="1:15">
      <c r="A232" s="1">
        <v>230</v>
      </c>
      <c r="B232">
        <f>Start_Daten!B232</f>
        <v>0</v>
      </c>
      <c r="C232" s="2">
        <f>Start_Daten!C232</f>
        <v>0</v>
      </c>
      <c r="E232" s="3" t="str">
        <f t="shared" si="3"/>
        <v/>
      </c>
      <c r="F232" s="1">
        <f>Start_Daten!F232</f>
        <v>0</v>
      </c>
      <c r="G232" s="1">
        <f>Start_Daten!G232</f>
        <v>0</v>
      </c>
      <c r="H232">
        <f>Start_Daten!H232</f>
        <v>0</v>
      </c>
      <c r="I232">
        <f>Start_Daten!I232</f>
        <v>0</v>
      </c>
      <c r="J232">
        <f>Start_Daten!J232</f>
        <v>0</v>
      </c>
      <c r="K232">
        <f>Start_Daten!K232</f>
        <v>0</v>
      </c>
      <c r="L232">
        <f>Start_Daten!L232</f>
        <v>0</v>
      </c>
      <c r="M232">
        <f>Start_Daten!M232</f>
        <v>0</v>
      </c>
      <c r="N232">
        <f>Start_Daten!N232</f>
        <v>0</v>
      </c>
      <c r="O232" s="4">
        <f>Start_Daten!O232</f>
        <v>0</v>
      </c>
    </row>
    <row r="233" spans="1:15">
      <c r="A233" s="1">
        <v>231</v>
      </c>
      <c r="B233">
        <f>Start_Daten!B233</f>
        <v>0</v>
      </c>
      <c r="C233" s="2">
        <f>Start_Daten!C233</f>
        <v>0</v>
      </c>
      <c r="E233" s="3" t="str">
        <f t="shared" si="3"/>
        <v/>
      </c>
      <c r="F233" s="1">
        <f>Start_Daten!F233</f>
        <v>0</v>
      </c>
      <c r="G233" s="1">
        <f>Start_Daten!G233</f>
        <v>0</v>
      </c>
      <c r="H233">
        <f>Start_Daten!H233</f>
        <v>0</v>
      </c>
      <c r="I233">
        <f>Start_Daten!I233</f>
        <v>0</v>
      </c>
      <c r="J233">
        <f>Start_Daten!J233</f>
        <v>0</v>
      </c>
      <c r="K233">
        <f>Start_Daten!K233</f>
        <v>0</v>
      </c>
      <c r="L233">
        <f>Start_Daten!L233</f>
        <v>0</v>
      </c>
      <c r="M233">
        <f>Start_Daten!M233</f>
        <v>0</v>
      </c>
      <c r="N233">
        <f>Start_Daten!N233</f>
        <v>0</v>
      </c>
      <c r="O233" s="4">
        <f>Start_Daten!O233</f>
        <v>0</v>
      </c>
    </row>
    <row r="234" spans="1:15">
      <c r="A234" s="1">
        <v>232</v>
      </c>
      <c r="B234">
        <f>Start_Daten!B234</f>
        <v>0</v>
      </c>
      <c r="C234" s="2">
        <f>Start_Daten!C234</f>
        <v>0</v>
      </c>
      <c r="E234" s="3" t="str">
        <f t="shared" si="3"/>
        <v/>
      </c>
      <c r="F234" s="1">
        <f>Start_Daten!F234</f>
        <v>0</v>
      </c>
      <c r="G234" s="1">
        <f>Start_Daten!G234</f>
        <v>0</v>
      </c>
      <c r="H234">
        <f>Start_Daten!H234</f>
        <v>0</v>
      </c>
      <c r="I234">
        <f>Start_Daten!I234</f>
        <v>0</v>
      </c>
      <c r="J234">
        <f>Start_Daten!J234</f>
        <v>0</v>
      </c>
      <c r="K234">
        <f>Start_Daten!K234</f>
        <v>0</v>
      </c>
      <c r="L234">
        <f>Start_Daten!L234</f>
        <v>0</v>
      </c>
      <c r="M234">
        <f>Start_Daten!M234</f>
        <v>0</v>
      </c>
      <c r="N234">
        <f>Start_Daten!N234</f>
        <v>0</v>
      </c>
      <c r="O234" s="4">
        <f>Start_Daten!O234</f>
        <v>0</v>
      </c>
    </row>
    <row r="235" spans="1:15">
      <c r="A235" s="1">
        <v>233</v>
      </c>
      <c r="B235">
        <f>Start_Daten!B235</f>
        <v>0</v>
      </c>
      <c r="C235" s="2">
        <f>Start_Daten!C235</f>
        <v>0</v>
      </c>
      <c r="E235" s="3" t="str">
        <f t="shared" si="3"/>
        <v/>
      </c>
      <c r="F235" s="1">
        <f>Start_Daten!F235</f>
        <v>0</v>
      </c>
      <c r="G235" s="1">
        <f>Start_Daten!G235</f>
        <v>0</v>
      </c>
      <c r="H235">
        <f>Start_Daten!H235</f>
        <v>0</v>
      </c>
      <c r="I235">
        <f>Start_Daten!I235</f>
        <v>0</v>
      </c>
      <c r="J235">
        <f>Start_Daten!J235</f>
        <v>0</v>
      </c>
      <c r="K235">
        <f>Start_Daten!K235</f>
        <v>0</v>
      </c>
      <c r="L235">
        <f>Start_Daten!L235</f>
        <v>0</v>
      </c>
      <c r="M235">
        <f>Start_Daten!M235</f>
        <v>0</v>
      </c>
      <c r="N235">
        <f>Start_Daten!N235</f>
        <v>0</v>
      </c>
      <c r="O235" s="4">
        <f>Start_Daten!O235</f>
        <v>0</v>
      </c>
    </row>
    <row r="236" spans="1:15">
      <c r="A236" s="1">
        <v>234</v>
      </c>
      <c r="B236">
        <f>Start_Daten!B236</f>
        <v>0</v>
      </c>
      <c r="C236" s="2">
        <f>Start_Daten!C236</f>
        <v>0</v>
      </c>
      <c r="E236" s="3" t="str">
        <f t="shared" si="3"/>
        <v/>
      </c>
      <c r="F236" s="1">
        <f>Start_Daten!F236</f>
        <v>0</v>
      </c>
      <c r="G236" s="1">
        <f>Start_Daten!G236</f>
        <v>0</v>
      </c>
      <c r="H236">
        <f>Start_Daten!H236</f>
        <v>0</v>
      </c>
      <c r="I236">
        <f>Start_Daten!I236</f>
        <v>0</v>
      </c>
      <c r="J236">
        <f>Start_Daten!J236</f>
        <v>0</v>
      </c>
      <c r="K236">
        <f>Start_Daten!K236</f>
        <v>0</v>
      </c>
      <c r="L236">
        <f>Start_Daten!L236</f>
        <v>0</v>
      </c>
      <c r="M236">
        <f>Start_Daten!M236</f>
        <v>0</v>
      </c>
      <c r="N236">
        <f>Start_Daten!N236</f>
        <v>0</v>
      </c>
      <c r="O236" s="4">
        <f>Start_Daten!O236</f>
        <v>0</v>
      </c>
    </row>
    <row r="237" spans="1:15">
      <c r="A237" s="1">
        <v>235</v>
      </c>
      <c r="B237">
        <f>Start_Daten!B237</f>
        <v>0</v>
      </c>
      <c r="C237" s="2">
        <f>Start_Daten!C237</f>
        <v>0</v>
      </c>
      <c r="E237" s="3" t="str">
        <f t="shared" si="3"/>
        <v/>
      </c>
      <c r="F237" s="1">
        <f>Start_Daten!F237</f>
        <v>0</v>
      </c>
      <c r="G237" s="1">
        <f>Start_Daten!G237</f>
        <v>0</v>
      </c>
      <c r="H237">
        <f>Start_Daten!H237</f>
        <v>0</v>
      </c>
      <c r="I237">
        <f>Start_Daten!I237</f>
        <v>0</v>
      </c>
      <c r="J237">
        <f>Start_Daten!J237</f>
        <v>0</v>
      </c>
      <c r="K237">
        <f>Start_Daten!K237</f>
        <v>0</v>
      </c>
      <c r="L237">
        <f>Start_Daten!L237</f>
        <v>0</v>
      </c>
      <c r="M237">
        <f>Start_Daten!M237</f>
        <v>0</v>
      </c>
      <c r="N237">
        <f>Start_Daten!N237</f>
        <v>0</v>
      </c>
      <c r="O237" s="4">
        <f>Start_Daten!O237</f>
        <v>0</v>
      </c>
    </row>
    <row r="238" spans="1:15">
      <c r="A238" s="1">
        <v>236</v>
      </c>
      <c r="B238">
        <f>Start_Daten!B238</f>
        <v>0</v>
      </c>
      <c r="C238" s="2">
        <f>Start_Daten!C238</f>
        <v>0</v>
      </c>
      <c r="E238" s="3" t="str">
        <f t="shared" si="3"/>
        <v/>
      </c>
      <c r="F238" s="1">
        <f>Start_Daten!F238</f>
        <v>0</v>
      </c>
      <c r="G238" s="1">
        <f>Start_Daten!G238</f>
        <v>0</v>
      </c>
      <c r="H238">
        <f>Start_Daten!H238</f>
        <v>0</v>
      </c>
      <c r="I238">
        <f>Start_Daten!I238</f>
        <v>0</v>
      </c>
      <c r="J238">
        <f>Start_Daten!J238</f>
        <v>0</v>
      </c>
      <c r="K238">
        <f>Start_Daten!K238</f>
        <v>0</v>
      </c>
      <c r="L238">
        <f>Start_Daten!L238</f>
        <v>0</v>
      </c>
      <c r="M238">
        <f>Start_Daten!M238</f>
        <v>0</v>
      </c>
      <c r="N238">
        <f>Start_Daten!N238</f>
        <v>0</v>
      </c>
      <c r="O238" s="4">
        <f>Start_Daten!O238</f>
        <v>0</v>
      </c>
    </row>
    <row r="239" spans="1:15">
      <c r="A239" s="1">
        <v>237</v>
      </c>
      <c r="B239">
        <f>Start_Daten!B239</f>
        <v>0</v>
      </c>
      <c r="C239" s="2">
        <f>Start_Daten!C239</f>
        <v>0</v>
      </c>
      <c r="E239" s="3" t="str">
        <f t="shared" si="3"/>
        <v/>
      </c>
      <c r="F239" s="1">
        <f>Start_Daten!F239</f>
        <v>0</v>
      </c>
      <c r="G239" s="1">
        <f>Start_Daten!G239</f>
        <v>0</v>
      </c>
      <c r="H239">
        <f>Start_Daten!H239</f>
        <v>0</v>
      </c>
      <c r="I239">
        <f>Start_Daten!I239</f>
        <v>0</v>
      </c>
      <c r="J239">
        <f>Start_Daten!J239</f>
        <v>0</v>
      </c>
      <c r="K239">
        <f>Start_Daten!K239</f>
        <v>0</v>
      </c>
      <c r="L239">
        <f>Start_Daten!L239</f>
        <v>0</v>
      </c>
      <c r="M239">
        <f>Start_Daten!M239</f>
        <v>0</v>
      </c>
      <c r="N239">
        <f>Start_Daten!N239</f>
        <v>0</v>
      </c>
      <c r="O239" s="4">
        <f>Start_Daten!O239</f>
        <v>0</v>
      </c>
    </row>
    <row r="240" spans="1:15">
      <c r="A240" s="1">
        <v>238</v>
      </c>
      <c r="B240">
        <f>Start_Daten!B240</f>
        <v>0</v>
      </c>
      <c r="C240" s="2">
        <f>Start_Daten!C240</f>
        <v>0</v>
      </c>
      <c r="E240" s="3" t="str">
        <f t="shared" si="3"/>
        <v/>
      </c>
      <c r="F240" s="1">
        <f>Start_Daten!F240</f>
        <v>0</v>
      </c>
      <c r="G240" s="1">
        <f>Start_Daten!G240</f>
        <v>0</v>
      </c>
      <c r="H240">
        <f>Start_Daten!H240</f>
        <v>0</v>
      </c>
      <c r="I240">
        <f>Start_Daten!I240</f>
        <v>0</v>
      </c>
      <c r="J240">
        <f>Start_Daten!J240</f>
        <v>0</v>
      </c>
      <c r="K240">
        <f>Start_Daten!K240</f>
        <v>0</v>
      </c>
      <c r="L240">
        <f>Start_Daten!L240</f>
        <v>0</v>
      </c>
      <c r="M240">
        <f>Start_Daten!M240</f>
        <v>0</v>
      </c>
      <c r="N240">
        <f>Start_Daten!N240</f>
        <v>0</v>
      </c>
      <c r="O240" s="4">
        <f>Start_Daten!O240</f>
        <v>0</v>
      </c>
    </row>
    <row r="241" spans="1:15">
      <c r="A241" s="1">
        <v>239</v>
      </c>
      <c r="B241">
        <f>Start_Daten!B241</f>
        <v>0</v>
      </c>
      <c r="C241" s="2">
        <f>Start_Daten!C241</f>
        <v>0</v>
      </c>
      <c r="E241" s="3" t="str">
        <f t="shared" si="3"/>
        <v/>
      </c>
      <c r="F241" s="1">
        <f>Start_Daten!F241</f>
        <v>0</v>
      </c>
      <c r="G241" s="1">
        <f>Start_Daten!G241</f>
        <v>0</v>
      </c>
      <c r="H241">
        <f>Start_Daten!H241</f>
        <v>0</v>
      </c>
      <c r="I241">
        <f>Start_Daten!I241</f>
        <v>0</v>
      </c>
      <c r="J241">
        <f>Start_Daten!J241</f>
        <v>0</v>
      </c>
      <c r="K241">
        <f>Start_Daten!K241</f>
        <v>0</v>
      </c>
      <c r="L241">
        <f>Start_Daten!L241</f>
        <v>0</v>
      </c>
      <c r="M241">
        <f>Start_Daten!M241</f>
        <v>0</v>
      </c>
      <c r="N241">
        <f>Start_Daten!N241</f>
        <v>0</v>
      </c>
      <c r="O241" s="4">
        <f>Start_Daten!O241</f>
        <v>0</v>
      </c>
    </row>
    <row r="242" spans="1:15">
      <c r="A242" s="1">
        <v>240</v>
      </c>
      <c r="B242">
        <f>Start_Daten!B242</f>
        <v>0</v>
      </c>
      <c r="C242" s="2">
        <f>Start_Daten!C242</f>
        <v>0</v>
      </c>
      <c r="E242" s="3" t="str">
        <f t="shared" si="3"/>
        <v/>
      </c>
      <c r="F242" s="1">
        <f>Start_Daten!F242</f>
        <v>0</v>
      </c>
      <c r="G242" s="1">
        <f>Start_Daten!G242</f>
        <v>0</v>
      </c>
      <c r="H242">
        <f>Start_Daten!H242</f>
        <v>0</v>
      </c>
      <c r="I242">
        <f>Start_Daten!I242</f>
        <v>0</v>
      </c>
      <c r="J242">
        <f>Start_Daten!J242</f>
        <v>0</v>
      </c>
      <c r="K242">
        <f>Start_Daten!K242</f>
        <v>0</v>
      </c>
      <c r="L242">
        <f>Start_Daten!L242</f>
        <v>0</v>
      </c>
      <c r="M242">
        <f>Start_Daten!M242</f>
        <v>0</v>
      </c>
      <c r="N242">
        <f>Start_Daten!N242</f>
        <v>0</v>
      </c>
      <c r="O242" s="4">
        <f>Start_Daten!O242</f>
        <v>0</v>
      </c>
    </row>
    <row r="243" spans="1:15">
      <c r="A243" s="1">
        <v>241</v>
      </c>
      <c r="B243">
        <f>Start_Daten!B243</f>
        <v>0</v>
      </c>
      <c r="C243" s="2">
        <f>Start_Daten!C243</f>
        <v>0</v>
      </c>
      <c r="E243" s="3" t="str">
        <f t="shared" si="3"/>
        <v/>
      </c>
      <c r="F243" s="1">
        <f>Start_Daten!F243</f>
        <v>0</v>
      </c>
      <c r="G243" s="1">
        <f>Start_Daten!G243</f>
        <v>0</v>
      </c>
      <c r="H243">
        <f>Start_Daten!H243</f>
        <v>0</v>
      </c>
      <c r="I243">
        <f>Start_Daten!I243</f>
        <v>0</v>
      </c>
      <c r="J243">
        <f>Start_Daten!J243</f>
        <v>0</v>
      </c>
      <c r="K243">
        <f>Start_Daten!K243</f>
        <v>0</v>
      </c>
      <c r="L243">
        <f>Start_Daten!L243</f>
        <v>0</v>
      </c>
      <c r="M243">
        <f>Start_Daten!M243</f>
        <v>0</v>
      </c>
      <c r="N243">
        <f>Start_Daten!N243</f>
        <v>0</v>
      </c>
      <c r="O243" s="4">
        <f>Start_Daten!O243</f>
        <v>0</v>
      </c>
    </row>
    <row r="244" spans="1:15">
      <c r="A244" s="1">
        <v>242</v>
      </c>
      <c r="B244">
        <f>Start_Daten!B244</f>
        <v>0</v>
      </c>
      <c r="C244" s="2">
        <f>Start_Daten!C244</f>
        <v>0</v>
      </c>
      <c r="E244" s="3" t="str">
        <f t="shared" si="3"/>
        <v/>
      </c>
      <c r="F244" s="1">
        <f>Start_Daten!F244</f>
        <v>0</v>
      </c>
      <c r="G244" s="1">
        <f>Start_Daten!G244</f>
        <v>0</v>
      </c>
      <c r="H244">
        <f>Start_Daten!H244</f>
        <v>0</v>
      </c>
      <c r="I244">
        <f>Start_Daten!I244</f>
        <v>0</v>
      </c>
      <c r="J244">
        <f>Start_Daten!J244</f>
        <v>0</v>
      </c>
      <c r="K244">
        <f>Start_Daten!K244</f>
        <v>0</v>
      </c>
      <c r="L244">
        <f>Start_Daten!L244</f>
        <v>0</v>
      </c>
      <c r="M244">
        <f>Start_Daten!M244</f>
        <v>0</v>
      </c>
      <c r="N244">
        <f>Start_Daten!N244</f>
        <v>0</v>
      </c>
      <c r="O244" s="4">
        <f>Start_Daten!O244</f>
        <v>0</v>
      </c>
    </row>
    <row r="245" spans="1:15">
      <c r="A245" s="1">
        <v>243</v>
      </c>
      <c r="B245">
        <f>Start_Daten!B245</f>
        <v>0</v>
      </c>
      <c r="C245" s="2">
        <f>Start_Daten!C245</f>
        <v>0</v>
      </c>
      <c r="E245" s="3" t="str">
        <f t="shared" si="3"/>
        <v/>
      </c>
      <c r="F245" s="1">
        <f>Start_Daten!F245</f>
        <v>0</v>
      </c>
      <c r="G245" s="1">
        <f>Start_Daten!G245</f>
        <v>0</v>
      </c>
      <c r="H245">
        <f>Start_Daten!H245</f>
        <v>0</v>
      </c>
      <c r="I245">
        <f>Start_Daten!I245</f>
        <v>0</v>
      </c>
      <c r="J245">
        <f>Start_Daten!J245</f>
        <v>0</v>
      </c>
      <c r="K245">
        <f>Start_Daten!K245</f>
        <v>0</v>
      </c>
      <c r="L245">
        <f>Start_Daten!L245</f>
        <v>0</v>
      </c>
      <c r="M245">
        <f>Start_Daten!M245</f>
        <v>0</v>
      </c>
      <c r="N245">
        <f>Start_Daten!N245</f>
        <v>0</v>
      </c>
      <c r="O245" s="4">
        <f>Start_Daten!O245</f>
        <v>0</v>
      </c>
    </row>
    <row r="246" spans="1:15">
      <c r="A246" s="1">
        <v>244</v>
      </c>
      <c r="B246">
        <f>Start_Daten!B246</f>
        <v>0</v>
      </c>
      <c r="C246" s="2">
        <f>Start_Daten!C246</f>
        <v>0</v>
      </c>
      <c r="E246" s="3" t="str">
        <f t="shared" si="3"/>
        <v/>
      </c>
      <c r="F246" s="1">
        <f>Start_Daten!F246</f>
        <v>0</v>
      </c>
      <c r="G246" s="1">
        <f>Start_Daten!G246</f>
        <v>0</v>
      </c>
      <c r="H246">
        <f>Start_Daten!H246</f>
        <v>0</v>
      </c>
      <c r="I246">
        <f>Start_Daten!I246</f>
        <v>0</v>
      </c>
      <c r="J246">
        <f>Start_Daten!J246</f>
        <v>0</v>
      </c>
      <c r="K246">
        <f>Start_Daten!K246</f>
        <v>0</v>
      </c>
      <c r="L246">
        <f>Start_Daten!L246</f>
        <v>0</v>
      </c>
      <c r="M246">
        <f>Start_Daten!M246</f>
        <v>0</v>
      </c>
      <c r="N246">
        <f>Start_Daten!N246</f>
        <v>0</v>
      </c>
      <c r="O246" s="4">
        <f>Start_Daten!O246</f>
        <v>0</v>
      </c>
    </row>
    <row r="247" spans="1:15">
      <c r="A247" s="1">
        <v>245</v>
      </c>
      <c r="B247">
        <f>Start_Daten!B247</f>
        <v>0</v>
      </c>
      <c r="C247" s="2">
        <f>Start_Daten!C247</f>
        <v>0</v>
      </c>
      <c r="E247" s="3" t="str">
        <f t="shared" si="3"/>
        <v/>
      </c>
      <c r="F247" s="1">
        <f>Start_Daten!F247</f>
        <v>0</v>
      </c>
      <c r="G247" s="1">
        <f>Start_Daten!G247</f>
        <v>0</v>
      </c>
      <c r="H247">
        <f>Start_Daten!H247</f>
        <v>0</v>
      </c>
      <c r="I247">
        <f>Start_Daten!I247</f>
        <v>0</v>
      </c>
      <c r="J247">
        <f>Start_Daten!J247</f>
        <v>0</v>
      </c>
      <c r="K247">
        <f>Start_Daten!K247</f>
        <v>0</v>
      </c>
      <c r="L247">
        <f>Start_Daten!L247</f>
        <v>0</v>
      </c>
      <c r="M247">
        <f>Start_Daten!M247</f>
        <v>0</v>
      </c>
      <c r="N247">
        <f>Start_Daten!N247</f>
        <v>0</v>
      </c>
      <c r="O247" s="4">
        <f>Start_Daten!O247</f>
        <v>0</v>
      </c>
    </row>
    <row r="248" spans="1:15">
      <c r="A248" s="1">
        <v>246</v>
      </c>
      <c r="B248">
        <f>Start_Daten!B248</f>
        <v>0</v>
      </c>
      <c r="C248" s="2">
        <f>Start_Daten!C248</f>
        <v>0</v>
      </c>
      <c r="E248" s="3" t="str">
        <f t="shared" si="3"/>
        <v/>
      </c>
      <c r="F248" s="1">
        <f>Start_Daten!F248</f>
        <v>0</v>
      </c>
      <c r="G248" s="1">
        <f>Start_Daten!G248</f>
        <v>0</v>
      </c>
      <c r="H248">
        <f>Start_Daten!H248</f>
        <v>0</v>
      </c>
      <c r="I248">
        <f>Start_Daten!I248</f>
        <v>0</v>
      </c>
      <c r="J248">
        <f>Start_Daten!J248</f>
        <v>0</v>
      </c>
      <c r="K248">
        <f>Start_Daten!K248</f>
        <v>0</v>
      </c>
      <c r="L248">
        <f>Start_Daten!L248</f>
        <v>0</v>
      </c>
      <c r="M248">
        <f>Start_Daten!M248</f>
        <v>0</v>
      </c>
      <c r="N248">
        <f>Start_Daten!N248</f>
        <v>0</v>
      </c>
      <c r="O248" s="4">
        <f>Start_Daten!O248</f>
        <v>0</v>
      </c>
    </row>
    <row r="249" spans="1:15">
      <c r="A249" s="1">
        <v>247</v>
      </c>
      <c r="B249">
        <f>Start_Daten!B249</f>
        <v>0</v>
      </c>
      <c r="C249" s="2">
        <f>Start_Daten!C249</f>
        <v>0</v>
      </c>
      <c r="E249" s="3" t="str">
        <f t="shared" si="3"/>
        <v/>
      </c>
      <c r="F249" s="1">
        <f>Start_Daten!F249</f>
        <v>0</v>
      </c>
      <c r="G249" s="1">
        <f>Start_Daten!G249</f>
        <v>0</v>
      </c>
      <c r="H249">
        <f>Start_Daten!H249</f>
        <v>0</v>
      </c>
      <c r="I249">
        <f>Start_Daten!I249</f>
        <v>0</v>
      </c>
      <c r="J249">
        <f>Start_Daten!J249</f>
        <v>0</v>
      </c>
      <c r="K249">
        <f>Start_Daten!K249</f>
        <v>0</v>
      </c>
      <c r="L249">
        <f>Start_Daten!L249</f>
        <v>0</v>
      </c>
      <c r="M249">
        <f>Start_Daten!M249</f>
        <v>0</v>
      </c>
      <c r="N249">
        <f>Start_Daten!N249</f>
        <v>0</v>
      </c>
      <c r="O249" s="4">
        <f>Start_Daten!O249</f>
        <v>0</v>
      </c>
    </row>
    <row r="250" spans="1:15">
      <c r="A250" s="1">
        <v>248</v>
      </c>
      <c r="B250">
        <f>Start_Daten!B250</f>
        <v>0</v>
      </c>
      <c r="C250" s="2">
        <f>Start_Daten!C250</f>
        <v>0</v>
      </c>
      <c r="E250" s="3" t="str">
        <f t="shared" si="3"/>
        <v/>
      </c>
      <c r="F250" s="1">
        <f>Start_Daten!F250</f>
        <v>0</v>
      </c>
      <c r="G250" s="1">
        <f>Start_Daten!G250</f>
        <v>0</v>
      </c>
      <c r="H250">
        <f>Start_Daten!H250</f>
        <v>0</v>
      </c>
      <c r="I250">
        <f>Start_Daten!I250</f>
        <v>0</v>
      </c>
      <c r="J250">
        <f>Start_Daten!J250</f>
        <v>0</v>
      </c>
      <c r="K250">
        <f>Start_Daten!K250</f>
        <v>0</v>
      </c>
      <c r="L250">
        <f>Start_Daten!L250</f>
        <v>0</v>
      </c>
      <c r="M250">
        <f>Start_Daten!M250</f>
        <v>0</v>
      </c>
      <c r="N250">
        <f>Start_Daten!N250</f>
        <v>0</v>
      </c>
      <c r="O250" s="4">
        <f>Start_Daten!O250</f>
        <v>0</v>
      </c>
    </row>
    <row r="251" spans="1:15">
      <c r="A251" s="1">
        <v>249</v>
      </c>
      <c r="B251">
        <f>Start_Daten!B251</f>
        <v>0</v>
      </c>
      <c r="C251" s="2">
        <f>Start_Daten!C251</f>
        <v>0</v>
      </c>
      <c r="E251" s="3" t="str">
        <f t="shared" si="3"/>
        <v/>
      </c>
      <c r="F251" s="1">
        <f>Start_Daten!F251</f>
        <v>0</v>
      </c>
      <c r="G251" s="1">
        <f>Start_Daten!G251</f>
        <v>0</v>
      </c>
      <c r="H251">
        <f>Start_Daten!H251</f>
        <v>0</v>
      </c>
      <c r="I251">
        <f>Start_Daten!I251</f>
        <v>0</v>
      </c>
      <c r="J251">
        <f>Start_Daten!J251</f>
        <v>0</v>
      </c>
      <c r="K251">
        <f>Start_Daten!K251</f>
        <v>0</v>
      </c>
      <c r="L251">
        <f>Start_Daten!L251</f>
        <v>0</v>
      </c>
      <c r="M251">
        <f>Start_Daten!M251</f>
        <v>0</v>
      </c>
      <c r="N251">
        <f>Start_Daten!N251</f>
        <v>0</v>
      </c>
      <c r="O251" s="4">
        <f>Start_Daten!O251</f>
        <v>0</v>
      </c>
    </row>
    <row r="252" spans="1:15">
      <c r="A252" s="1">
        <v>250</v>
      </c>
      <c r="B252">
        <f>Start_Daten!B252</f>
        <v>0</v>
      </c>
      <c r="C252" s="2">
        <f>Start_Daten!C252</f>
        <v>0</v>
      </c>
      <c r="E252" s="3" t="str">
        <f t="shared" si="3"/>
        <v/>
      </c>
      <c r="F252" s="1">
        <f>Start_Daten!F252</f>
        <v>0</v>
      </c>
      <c r="G252" s="1">
        <f>Start_Daten!G252</f>
        <v>0</v>
      </c>
      <c r="H252">
        <f>Start_Daten!H252</f>
        <v>0</v>
      </c>
      <c r="I252">
        <f>Start_Daten!I252</f>
        <v>0</v>
      </c>
      <c r="J252">
        <f>Start_Daten!J252</f>
        <v>0</v>
      </c>
      <c r="K252">
        <f>Start_Daten!K252</f>
        <v>0</v>
      </c>
      <c r="L252">
        <f>Start_Daten!L252</f>
        <v>0</v>
      </c>
      <c r="M252">
        <f>Start_Daten!M252</f>
        <v>0</v>
      </c>
      <c r="N252">
        <f>Start_Daten!N252</f>
        <v>0</v>
      </c>
      <c r="O252" s="4">
        <f>Start_Daten!O252</f>
        <v>0</v>
      </c>
    </row>
    <row r="253" spans="1:15">
      <c r="A253" s="1">
        <v>251</v>
      </c>
      <c r="B253">
        <f>Start_Daten!B253</f>
        <v>0</v>
      </c>
      <c r="C253" s="2">
        <f>Start_Daten!C253</f>
        <v>0</v>
      </c>
      <c r="E253" s="3" t="str">
        <f t="shared" si="3"/>
        <v/>
      </c>
      <c r="F253" s="1">
        <f>Start_Daten!F253</f>
        <v>0</v>
      </c>
      <c r="G253" s="1">
        <f>Start_Daten!G253</f>
        <v>0</v>
      </c>
      <c r="H253">
        <f>Start_Daten!H253</f>
        <v>0</v>
      </c>
      <c r="I253">
        <f>Start_Daten!I253</f>
        <v>0</v>
      </c>
      <c r="J253">
        <f>Start_Daten!J253</f>
        <v>0</v>
      </c>
      <c r="K253">
        <f>Start_Daten!K253</f>
        <v>0</v>
      </c>
      <c r="L253">
        <f>Start_Daten!L253</f>
        <v>0</v>
      </c>
      <c r="M253">
        <f>Start_Daten!M253</f>
        <v>0</v>
      </c>
      <c r="N253">
        <f>Start_Daten!N253</f>
        <v>0</v>
      </c>
      <c r="O253" s="4">
        <f>Start_Daten!O253</f>
        <v>0</v>
      </c>
    </row>
    <row r="254" spans="1:15">
      <c r="A254" s="1">
        <v>252</v>
      </c>
      <c r="B254">
        <f>Start_Daten!B254</f>
        <v>0</v>
      </c>
      <c r="C254" s="2">
        <f>Start_Daten!C254</f>
        <v>0</v>
      </c>
      <c r="E254" s="3" t="str">
        <f t="shared" si="3"/>
        <v/>
      </c>
      <c r="F254" s="1">
        <f>Start_Daten!F254</f>
        <v>0</v>
      </c>
      <c r="G254" s="1">
        <f>Start_Daten!G254</f>
        <v>0</v>
      </c>
      <c r="H254">
        <f>Start_Daten!H254</f>
        <v>0</v>
      </c>
      <c r="I254">
        <f>Start_Daten!I254</f>
        <v>0</v>
      </c>
      <c r="J254">
        <f>Start_Daten!J254</f>
        <v>0</v>
      </c>
      <c r="K254">
        <f>Start_Daten!K254</f>
        <v>0</v>
      </c>
      <c r="L254">
        <f>Start_Daten!L254</f>
        <v>0</v>
      </c>
      <c r="M254">
        <f>Start_Daten!M254</f>
        <v>0</v>
      </c>
      <c r="N254">
        <f>Start_Daten!N254</f>
        <v>0</v>
      </c>
      <c r="O254" s="4">
        <f>Start_Daten!O254</f>
        <v>0</v>
      </c>
    </row>
    <row r="255" spans="1:15">
      <c r="A255" s="1">
        <v>253</v>
      </c>
      <c r="B255">
        <f>Start_Daten!B255</f>
        <v>0</v>
      </c>
      <c r="C255" s="2">
        <f>Start_Daten!C255</f>
        <v>0</v>
      </c>
      <c r="E255" s="3" t="str">
        <f t="shared" si="3"/>
        <v/>
      </c>
      <c r="F255" s="1">
        <f>Start_Daten!F255</f>
        <v>0</v>
      </c>
      <c r="G255" s="1">
        <f>Start_Daten!G255</f>
        <v>0</v>
      </c>
      <c r="H255">
        <f>Start_Daten!H255</f>
        <v>0</v>
      </c>
      <c r="I255">
        <f>Start_Daten!I255</f>
        <v>0</v>
      </c>
      <c r="J255">
        <f>Start_Daten!J255</f>
        <v>0</v>
      </c>
      <c r="K255">
        <f>Start_Daten!K255</f>
        <v>0</v>
      </c>
      <c r="L255">
        <f>Start_Daten!L255</f>
        <v>0</v>
      </c>
      <c r="M255">
        <f>Start_Daten!M255</f>
        <v>0</v>
      </c>
      <c r="N255">
        <f>Start_Daten!N255</f>
        <v>0</v>
      </c>
      <c r="O255" s="4">
        <f>Start_Daten!O255</f>
        <v>0</v>
      </c>
    </row>
    <row r="256" spans="1:15">
      <c r="A256" s="1">
        <v>254</v>
      </c>
      <c r="B256">
        <f>Start_Daten!B256</f>
        <v>0</v>
      </c>
      <c r="C256" s="2">
        <f>Start_Daten!C256</f>
        <v>0</v>
      </c>
      <c r="E256" s="3" t="str">
        <f t="shared" si="3"/>
        <v/>
      </c>
      <c r="F256" s="1">
        <f>Start_Daten!F256</f>
        <v>0</v>
      </c>
      <c r="G256" s="1">
        <f>Start_Daten!G256</f>
        <v>0</v>
      </c>
      <c r="H256">
        <f>Start_Daten!H256</f>
        <v>0</v>
      </c>
      <c r="I256">
        <f>Start_Daten!I256</f>
        <v>0</v>
      </c>
      <c r="J256">
        <f>Start_Daten!J256</f>
        <v>0</v>
      </c>
      <c r="K256">
        <f>Start_Daten!K256</f>
        <v>0</v>
      </c>
      <c r="L256">
        <f>Start_Daten!L256</f>
        <v>0</v>
      </c>
      <c r="M256">
        <f>Start_Daten!M256</f>
        <v>0</v>
      </c>
      <c r="N256">
        <f>Start_Daten!N256</f>
        <v>0</v>
      </c>
      <c r="O256" s="4">
        <f>Start_Daten!O256</f>
        <v>0</v>
      </c>
    </row>
    <row r="257" spans="1:15">
      <c r="A257" s="1">
        <v>255</v>
      </c>
      <c r="B257">
        <f>Start_Daten!B257</f>
        <v>0</v>
      </c>
      <c r="C257" s="2">
        <f>Start_Daten!C257</f>
        <v>0</v>
      </c>
      <c r="E257" s="3" t="str">
        <f t="shared" si="3"/>
        <v/>
      </c>
      <c r="F257" s="1">
        <f>Start_Daten!F257</f>
        <v>0</v>
      </c>
      <c r="G257" s="1">
        <f>Start_Daten!G257</f>
        <v>0</v>
      </c>
      <c r="H257">
        <f>Start_Daten!H257</f>
        <v>0</v>
      </c>
      <c r="I257">
        <f>Start_Daten!I257</f>
        <v>0</v>
      </c>
      <c r="J257">
        <f>Start_Daten!J257</f>
        <v>0</v>
      </c>
      <c r="K257">
        <f>Start_Daten!K257</f>
        <v>0</v>
      </c>
      <c r="L257">
        <f>Start_Daten!L257</f>
        <v>0</v>
      </c>
      <c r="M257">
        <f>Start_Daten!M257</f>
        <v>0</v>
      </c>
      <c r="N257">
        <f>Start_Daten!N257</f>
        <v>0</v>
      </c>
      <c r="O257" s="4">
        <f>Start_Daten!O257</f>
        <v>0</v>
      </c>
    </row>
    <row r="258" spans="1:15">
      <c r="A258" s="1">
        <v>256</v>
      </c>
      <c r="B258">
        <f>Start_Daten!B258</f>
        <v>0</v>
      </c>
      <c r="C258" s="2">
        <f>Start_Daten!C258</f>
        <v>0</v>
      </c>
      <c r="E258" s="3" t="str">
        <f t="shared" si="3"/>
        <v/>
      </c>
      <c r="F258" s="1">
        <f>Start_Daten!F258</f>
        <v>0</v>
      </c>
      <c r="G258" s="1">
        <f>Start_Daten!G258</f>
        <v>0</v>
      </c>
      <c r="H258">
        <f>Start_Daten!H258</f>
        <v>0</v>
      </c>
      <c r="I258">
        <f>Start_Daten!I258</f>
        <v>0</v>
      </c>
      <c r="J258">
        <f>Start_Daten!J258</f>
        <v>0</v>
      </c>
      <c r="K258">
        <f>Start_Daten!K258</f>
        <v>0</v>
      </c>
      <c r="L258">
        <f>Start_Daten!L258</f>
        <v>0</v>
      </c>
      <c r="M258">
        <f>Start_Daten!M258</f>
        <v>0</v>
      </c>
      <c r="N258">
        <f>Start_Daten!N258</f>
        <v>0</v>
      </c>
      <c r="O258" s="4">
        <f>Start_Daten!O258</f>
        <v>0</v>
      </c>
    </row>
    <row r="259" spans="1:15">
      <c r="A259" s="1">
        <v>257</v>
      </c>
      <c r="B259">
        <f>Start_Daten!B259</f>
        <v>0</v>
      </c>
      <c r="C259" s="2">
        <f>Start_Daten!C259</f>
        <v>0</v>
      </c>
      <c r="E259" s="3" t="str">
        <f t="shared" si="3"/>
        <v/>
      </c>
      <c r="F259" s="1">
        <f>Start_Daten!F259</f>
        <v>0</v>
      </c>
      <c r="G259" s="1">
        <f>Start_Daten!G259</f>
        <v>0</v>
      </c>
      <c r="H259">
        <f>Start_Daten!H259</f>
        <v>0</v>
      </c>
      <c r="I259">
        <f>Start_Daten!I259</f>
        <v>0</v>
      </c>
      <c r="J259">
        <f>Start_Daten!J259</f>
        <v>0</v>
      </c>
      <c r="K259">
        <f>Start_Daten!K259</f>
        <v>0</v>
      </c>
      <c r="L259">
        <f>Start_Daten!L259</f>
        <v>0</v>
      </c>
      <c r="M259">
        <f>Start_Daten!M259</f>
        <v>0</v>
      </c>
      <c r="N259">
        <f>Start_Daten!N259</f>
        <v>0</v>
      </c>
      <c r="O259" s="4">
        <f>Start_Daten!O259</f>
        <v>0</v>
      </c>
    </row>
    <row r="260" spans="1:15">
      <c r="A260" s="1">
        <v>258</v>
      </c>
      <c r="B260">
        <f>Start_Daten!B260</f>
        <v>0</v>
      </c>
      <c r="C260" s="2">
        <f>Start_Daten!C260</f>
        <v>0</v>
      </c>
      <c r="E260" s="3" t="str">
        <f t="shared" ref="E260:E323" si="4">IF(C260&gt;0,D260/C260,"")</f>
        <v/>
      </c>
      <c r="F260" s="1">
        <f>Start_Daten!F260</f>
        <v>0</v>
      </c>
      <c r="G260" s="1">
        <f>Start_Daten!G260</f>
        <v>0</v>
      </c>
      <c r="H260">
        <f>Start_Daten!H260</f>
        <v>0</v>
      </c>
      <c r="I260">
        <f>Start_Daten!I260</f>
        <v>0</v>
      </c>
      <c r="J260">
        <f>Start_Daten!J260</f>
        <v>0</v>
      </c>
      <c r="K260">
        <f>Start_Daten!K260</f>
        <v>0</v>
      </c>
      <c r="L260">
        <f>Start_Daten!L260</f>
        <v>0</v>
      </c>
      <c r="M260">
        <f>Start_Daten!M260</f>
        <v>0</v>
      </c>
      <c r="N260">
        <f>Start_Daten!N260</f>
        <v>0</v>
      </c>
      <c r="O260" s="4">
        <f>Start_Daten!O260</f>
        <v>0</v>
      </c>
    </row>
    <row r="261" spans="1:15">
      <c r="A261" s="1">
        <v>259</v>
      </c>
      <c r="B261">
        <f>Start_Daten!B261</f>
        <v>0</v>
      </c>
      <c r="C261" s="2">
        <f>Start_Daten!C261</f>
        <v>0</v>
      </c>
      <c r="E261" s="3" t="str">
        <f t="shared" si="4"/>
        <v/>
      </c>
      <c r="F261" s="1">
        <f>Start_Daten!F261</f>
        <v>0</v>
      </c>
      <c r="G261" s="1">
        <f>Start_Daten!G261</f>
        <v>0</v>
      </c>
      <c r="H261">
        <f>Start_Daten!H261</f>
        <v>0</v>
      </c>
      <c r="I261">
        <f>Start_Daten!I261</f>
        <v>0</v>
      </c>
      <c r="J261">
        <f>Start_Daten!J261</f>
        <v>0</v>
      </c>
      <c r="K261">
        <f>Start_Daten!K261</f>
        <v>0</v>
      </c>
      <c r="L261">
        <f>Start_Daten!L261</f>
        <v>0</v>
      </c>
      <c r="M261">
        <f>Start_Daten!M261</f>
        <v>0</v>
      </c>
      <c r="N261">
        <f>Start_Daten!N261</f>
        <v>0</v>
      </c>
      <c r="O261" s="4">
        <f>Start_Daten!O261</f>
        <v>0</v>
      </c>
    </row>
    <row r="262" spans="1:15">
      <c r="A262" s="1">
        <v>260</v>
      </c>
      <c r="B262">
        <f>Start_Daten!B262</f>
        <v>0</v>
      </c>
      <c r="C262" s="2">
        <f>Start_Daten!C262</f>
        <v>0</v>
      </c>
      <c r="E262" s="3" t="str">
        <f t="shared" si="4"/>
        <v/>
      </c>
      <c r="F262" s="1">
        <f>Start_Daten!F262</f>
        <v>0</v>
      </c>
      <c r="G262" s="1">
        <f>Start_Daten!G262</f>
        <v>0</v>
      </c>
      <c r="H262">
        <f>Start_Daten!H262</f>
        <v>0</v>
      </c>
      <c r="I262">
        <f>Start_Daten!I262</f>
        <v>0</v>
      </c>
      <c r="J262">
        <f>Start_Daten!J262</f>
        <v>0</v>
      </c>
      <c r="K262">
        <f>Start_Daten!K262</f>
        <v>0</v>
      </c>
      <c r="L262">
        <f>Start_Daten!L262</f>
        <v>0</v>
      </c>
      <c r="M262">
        <f>Start_Daten!M262</f>
        <v>0</v>
      </c>
      <c r="N262">
        <f>Start_Daten!N262</f>
        <v>0</v>
      </c>
      <c r="O262" s="4">
        <f>Start_Daten!O262</f>
        <v>0</v>
      </c>
    </row>
    <row r="263" spans="1:15">
      <c r="A263" s="1">
        <v>261</v>
      </c>
      <c r="B263">
        <f>Start_Daten!B263</f>
        <v>0</v>
      </c>
      <c r="C263" s="2">
        <f>Start_Daten!C263</f>
        <v>0</v>
      </c>
      <c r="E263" s="3" t="str">
        <f t="shared" si="4"/>
        <v/>
      </c>
      <c r="F263" s="1">
        <f>Start_Daten!F263</f>
        <v>0</v>
      </c>
      <c r="G263" s="1">
        <f>Start_Daten!G263</f>
        <v>0</v>
      </c>
      <c r="H263">
        <f>Start_Daten!H263</f>
        <v>0</v>
      </c>
      <c r="I263">
        <f>Start_Daten!I263</f>
        <v>0</v>
      </c>
      <c r="J263">
        <f>Start_Daten!J263</f>
        <v>0</v>
      </c>
      <c r="K263">
        <f>Start_Daten!K263</f>
        <v>0</v>
      </c>
      <c r="L263">
        <f>Start_Daten!L263</f>
        <v>0</v>
      </c>
      <c r="M263">
        <f>Start_Daten!M263</f>
        <v>0</v>
      </c>
      <c r="N263">
        <f>Start_Daten!N263</f>
        <v>0</v>
      </c>
      <c r="O263" s="4">
        <f>Start_Daten!O263</f>
        <v>0</v>
      </c>
    </row>
    <row r="264" spans="1:15">
      <c r="A264" s="1">
        <v>262</v>
      </c>
      <c r="B264">
        <f>Start_Daten!B264</f>
        <v>0</v>
      </c>
      <c r="C264" s="2">
        <f>Start_Daten!C264</f>
        <v>0</v>
      </c>
      <c r="E264" s="3" t="str">
        <f t="shared" si="4"/>
        <v/>
      </c>
      <c r="F264" s="1">
        <f>Start_Daten!F264</f>
        <v>0</v>
      </c>
      <c r="G264" s="1">
        <f>Start_Daten!G264</f>
        <v>0</v>
      </c>
      <c r="H264">
        <f>Start_Daten!H264</f>
        <v>0</v>
      </c>
      <c r="I264">
        <f>Start_Daten!I264</f>
        <v>0</v>
      </c>
      <c r="J264">
        <f>Start_Daten!J264</f>
        <v>0</v>
      </c>
      <c r="K264">
        <f>Start_Daten!K264</f>
        <v>0</v>
      </c>
      <c r="L264">
        <f>Start_Daten!L264</f>
        <v>0</v>
      </c>
      <c r="M264">
        <f>Start_Daten!M264</f>
        <v>0</v>
      </c>
      <c r="N264">
        <f>Start_Daten!N264</f>
        <v>0</v>
      </c>
      <c r="O264" s="4">
        <f>Start_Daten!O264</f>
        <v>0</v>
      </c>
    </row>
    <row r="265" spans="1:15">
      <c r="A265" s="1">
        <v>263</v>
      </c>
      <c r="B265">
        <f>Start_Daten!B265</f>
        <v>0</v>
      </c>
      <c r="C265" s="2">
        <f>Start_Daten!C265</f>
        <v>0</v>
      </c>
      <c r="E265" s="3" t="str">
        <f t="shared" si="4"/>
        <v/>
      </c>
      <c r="F265" s="1">
        <f>Start_Daten!F265</f>
        <v>0</v>
      </c>
      <c r="G265" s="1">
        <f>Start_Daten!G265</f>
        <v>0</v>
      </c>
      <c r="H265">
        <f>Start_Daten!H265</f>
        <v>0</v>
      </c>
      <c r="I265">
        <f>Start_Daten!I265</f>
        <v>0</v>
      </c>
      <c r="J265">
        <f>Start_Daten!J265</f>
        <v>0</v>
      </c>
      <c r="K265">
        <f>Start_Daten!K265</f>
        <v>0</v>
      </c>
      <c r="L265">
        <f>Start_Daten!L265</f>
        <v>0</v>
      </c>
      <c r="M265">
        <f>Start_Daten!M265</f>
        <v>0</v>
      </c>
      <c r="N265">
        <f>Start_Daten!N265</f>
        <v>0</v>
      </c>
      <c r="O265" s="4">
        <f>Start_Daten!O265</f>
        <v>0</v>
      </c>
    </row>
    <row r="266" spans="1:15">
      <c r="A266" s="1">
        <v>264</v>
      </c>
      <c r="B266">
        <f>Start_Daten!B266</f>
        <v>0</v>
      </c>
      <c r="C266" s="2">
        <f>Start_Daten!C266</f>
        <v>0</v>
      </c>
      <c r="E266" s="3" t="str">
        <f t="shared" si="4"/>
        <v/>
      </c>
      <c r="F266" s="1">
        <f>Start_Daten!F266</f>
        <v>0</v>
      </c>
      <c r="G266" s="1">
        <f>Start_Daten!G266</f>
        <v>0</v>
      </c>
      <c r="H266">
        <f>Start_Daten!H266</f>
        <v>0</v>
      </c>
      <c r="I266">
        <f>Start_Daten!I266</f>
        <v>0</v>
      </c>
      <c r="J266">
        <f>Start_Daten!J266</f>
        <v>0</v>
      </c>
      <c r="K266">
        <f>Start_Daten!K266</f>
        <v>0</v>
      </c>
      <c r="L266">
        <f>Start_Daten!L266</f>
        <v>0</v>
      </c>
      <c r="M266">
        <f>Start_Daten!M266</f>
        <v>0</v>
      </c>
      <c r="N266">
        <f>Start_Daten!N266</f>
        <v>0</v>
      </c>
      <c r="O266" s="4">
        <f>Start_Daten!O266</f>
        <v>0</v>
      </c>
    </row>
    <row r="267" spans="1:15">
      <c r="A267" s="1">
        <v>265</v>
      </c>
      <c r="B267">
        <f>Start_Daten!B267</f>
        <v>0</v>
      </c>
      <c r="C267" s="2">
        <f>Start_Daten!C267</f>
        <v>0</v>
      </c>
      <c r="E267" s="3" t="str">
        <f t="shared" si="4"/>
        <v/>
      </c>
      <c r="F267" s="1">
        <f>Start_Daten!F267</f>
        <v>0</v>
      </c>
      <c r="G267" s="1">
        <f>Start_Daten!G267</f>
        <v>0</v>
      </c>
      <c r="H267">
        <f>Start_Daten!H267</f>
        <v>0</v>
      </c>
      <c r="I267">
        <f>Start_Daten!I267</f>
        <v>0</v>
      </c>
      <c r="J267">
        <f>Start_Daten!J267</f>
        <v>0</v>
      </c>
      <c r="K267">
        <f>Start_Daten!K267</f>
        <v>0</v>
      </c>
      <c r="L267">
        <f>Start_Daten!L267</f>
        <v>0</v>
      </c>
      <c r="M267">
        <f>Start_Daten!M267</f>
        <v>0</v>
      </c>
      <c r="N267">
        <f>Start_Daten!N267</f>
        <v>0</v>
      </c>
      <c r="O267" s="4">
        <f>Start_Daten!O267</f>
        <v>0</v>
      </c>
    </row>
    <row r="268" spans="1:15">
      <c r="A268" s="1">
        <v>266</v>
      </c>
      <c r="B268">
        <f>Start_Daten!B268</f>
        <v>0</v>
      </c>
      <c r="C268" s="2">
        <f>Start_Daten!C268</f>
        <v>0</v>
      </c>
      <c r="E268" s="3" t="str">
        <f t="shared" si="4"/>
        <v/>
      </c>
      <c r="F268" s="1">
        <f>Start_Daten!F268</f>
        <v>0</v>
      </c>
      <c r="G268" s="1">
        <f>Start_Daten!G268</f>
        <v>0</v>
      </c>
      <c r="H268">
        <f>Start_Daten!H268</f>
        <v>0</v>
      </c>
      <c r="I268">
        <f>Start_Daten!I268</f>
        <v>0</v>
      </c>
      <c r="J268">
        <f>Start_Daten!J268</f>
        <v>0</v>
      </c>
      <c r="K268">
        <f>Start_Daten!K268</f>
        <v>0</v>
      </c>
      <c r="L268">
        <f>Start_Daten!L268</f>
        <v>0</v>
      </c>
      <c r="M268">
        <f>Start_Daten!M268</f>
        <v>0</v>
      </c>
      <c r="N268">
        <f>Start_Daten!N268</f>
        <v>0</v>
      </c>
      <c r="O268" s="4">
        <f>Start_Daten!O268</f>
        <v>0</v>
      </c>
    </row>
    <row r="269" spans="1:15">
      <c r="A269" s="1">
        <v>267</v>
      </c>
      <c r="B269">
        <f>Start_Daten!B269</f>
        <v>0</v>
      </c>
      <c r="C269" s="2">
        <f>Start_Daten!C269</f>
        <v>0</v>
      </c>
      <c r="E269" s="3" t="str">
        <f t="shared" si="4"/>
        <v/>
      </c>
      <c r="F269" s="1">
        <f>Start_Daten!F269</f>
        <v>0</v>
      </c>
      <c r="G269" s="1">
        <f>Start_Daten!G269</f>
        <v>0</v>
      </c>
      <c r="H269">
        <f>Start_Daten!H269</f>
        <v>0</v>
      </c>
      <c r="I269">
        <f>Start_Daten!I269</f>
        <v>0</v>
      </c>
      <c r="J269">
        <f>Start_Daten!J269</f>
        <v>0</v>
      </c>
      <c r="K269">
        <f>Start_Daten!K269</f>
        <v>0</v>
      </c>
      <c r="L269">
        <f>Start_Daten!L269</f>
        <v>0</v>
      </c>
      <c r="M269">
        <f>Start_Daten!M269</f>
        <v>0</v>
      </c>
      <c r="N269">
        <f>Start_Daten!N269</f>
        <v>0</v>
      </c>
      <c r="O269" s="4">
        <f>Start_Daten!O269</f>
        <v>0</v>
      </c>
    </row>
    <row r="270" spans="1:15">
      <c r="A270" s="1">
        <v>268</v>
      </c>
      <c r="B270">
        <f>Start_Daten!B270</f>
        <v>0</v>
      </c>
      <c r="C270" s="2">
        <f>Start_Daten!C270</f>
        <v>0</v>
      </c>
      <c r="E270" s="3" t="str">
        <f t="shared" si="4"/>
        <v/>
      </c>
      <c r="F270" s="1">
        <f>Start_Daten!F270</f>
        <v>0</v>
      </c>
      <c r="G270" s="1">
        <f>Start_Daten!G270</f>
        <v>0</v>
      </c>
      <c r="H270">
        <f>Start_Daten!H270</f>
        <v>0</v>
      </c>
      <c r="I270">
        <f>Start_Daten!I270</f>
        <v>0</v>
      </c>
      <c r="J270">
        <f>Start_Daten!J270</f>
        <v>0</v>
      </c>
      <c r="K270">
        <f>Start_Daten!K270</f>
        <v>0</v>
      </c>
      <c r="L270">
        <f>Start_Daten!L270</f>
        <v>0</v>
      </c>
      <c r="M270">
        <f>Start_Daten!M270</f>
        <v>0</v>
      </c>
      <c r="N270">
        <f>Start_Daten!N270</f>
        <v>0</v>
      </c>
      <c r="O270" s="4">
        <f>Start_Daten!O270</f>
        <v>0</v>
      </c>
    </row>
    <row r="271" spans="1:15">
      <c r="A271" s="1">
        <v>269</v>
      </c>
      <c r="B271">
        <f>Start_Daten!B271</f>
        <v>0</v>
      </c>
      <c r="C271" s="2">
        <f>Start_Daten!C271</f>
        <v>0</v>
      </c>
      <c r="E271" s="3" t="str">
        <f t="shared" si="4"/>
        <v/>
      </c>
      <c r="F271" s="1">
        <f>Start_Daten!F271</f>
        <v>0</v>
      </c>
      <c r="G271" s="1">
        <f>Start_Daten!G271</f>
        <v>0</v>
      </c>
      <c r="H271">
        <f>Start_Daten!H271</f>
        <v>0</v>
      </c>
      <c r="I271">
        <f>Start_Daten!I271</f>
        <v>0</v>
      </c>
      <c r="J271">
        <f>Start_Daten!J271</f>
        <v>0</v>
      </c>
      <c r="K271">
        <f>Start_Daten!K271</f>
        <v>0</v>
      </c>
      <c r="L271">
        <f>Start_Daten!L271</f>
        <v>0</v>
      </c>
      <c r="M271">
        <f>Start_Daten!M271</f>
        <v>0</v>
      </c>
      <c r="N271">
        <f>Start_Daten!N271</f>
        <v>0</v>
      </c>
      <c r="O271" s="4">
        <f>Start_Daten!O271</f>
        <v>0</v>
      </c>
    </row>
    <row r="272" spans="1:15">
      <c r="A272" s="1">
        <v>270</v>
      </c>
      <c r="B272">
        <f>Start_Daten!B272</f>
        <v>0</v>
      </c>
      <c r="C272" s="2">
        <f>Start_Daten!C272</f>
        <v>0</v>
      </c>
      <c r="E272" s="3" t="str">
        <f t="shared" si="4"/>
        <v/>
      </c>
      <c r="F272" s="1">
        <f>Start_Daten!F272</f>
        <v>0</v>
      </c>
      <c r="G272" s="1">
        <f>Start_Daten!G272</f>
        <v>0</v>
      </c>
      <c r="H272">
        <f>Start_Daten!H272</f>
        <v>0</v>
      </c>
      <c r="I272">
        <f>Start_Daten!I272</f>
        <v>0</v>
      </c>
      <c r="J272">
        <f>Start_Daten!J272</f>
        <v>0</v>
      </c>
      <c r="K272">
        <f>Start_Daten!K272</f>
        <v>0</v>
      </c>
      <c r="L272">
        <f>Start_Daten!L272</f>
        <v>0</v>
      </c>
      <c r="M272">
        <f>Start_Daten!M272</f>
        <v>0</v>
      </c>
      <c r="N272">
        <f>Start_Daten!N272</f>
        <v>0</v>
      </c>
      <c r="O272" s="4">
        <f>Start_Daten!O272</f>
        <v>0</v>
      </c>
    </row>
    <row r="273" spans="1:15">
      <c r="A273" s="1">
        <v>271</v>
      </c>
      <c r="B273">
        <f>Start_Daten!B273</f>
        <v>0</v>
      </c>
      <c r="C273" s="2">
        <f>Start_Daten!C273</f>
        <v>0</v>
      </c>
      <c r="E273" s="3" t="str">
        <f t="shared" si="4"/>
        <v/>
      </c>
      <c r="F273" s="1">
        <f>Start_Daten!F273</f>
        <v>0</v>
      </c>
      <c r="G273" s="1">
        <f>Start_Daten!G273</f>
        <v>0</v>
      </c>
      <c r="H273">
        <f>Start_Daten!H273</f>
        <v>0</v>
      </c>
      <c r="I273">
        <f>Start_Daten!I273</f>
        <v>0</v>
      </c>
      <c r="J273">
        <f>Start_Daten!J273</f>
        <v>0</v>
      </c>
      <c r="K273">
        <f>Start_Daten!K273</f>
        <v>0</v>
      </c>
      <c r="L273">
        <f>Start_Daten!L273</f>
        <v>0</v>
      </c>
      <c r="M273">
        <f>Start_Daten!M273</f>
        <v>0</v>
      </c>
      <c r="N273">
        <f>Start_Daten!N273</f>
        <v>0</v>
      </c>
      <c r="O273" s="4">
        <f>Start_Daten!O273</f>
        <v>0</v>
      </c>
    </row>
    <row r="274" spans="1:15">
      <c r="A274" s="1">
        <v>272</v>
      </c>
      <c r="B274">
        <f>Start_Daten!B274</f>
        <v>0</v>
      </c>
      <c r="C274" s="2">
        <f>Start_Daten!C274</f>
        <v>0</v>
      </c>
      <c r="E274" s="3" t="str">
        <f t="shared" si="4"/>
        <v/>
      </c>
      <c r="F274" s="1">
        <f>Start_Daten!F274</f>
        <v>0</v>
      </c>
      <c r="G274" s="1">
        <f>Start_Daten!G274</f>
        <v>0</v>
      </c>
      <c r="H274">
        <f>Start_Daten!H274</f>
        <v>0</v>
      </c>
      <c r="I274">
        <f>Start_Daten!I274</f>
        <v>0</v>
      </c>
      <c r="J274">
        <f>Start_Daten!J274</f>
        <v>0</v>
      </c>
      <c r="K274">
        <f>Start_Daten!K274</f>
        <v>0</v>
      </c>
      <c r="L274">
        <f>Start_Daten!L274</f>
        <v>0</v>
      </c>
      <c r="M274">
        <f>Start_Daten!M274</f>
        <v>0</v>
      </c>
      <c r="N274">
        <f>Start_Daten!N274</f>
        <v>0</v>
      </c>
      <c r="O274" s="4">
        <f>Start_Daten!O274</f>
        <v>0</v>
      </c>
    </row>
    <row r="275" spans="1:15">
      <c r="A275" s="1">
        <v>273</v>
      </c>
      <c r="B275">
        <f>Start_Daten!B275</f>
        <v>0</v>
      </c>
      <c r="C275" s="2">
        <f>Start_Daten!C275</f>
        <v>0</v>
      </c>
      <c r="E275" s="3" t="str">
        <f t="shared" si="4"/>
        <v/>
      </c>
      <c r="F275" s="1">
        <f>Start_Daten!F275</f>
        <v>0</v>
      </c>
      <c r="G275" s="1">
        <f>Start_Daten!G275</f>
        <v>0</v>
      </c>
      <c r="H275">
        <f>Start_Daten!H275</f>
        <v>0</v>
      </c>
      <c r="I275">
        <f>Start_Daten!I275</f>
        <v>0</v>
      </c>
      <c r="J275">
        <f>Start_Daten!J275</f>
        <v>0</v>
      </c>
      <c r="K275">
        <f>Start_Daten!K275</f>
        <v>0</v>
      </c>
      <c r="L275">
        <f>Start_Daten!L275</f>
        <v>0</v>
      </c>
      <c r="M275">
        <f>Start_Daten!M275</f>
        <v>0</v>
      </c>
      <c r="N275">
        <f>Start_Daten!N275</f>
        <v>0</v>
      </c>
      <c r="O275" s="4">
        <f>Start_Daten!O275</f>
        <v>0</v>
      </c>
    </row>
    <row r="276" spans="1:15">
      <c r="A276" s="1">
        <v>274</v>
      </c>
      <c r="B276">
        <f>Start_Daten!B276</f>
        <v>0</v>
      </c>
      <c r="C276" s="2">
        <f>Start_Daten!C276</f>
        <v>0</v>
      </c>
      <c r="E276" s="3" t="str">
        <f t="shared" si="4"/>
        <v/>
      </c>
      <c r="F276" s="1">
        <f>Start_Daten!F276</f>
        <v>0</v>
      </c>
      <c r="G276" s="1">
        <f>Start_Daten!G276</f>
        <v>0</v>
      </c>
      <c r="H276">
        <f>Start_Daten!H276</f>
        <v>0</v>
      </c>
      <c r="I276">
        <f>Start_Daten!I276</f>
        <v>0</v>
      </c>
      <c r="J276">
        <f>Start_Daten!J276</f>
        <v>0</v>
      </c>
      <c r="K276">
        <f>Start_Daten!K276</f>
        <v>0</v>
      </c>
      <c r="L276">
        <f>Start_Daten!L276</f>
        <v>0</v>
      </c>
      <c r="M276">
        <f>Start_Daten!M276</f>
        <v>0</v>
      </c>
      <c r="N276">
        <f>Start_Daten!N276</f>
        <v>0</v>
      </c>
      <c r="O276" s="4">
        <f>Start_Daten!O276</f>
        <v>0</v>
      </c>
    </row>
    <row r="277" spans="1:15">
      <c r="A277" s="1">
        <v>275</v>
      </c>
      <c r="B277">
        <f>Start_Daten!B277</f>
        <v>0</v>
      </c>
      <c r="C277" s="2">
        <f>Start_Daten!C277</f>
        <v>0</v>
      </c>
      <c r="E277" s="3" t="str">
        <f t="shared" si="4"/>
        <v/>
      </c>
      <c r="F277" s="1">
        <f>Start_Daten!F277</f>
        <v>0</v>
      </c>
      <c r="G277" s="1">
        <f>Start_Daten!G277</f>
        <v>0</v>
      </c>
      <c r="H277">
        <f>Start_Daten!H277</f>
        <v>0</v>
      </c>
      <c r="I277">
        <f>Start_Daten!I277</f>
        <v>0</v>
      </c>
      <c r="J277">
        <f>Start_Daten!J277</f>
        <v>0</v>
      </c>
      <c r="K277">
        <f>Start_Daten!K277</f>
        <v>0</v>
      </c>
      <c r="L277">
        <f>Start_Daten!L277</f>
        <v>0</v>
      </c>
      <c r="M277">
        <f>Start_Daten!M277</f>
        <v>0</v>
      </c>
      <c r="N277">
        <f>Start_Daten!N277</f>
        <v>0</v>
      </c>
      <c r="O277" s="4">
        <f>Start_Daten!O277</f>
        <v>0</v>
      </c>
    </row>
    <row r="278" spans="1:15">
      <c r="A278" s="1">
        <v>276</v>
      </c>
      <c r="B278">
        <f>Start_Daten!B278</f>
        <v>0</v>
      </c>
      <c r="C278" s="2">
        <f>Start_Daten!C278</f>
        <v>0</v>
      </c>
      <c r="E278" s="3" t="str">
        <f t="shared" si="4"/>
        <v/>
      </c>
      <c r="F278" s="1">
        <f>Start_Daten!F278</f>
        <v>0</v>
      </c>
      <c r="G278" s="1">
        <f>Start_Daten!G278</f>
        <v>0</v>
      </c>
      <c r="H278">
        <f>Start_Daten!H278</f>
        <v>0</v>
      </c>
      <c r="I278">
        <f>Start_Daten!I278</f>
        <v>0</v>
      </c>
      <c r="J278">
        <f>Start_Daten!J278</f>
        <v>0</v>
      </c>
      <c r="K278">
        <f>Start_Daten!K278</f>
        <v>0</v>
      </c>
      <c r="L278">
        <f>Start_Daten!L278</f>
        <v>0</v>
      </c>
      <c r="M278">
        <f>Start_Daten!M278</f>
        <v>0</v>
      </c>
      <c r="N278">
        <f>Start_Daten!N278</f>
        <v>0</v>
      </c>
      <c r="O278" s="4">
        <f>Start_Daten!O278</f>
        <v>0</v>
      </c>
    </row>
    <row r="279" spans="1:15">
      <c r="A279" s="1">
        <v>277</v>
      </c>
      <c r="B279">
        <f>Start_Daten!B279</f>
        <v>0</v>
      </c>
      <c r="C279" s="2">
        <f>Start_Daten!C279</f>
        <v>0</v>
      </c>
      <c r="E279" s="3" t="str">
        <f t="shared" si="4"/>
        <v/>
      </c>
      <c r="F279" s="1">
        <f>Start_Daten!F279</f>
        <v>0</v>
      </c>
      <c r="G279" s="1">
        <f>Start_Daten!G279</f>
        <v>0</v>
      </c>
      <c r="H279">
        <f>Start_Daten!H279</f>
        <v>0</v>
      </c>
      <c r="I279">
        <f>Start_Daten!I279</f>
        <v>0</v>
      </c>
      <c r="J279">
        <f>Start_Daten!J279</f>
        <v>0</v>
      </c>
      <c r="K279">
        <f>Start_Daten!K279</f>
        <v>0</v>
      </c>
      <c r="L279">
        <f>Start_Daten!L279</f>
        <v>0</v>
      </c>
      <c r="M279">
        <f>Start_Daten!M279</f>
        <v>0</v>
      </c>
      <c r="N279">
        <f>Start_Daten!N279</f>
        <v>0</v>
      </c>
      <c r="O279" s="4">
        <f>Start_Daten!O279</f>
        <v>0</v>
      </c>
    </row>
    <row r="280" spans="1:15">
      <c r="A280" s="1">
        <v>278</v>
      </c>
      <c r="B280">
        <f>Start_Daten!B280</f>
        <v>0</v>
      </c>
      <c r="C280" s="2">
        <f>Start_Daten!C280</f>
        <v>0</v>
      </c>
      <c r="E280" s="3" t="str">
        <f t="shared" si="4"/>
        <v/>
      </c>
      <c r="F280" s="1">
        <f>Start_Daten!F280</f>
        <v>0</v>
      </c>
      <c r="G280" s="1">
        <f>Start_Daten!G280</f>
        <v>0</v>
      </c>
      <c r="H280">
        <f>Start_Daten!H280</f>
        <v>0</v>
      </c>
      <c r="I280">
        <f>Start_Daten!I280</f>
        <v>0</v>
      </c>
      <c r="J280">
        <f>Start_Daten!J280</f>
        <v>0</v>
      </c>
      <c r="K280">
        <f>Start_Daten!K280</f>
        <v>0</v>
      </c>
      <c r="L280">
        <f>Start_Daten!L280</f>
        <v>0</v>
      </c>
      <c r="M280">
        <f>Start_Daten!M280</f>
        <v>0</v>
      </c>
      <c r="N280">
        <f>Start_Daten!N280</f>
        <v>0</v>
      </c>
      <c r="O280" s="4">
        <f>Start_Daten!O280</f>
        <v>0</v>
      </c>
    </row>
    <row r="281" spans="1:15">
      <c r="A281" s="1">
        <v>279</v>
      </c>
      <c r="B281">
        <f>Start_Daten!B281</f>
        <v>0</v>
      </c>
      <c r="C281" s="2">
        <f>Start_Daten!C281</f>
        <v>0</v>
      </c>
      <c r="E281" s="3" t="str">
        <f t="shared" si="4"/>
        <v/>
      </c>
      <c r="F281" s="1">
        <f>Start_Daten!F281</f>
        <v>0</v>
      </c>
      <c r="G281" s="1">
        <f>Start_Daten!G281</f>
        <v>0</v>
      </c>
      <c r="H281">
        <f>Start_Daten!H281</f>
        <v>0</v>
      </c>
      <c r="I281">
        <f>Start_Daten!I281</f>
        <v>0</v>
      </c>
      <c r="J281">
        <f>Start_Daten!J281</f>
        <v>0</v>
      </c>
      <c r="K281">
        <f>Start_Daten!K281</f>
        <v>0</v>
      </c>
      <c r="L281">
        <f>Start_Daten!L281</f>
        <v>0</v>
      </c>
      <c r="M281">
        <f>Start_Daten!M281</f>
        <v>0</v>
      </c>
      <c r="N281">
        <f>Start_Daten!N281</f>
        <v>0</v>
      </c>
      <c r="O281" s="4">
        <f>Start_Daten!O281</f>
        <v>0</v>
      </c>
    </row>
    <row r="282" spans="1:15">
      <c r="A282" s="1">
        <v>280</v>
      </c>
      <c r="B282">
        <f>Start_Daten!B282</f>
        <v>0</v>
      </c>
      <c r="C282" s="2">
        <f>Start_Daten!C282</f>
        <v>0</v>
      </c>
      <c r="E282" s="3" t="str">
        <f t="shared" si="4"/>
        <v/>
      </c>
      <c r="F282" s="1">
        <f>Start_Daten!F282</f>
        <v>0</v>
      </c>
      <c r="G282" s="1">
        <f>Start_Daten!G282</f>
        <v>0</v>
      </c>
      <c r="H282">
        <f>Start_Daten!H282</f>
        <v>0</v>
      </c>
      <c r="I282">
        <f>Start_Daten!I282</f>
        <v>0</v>
      </c>
      <c r="J282">
        <f>Start_Daten!J282</f>
        <v>0</v>
      </c>
      <c r="K282">
        <f>Start_Daten!K282</f>
        <v>0</v>
      </c>
      <c r="L282">
        <f>Start_Daten!L282</f>
        <v>0</v>
      </c>
      <c r="M282">
        <f>Start_Daten!M282</f>
        <v>0</v>
      </c>
      <c r="N282">
        <f>Start_Daten!N282</f>
        <v>0</v>
      </c>
      <c r="O282" s="4">
        <f>Start_Daten!O282</f>
        <v>0</v>
      </c>
    </row>
    <row r="283" spans="1:15">
      <c r="A283" s="1">
        <v>281</v>
      </c>
      <c r="B283">
        <f>Start_Daten!B283</f>
        <v>0</v>
      </c>
      <c r="C283" s="2">
        <f>Start_Daten!C283</f>
        <v>0</v>
      </c>
      <c r="E283" s="3" t="str">
        <f t="shared" si="4"/>
        <v/>
      </c>
      <c r="F283" s="1">
        <f>Start_Daten!F283</f>
        <v>0</v>
      </c>
      <c r="G283" s="1">
        <f>Start_Daten!G283</f>
        <v>0</v>
      </c>
      <c r="H283">
        <f>Start_Daten!H283</f>
        <v>0</v>
      </c>
      <c r="I283">
        <f>Start_Daten!I283</f>
        <v>0</v>
      </c>
      <c r="J283">
        <f>Start_Daten!J283</f>
        <v>0</v>
      </c>
      <c r="K283">
        <f>Start_Daten!K283</f>
        <v>0</v>
      </c>
      <c r="L283">
        <f>Start_Daten!L283</f>
        <v>0</v>
      </c>
      <c r="M283">
        <f>Start_Daten!M283</f>
        <v>0</v>
      </c>
      <c r="N283">
        <f>Start_Daten!N283</f>
        <v>0</v>
      </c>
      <c r="O283" s="4">
        <f>Start_Daten!O283</f>
        <v>0</v>
      </c>
    </row>
    <row r="284" spans="1:15">
      <c r="A284" s="1">
        <v>282</v>
      </c>
      <c r="B284">
        <f>Start_Daten!B284</f>
        <v>0</v>
      </c>
      <c r="C284" s="2">
        <f>Start_Daten!C284</f>
        <v>0</v>
      </c>
      <c r="E284" s="3" t="str">
        <f t="shared" si="4"/>
        <v/>
      </c>
      <c r="F284" s="1">
        <f>Start_Daten!F284</f>
        <v>0</v>
      </c>
      <c r="G284" s="1">
        <f>Start_Daten!G284</f>
        <v>0</v>
      </c>
      <c r="H284">
        <f>Start_Daten!H284</f>
        <v>0</v>
      </c>
      <c r="I284">
        <f>Start_Daten!I284</f>
        <v>0</v>
      </c>
      <c r="J284">
        <f>Start_Daten!J284</f>
        <v>0</v>
      </c>
      <c r="K284">
        <f>Start_Daten!K284</f>
        <v>0</v>
      </c>
      <c r="L284">
        <f>Start_Daten!L284</f>
        <v>0</v>
      </c>
      <c r="M284">
        <f>Start_Daten!M284</f>
        <v>0</v>
      </c>
      <c r="N284">
        <f>Start_Daten!N284</f>
        <v>0</v>
      </c>
      <c r="O284" s="4">
        <f>Start_Daten!O284</f>
        <v>0</v>
      </c>
    </row>
    <row r="285" spans="1:15">
      <c r="A285" s="1">
        <v>283</v>
      </c>
      <c r="B285">
        <f>Start_Daten!B285</f>
        <v>0</v>
      </c>
      <c r="C285" s="2">
        <f>Start_Daten!C285</f>
        <v>0</v>
      </c>
      <c r="E285" s="3" t="str">
        <f t="shared" si="4"/>
        <v/>
      </c>
      <c r="F285" s="1">
        <f>Start_Daten!F285</f>
        <v>0</v>
      </c>
      <c r="G285" s="1">
        <f>Start_Daten!G285</f>
        <v>0</v>
      </c>
      <c r="H285">
        <f>Start_Daten!H285</f>
        <v>0</v>
      </c>
      <c r="I285">
        <f>Start_Daten!I285</f>
        <v>0</v>
      </c>
      <c r="J285">
        <f>Start_Daten!J285</f>
        <v>0</v>
      </c>
      <c r="K285">
        <f>Start_Daten!K285</f>
        <v>0</v>
      </c>
      <c r="L285">
        <f>Start_Daten!L285</f>
        <v>0</v>
      </c>
      <c r="M285">
        <f>Start_Daten!M285</f>
        <v>0</v>
      </c>
      <c r="N285">
        <f>Start_Daten!N285</f>
        <v>0</v>
      </c>
      <c r="O285" s="4">
        <f>Start_Daten!O285</f>
        <v>0</v>
      </c>
    </row>
    <row r="286" spans="1:15">
      <c r="A286" s="1">
        <v>284</v>
      </c>
      <c r="B286">
        <f>Start_Daten!B286</f>
        <v>0</v>
      </c>
      <c r="C286" s="2">
        <f>Start_Daten!C286</f>
        <v>0</v>
      </c>
      <c r="E286" s="3" t="str">
        <f t="shared" si="4"/>
        <v/>
      </c>
      <c r="F286" s="1">
        <f>Start_Daten!F286</f>
        <v>0</v>
      </c>
      <c r="G286" s="1">
        <f>Start_Daten!G286</f>
        <v>0</v>
      </c>
      <c r="H286">
        <f>Start_Daten!H286</f>
        <v>0</v>
      </c>
      <c r="I286">
        <f>Start_Daten!I286</f>
        <v>0</v>
      </c>
      <c r="J286">
        <f>Start_Daten!J286</f>
        <v>0</v>
      </c>
      <c r="K286">
        <f>Start_Daten!K286</f>
        <v>0</v>
      </c>
      <c r="L286">
        <f>Start_Daten!L286</f>
        <v>0</v>
      </c>
      <c r="M286">
        <f>Start_Daten!M286</f>
        <v>0</v>
      </c>
      <c r="N286">
        <f>Start_Daten!N286</f>
        <v>0</v>
      </c>
      <c r="O286" s="4">
        <f>Start_Daten!O286</f>
        <v>0</v>
      </c>
    </row>
    <row r="287" spans="1:15">
      <c r="A287" s="1">
        <v>285</v>
      </c>
      <c r="B287">
        <f>Start_Daten!B287</f>
        <v>0</v>
      </c>
      <c r="C287" s="2">
        <f>Start_Daten!C287</f>
        <v>0</v>
      </c>
      <c r="E287" s="3" t="str">
        <f t="shared" si="4"/>
        <v/>
      </c>
      <c r="F287" s="1">
        <f>Start_Daten!F287</f>
        <v>0</v>
      </c>
      <c r="G287" s="1">
        <f>Start_Daten!G287</f>
        <v>0</v>
      </c>
      <c r="H287">
        <f>Start_Daten!H287</f>
        <v>0</v>
      </c>
      <c r="I287">
        <f>Start_Daten!I287</f>
        <v>0</v>
      </c>
      <c r="J287">
        <f>Start_Daten!J287</f>
        <v>0</v>
      </c>
      <c r="K287">
        <f>Start_Daten!K287</f>
        <v>0</v>
      </c>
      <c r="L287">
        <f>Start_Daten!L287</f>
        <v>0</v>
      </c>
      <c r="M287">
        <f>Start_Daten!M287</f>
        <v>0</v>
      </c>
      <c r="N287">
        <f>Start_Daten!N287</f>
        <v>0</v>
      </c>
      <c r="O287" s="4">
        <f>Start_Daten!O287</f>
        <v>0</v>
      </c>
    </row>
    <row r="288" spans="1:15">
      <c r="A288" s="1">
        <v>286</v>
      </c>
      <c r="B288">
        <f>Start_Daten!B288</f>
        <v>0</v>
      </c>
      <c r="C288" s="2">
        <f>Start_Daten!C288</f>
        <v>0</v>
      </c>
      <c r="E288" s="3" t="str">
        <f t="shared" si="4"/>
        <v/>
      </c>
      <c r="F288" s="1">
        <f>Start_Daten!F288</f>
        <v>0</v>
      </c>
      <c r="G288" s="1">
        <f>Start_Daten!G288</f>
        <v>0</v>
      </c>
      <c r="H288">
        <f>Start_Daten!H288</f>
        <v>0</v>
      </c>
      <c r="I288">
        <f>Start_Daten!I288</f>
        <v>0</v>
      </c>
      <c r="J288">
        <f>Start_Daten!J288</f>
        <v>0</v>
      </c>
      <c r="K288">
        <f>Start_Daten!K288</f>
        <v>0</v>
      </c>
      <c r="L288">
        <f>Start_Daten!L288</f>
        <v>0</v>
      </c>
      <c r="M288">
        <f>Start_Daten!M288</f>
        <v>0</v>
      </c>
      <c r="N288">
        <f>Start_Daten!N288</f>
        <v>0</v>
      </c>
      <c r="O288" s="4">
        <f>Start_Daten!O288</f>
        <v>0</v>
      </c>
    </row>
    <row r="289" spans="1:15">
      <c r="A289" s="1">
        <v>287</v>
      </c>
      <c r="B289">
        <f>Start_Daten!B289</f>
        <v>0</v>
      </c>
      <c r="C289" s="2">
        <f>Start_Daten!C289</f>
        <v>0</v>
      </c>
      <c r="E289" s="3" t="str">
        <f t="shared" si="4"/>
        <v/>
      </c>
      <c r="F289" s="1">
        <f>Start_Daten!F289</f>
        <v>0</v>
      </c>
      <c r="G289" s="1">
        <f>Start_Daten!G289</f>
        <v>0</v>
      </c>
      <c r="H289">
        <f>Start_Daten!H289</f>
        <v>0</v>
      </c>
      <c r="I289">
        <f>Start_Daten!I289</f>
        <v>0</v>
      </c>
      <c r="J289">
        <f>Start_Daten!J289</f>
        <v>0</v>
      </c>
      <c r="K289">
        <f>Start_Daten!K289</f>
        <v>0</v>
      </c>
      <c r="L289">
        <f>Start_Daten!L289</f>
        <v>0</v>
      </c>
      <c r="M289">
        <f>Start_Daten!M289</f>
        <v>0</v>
      </c>
      <c r="N289">
        <f>Start_Daten!N289</f>
        <v>0</v>
      </c>
      <c r="O289" s="4">
        <f>Start_Daten!O289</f>
        <v>0</v>
      </c>
    </row>
    <row r="290" spans="1:15">
      <c r="A290" s="1">
        <v>288</v>
      </c>
      <c r="B290">
        <f>Start_Daten!B290</f>
        <v>0</v>
      </c>
      <c r="C290" s="2">
        <f>Start_Daten!C290</f>
        <v>0</v>
      </c>
      <c r="E290" s="3" t="str">
        <f t="shared" si="4"/>
        <v/>
      </c>
      <c r="F290" s="1">
        <f>Start_Daten!F290</f>
        <v>0</v>
      </c>
      <c r="G290" s="1">
        <f>Start_Daten!G290</f>
        <v>0</v>
      </c>
      <c r="H290">
        <f>Start_Daten!H290</f>
        <v>0</v>
      </c>
      <c r="I290">
        <f>Start_Daten!I290</f>
        <v>0</v>
      </c>
      <c r="J290">
        <f>Start_Daten!J290</f>
        <v>0</v>
      </c>
      <c r="K290">
        <f>Start_Daten!K290</f>
        <v>0</v>
      </c>
      <c r="L290">
        <f>Start_Daten!L290</f>
        <v>0</v>
      </c>
      <c r="M290">
        <f>Start_Daten!M290</f>
        <v>0</v>
      </c>
      <c r="N290">
        <f>Start_Daten!N290</f>
        <v>0</v>
      </c>
      <c r="O290" s="4">
        <f>Start_Daten!O290</f>
        <v>0</v>
      </c>
    </row>
    <row r="291" spans="1:15">
      <c r="A291" s="1">
        <v>289</v>
      </c>
      <c r="B291">
        <f>Start_Daten!B291</f>
        <v>0</v>
      </c>
      <c r="C291" s="2">
        <f>Start_Daten!C291</f>
        <v>0</v>
      </c>
      <c r="E291" s="3" t="str">
        <f t="shared" si="4"/>
        <v/>
      </c>
      <c r="F291" s="1">
        <f>Start_Daten!F291</f>
        <v>0</v>
      </c>
      <c r="G291" s="1">
        <f>Start_Daten!G291</f>
        <v>0</v>
      </c>
      <c r="H291">
        <f>Start_Daten!H291</f>
        <v>0</v>
      </c>
      <c r="I291">
        <f>Start_Daten!I291</f>
        <v>0</v>
      </c>
      <c r="J291">
        <f>Start_Daten!J291</f>
        <v>0</v>
      </c>
      <c r="K291">
        <f>Start_Daten!K291</f>
        <v>0</v>
      </c>
      <c r="L291">
        <f>Start_Daten!L291</f>
        <v>0</v>
      </c>
      <c r="M291">
        <f>Start_Daten!M291</f>
        <v>0</v>
      </c>
      <c r="N291">
        <f>Start_Daten!N291</f>
        <v>0</v>
      </c>
      <c r="O291" s="4">
        <f>Start_Daten!O291</f>
        <v>0</v>
      </c>
    </row>
    <row r="292" spans="1:15">
      <c r="A292" s="1">
        <v>290</v>
      </c>
      <c r="B292">
        <f>Start_Daten!B292</f>
        <v>0</v>
      </c>
      <c r="C292" s="2">
        <f>Start_Daten!C292</f>
        <v>0</v>
      </c>
      <c r="E292" s="3" t="str">
        <f t="shared" si="4"/>
        <v/>
      </c>
      <c r="F292" s="1">
        <f>Start_Daten!F292</f>
        <v>0</v>
      </c>
      <c r="G292" s="1">
        <f>Start_Daten!G292</f>
        <v>0</v>
      </c>
      <c r="H292">
        <f>Start_Daten!H292</f>
        <v>0</v>
      </c>
      <c r="I292">
        <f>Start_Daten!I292</f>
        <v>0</v>
      </c>
      <c r="J292">
        <f>Start_Daten!J292</f>
        <v>0</v>
      </c>
      <c r="K292">
        <f>Start_Daten!K292</f>
        <v>0</v>
      </c>
      <c r="L292">
        <f>Start_Daten!L292</f>
        <v>0</v>
      </c>
      <c r="M292">
        <f>Start_Daten!M292</f>
        <v>0</v>
      </c>
      <c r="N292">
        <f>Start_Daten!N292</f>
        <v>0</v>
      </c>
      <c r="O292" s="4">
        <f>Start_Daten!O292</f>
        <v>0</v>
      </c>
    </row>
    <row r="293" spans="1:15">
      <c r="A293" s="1">
        <v>291</v>
      </c>
      <c r="B293">
        <f>Start_Daten!B293</f>
        <v>0</v>
      </c>
      <c r="C293" s="2">
        <f>Start_Daten!C293</f>
        <v>0</v>
      </c>
      <c r="E293" s="3" t="str">
        <f t="shared" si="4"/>
        <v/>
      </c>
      <c r="F293" s="1">
        <f>Start_Daten!F293</f>
        <v>0</v>
      </c>
      <c r="G293" s="1">
        <f>Start_Daten!G293</f>
        <v>0</v>
      </c>
      <c r="H293">
        <f>Start_Daten!H293</f>
        <v>0</v>
      </c>
      <c r="I293">
        <f>Start_Daten!I293</f>
        <v>0</v>
      </c>
      <c r="J293">
        <f>Start_Daten!J293</f>
        <v>0</v>
      </c>
      <c r="K293">
        <f>Start_Daten!K293</f>
        <v>0</v>
      </c>
      <c r="L293">
        <f>Start_Daten!L293</f>
        <v>0</v>
      </c>
      <c r="M293">
        <f>Start_Daten!M293</f>
        <v>0</v>
      </c>
      <c r="N293">
        <f>Start_Daten!N293</f>
        <v>0</v>
      </c>
      <c r="O293" s="4">
        <f>Start_Daten!O293</f>
        <v>0</v>
      </c>
    </row>
    <row r="294" spans="1:15">
      <c r="A294" s="1">
        <v>292</v>
      </c>
      <c r="B294">
        <f>Start_Daten!B294</f>
        <v>0</v>
      </c>
      <c r="C294" s="2">
        <f>Start_Daten!C294</f>
        <v>0</v>
      </c>
      <c r="E294" s="3" t="str">
        <f t="shared" si="4"/>
        <v/>
      </c>
      <c r="F294" s="1">
        <f>Start_Daten!F294</f>
        <v>0</v>
      </c>
      <c r="G294" s="1">
        <f>Start_Daten!G294</f>
        <v>0</v>
      </c>
      <c r="H294">
        <f>Start_Daten!H294</f>
        <v>0</v>
      </c>
      <c r="I294">
        <f>Start_Daten!I294</f>
        <v>0</v>
      </c>
      <c r="J294">
        <f>Start_Daten!J294</f>
        <v>0</v>
      </c>
      <c r="K294">
        <f>Start_Daten!K294</f>
        <v>0</v>
      </c>
      <c r="L294">
        <f>Start_Daten!L294</f>
        <v>0</v>
      </c>
      <c r="M294">
        <f>Start_Daten!M294</f>
        <v>0</v>
      </c>
      <c r="N294">
        <f>Start_Daten!N294</f>
        <v>0</v>
      </c>
      <c r="O294" s="4">
        <f>Start_Daten!O294</f>
        <v>0</v>
      </c>
    </row>
    <row r="295" spans="1:15">
      <c r="A295" s="1">
        <v>293</v>
      </c>
      <c r="B295">
        <f>Start_Daten!B295</f>
        <v>0</v>
      </c>
      <c r="C295" s="2">
        <f>Start_Daten!C295</f>
        <v>0</v>
      </c>
      <c r="E295" s="3" t="str">
        <f t="shared" si="4"/>
        <v/>
      </c>
      <c r="F295" s="1">
        <f>Start_Daten!F295</f>
        <v>0</v>
      </c>
      <c r="G295" s="1">
        <f>Start_Daten!G295</f>
        <v>0</v>
      </c>
      <c r="H295">
        <f>Start_Daten!H295</f>
        <v>0</v>
      </c>
      <c r="I295">
        <f>Start_Daten!I295</f>
        <v>0</v>
      </c>
      <c r="J295">
        <f>Start_Daten!J295</f>
        <v>0</v>
      </c>
      <c r="K295">
        <f>Start_Daten!K295</f>
        <v>0</v>
      </c>
      <c r="L295">
        <f>Start_Daten!L295</f>
        <v>0</v>
      </c>
      <c r="M295">
        <f>Start_Daten!M295</f>
        <v>0</v>
      </c>
      <c r="N295">
        <f>Start_Daten!N295</f>
        <v>0</v>
      </c>
      <c r="O295" s="4">
        <f>Start_Daten!O295</f>
        <v>0</v>
      </c>
    </row>
    <row r="296" spans="1:15">
      <c r="A296" s="1">
        <v>294</v>
      </c>
      <c r="B296">
        <f>Start_Daten!B296</f>
        <v>0</v>
      </c>
      <c r="C296" s="2">
        <f>Start_Daten!C296</f>
        <v>0</v>
      </c>
      <c r="E296" s="3" t="str">
        <f t="shared" si="4"/>
        <v/>
      </c>
      <c r="F296" s="1">
        <f>Start_Daten!F296</f>
        <v>0</v>
      </c>
      <c r="G296" s="1">
        <f>Start_Daten!G296</f>
        <v>0</v>
      </c>
      <c r="H296">
        <f>Start_Daten!H296</f>
        <v>0</v>
      </c>
      <c r="I296">
        <f>Start_Daten!I296</f>
        <v>0</v>
      </c>
      <c r="J296">
        <f>Start_Daten!J296</f>
        <v>0</v>
      </c>
      <c r="K296">
        <f>Start_Daten!K296</f>
        <v>0</v>
      </c>
      <c r="L296">
        <f>Start_Daten!L296</f>
        <v>0</v>
      </c>
      <c r="M296">
        <f>Start_Daten!M296</f>
        <v>0</v>
      </c>
      <c r="N296">
        <f>Start_Daten!N296</f>
        <v>0</v>
      </c>
      <c r="O296" s="4">
        <f>Start_Daten!O296</f>
        <v>0</v>
      </c>
    </row>
    <row r="297" spans="1:15">
      <c r="A297" s="1">
        <v>295</v>
      </c>
      <c r="B297">
        <f>Start_Daten!B297</f>
        <v>0</v>
      </c>
      <c r="C297" s="2">
        <f>Start_Daten!C297</f>
        <v>0</v>
      </c>
      <c r="E297" s="3" t="str">
        <f t="shared" si="4"/>
        <v/>
      </c>
      <c r="F297" s="1">
        <f>Start_Daten!F297</f>
        <v>0</v>
      </c>
      <c r="G297" s="1">
        <f>Start_Daten!G297</f>
        <v>0</v>
      </c>
      <c r="H297">
        <f>Start_Daten!H297</f>
        <v>0</v>
      </c>
      <c r="I297">
        <f>Start_Daten!I297</f>
        <v>0</v>
      </c>
      <c r="J297">
        <f>Start_Daten!J297</f>
        <v>0</v>
      </c>
      <c r="K297">
        <f>Start_Daten!K297</f>
        <v>0</v>
      </c>
      <c r="L297">
        <f>Start_Daten!L297</f>
        <v>0</v>
      </c>
      <c r="M297">
        <f>Start_Daten!M297</f>
        <v>0</v>
      </c>
      <c r="N297">
        <f>Start_Daten!N297</f>
        <v>0</v>
      </c>
      <c r="O297" s="4">
        <f>Start_Daten!O297</f>
        <v>0</v>
      </c>
    </row>
    <row r="298" spans="1:15">
      <c r="A298" s="1">
        <v>296</v>
      </c>
      <c r="B298">
        <f>Start_Daten!B298</f>
        <v>0</v>
      </c>
      <c r="C298" s="2">
        <f>Start_Daten!C298</f>
        <v>0</v>
      </c>
      <c r="E298" s="3" t="str">
        <f t="shared" si="4"/>
        <v/>
      </c>
      <c r="F298" s="1">
        <f>Start_Daten!F298</f>
        <v>0</v>
      </c>
      <c r="G298" s="1">
        <f>Start_Daten!G298</f>
        <v>0</v>
      </c>
      <c r="H298">
        <f>Start_Daten!H298</f>
        <v>0</v>
      </c>
      <c r="I298">
        <f>Start_Daten!I298</f>
        <v>0</v>
      </c>
      <c r="J298">
        <f>Start_Daten!J298</f>
        <v>0</v>
      </c>
      <c r="K298">
        <f>Start_Daten!K298</f>
        <v>0</v>
      </c>
      <c r="L298">
        <f>Start_Daten!L298</f>
        <v>0</v>
      </c>
      <c r="M298">
        <f>Start_Daten!M298</f>
        <v>0</v>
      </c>
      <c r="N298">
        <f>Start_Daten!N298</f>
        <v>0</v>
      </c>
      <c r="O298" s="4">
        <f>Start_Daten!O298</f>
        <v>0</v>
      </c>
    </row>
    <row r="299" spans="1:15">
      <c r="A299" s="1">
        <v>297</v>
      </c>
      <c r="B299">
        <f>Start_Daten!B299</f>
        <v>0</v>
      </c>
      <c r="C299" s="2">
        <f>Start_Daten!C299</f>
        <v>0</v>
      </c>
      <c r="E299" s="3" t="str">
        <f t="shared" si="4"/>
        <v/>
      </c>
      <c r="F299" s="1">
        <f>Start_Daten!F299</f>
        <v>0</v>
      </c>
      <c r="G299" s="1">
        <f>Start_Daten!G299</f>
        <v>0</v>
      </c>
      <c r="H299">
        <f>Start_Daten!H299</f>
        <v>0</v>
      </c>
      <c r="I299">
        <f>Start_Daten!I299</f>
        <v>0</v>
      </c>
      <c r="J299">
        <f>Start_Daten!J299</f>
        <v>0</v>
      </c>
      <c r="K299">
        <f>Start_Daten!K299</f>
        <v>0</v>
      </c>
      <c r="L299">
        <f>Start_Daten!L299</f>
        <v>0</v>
      </c>
      <c r="M299">
        <f>Start_Daten!M299</f>
        <v>0</v>
      </c>
      <c r="N299">
        <f>Start_Daten!N299</f>
        <v>0</v>
      </c>
      <c r="O299" s="4">
        <f>Start_Daten!O299</f>
        <v>0</v>
      </c>
    </row>
    <row r="300" spans="1:15">
      <c r="A300" s="1">
        <v>298</v>
      </c>
      <c r="B300">
        <f>Start_Daten!B300</f>
        <v>0</v>
      </c>
      <c r="C300" s="2">
        <f>Start_Daten!C300</f>
        <v>0</v>
      </c>
      <c r="E300" s="3" t="str">
        <f t="shared" si="4"/>
        <v/>
      </c>
      <c r="F300" s="1">
        <f>Start_Daten!F300</f>
        <v>0</v>
      </c>
      <c r="G300" s="1">
        <f>Start_Daten!G300</f>
        <v>0</v>
      </c>
      <c r="H300">
        <f>Start_Daten!H300</f>
        <v>0</v>
      </c>
      <c r="I300">
        <f>Start_Daten!I300</f>
        <v>0</v>
      </c>
      <c r="J300">
        <f>Start_Daten!J300</f>
        <v>0</v>
      </c>
      <c r="K300">
        <f>Start_Daten!K300</f>
        <v>0</v>
      </c>
      <c r="L300">
        <f>Start_Daten!L300</f>
        <v>0</v>
      </c>
      <c r="M300">
        <f>Start_Daten!M300</f>
        <v>0</v>
      </c>
      <c r="N300">
        <f>Start_Daten!N300</f>
        <v>0</v>
      </c>
      <c r="O300" s="4">
        <f>Start_Daten!O300</f>
        <v>0</v>
      </c>
    </row>
    <row r="301" spans="1:15">
      <c r="A301" s="1">
        <v>299</v>
      </c>
      <c r="B301">
        <f>Start_Daten!B301</f>
        <v>0</v>
      </c>
      <c r="C301" s="2">
        <f>Start_Daten!C301</f>
        <v>0</v>
      </c>
      <c r="E301" s="3" t="str">
        <f t="shared" si="4"/>
        <v/>
      </c>
      <c r="F301" s="1">
        <f>Start_Daten!F301</f>
        <v>0</v>
      </c>
      <c r="G301" s="1">
        <f>Start_Daten!G301</f>
        <v>0</v>
      </c>
      <c r="H301">
        <f>Start_Daten!H301</f>
        <v>0</v>
      </c>
      <c r="I301">
        <f>Start_Daten!I301</f>
        <v>0</v>
      </c>
      <c r="J301">
        <f>Start_Daten!J301</f>
        <v>0</v>
      </c>
      <c r="K301">
        <f>Start_Daten!K301</f>
        <v>0</v>
      </c>
      <c r="L301">
        <f>Start_Daten!L301</f>
        <v>0</v>
      </c>
      <c r="M301">
        <f>Start_Daten!M301</f>
        <v>0</v>
      </c>
      <c r="N301">
        <f>Start_Daten!N301</f>
        <v>0</v>
      </c>
      <c r="O301" s="4">
        <f>Start_Daten!O301</f>
        <v>0</v>
      </c>
    </row>
    <row r="302" spans="1:15">
      <c r="A302" s="1">
        <v>300</v>
      </c>
      <c r="B302">
        <f>Start_Daten!B302</f>
        <v>0</v>
      </c>
      <c r="C302" s="2">
        <f>Start_Daten!C302</f>
        <v>0</v>
      </c>
      <c r="E302" s="3" t="str">
        <f t="shared" si="4"/>
        <v/>
      </c>
      <c r="F302" s="1">
        <f>Start_Daten!F302</f>
        <v>0</v>
      </c>
      <c r="G302" s="1">
        <f>Start_Daten!G302</f>
        <v>0</v>
      </c>
      <c r="H302">
        <f>Start_Daten!H302</f>
        <v>0</v>
      </c>
      <c r="I302">
        <f>Start_Daten!I302</f>
        <v>0</v>
      </c>
      <c r="J302">
        <f>Start_Daten!J302</f>
        <v>0</v>
      </c>
      <c r="K302">
        <f>Start_Daten!K302</f>
        <v>0</v>
      </c>
      <c r="L302">
        <f>Start_Daten!L302</f>
        <v>0</v>
      </c>
      <c r="M302">
        <f>Start_Daten!M302</f>
        <v>0</v>
      </c>
      <c r="N302">
        <f>Start_Daten!N302</f>
        <v>0</v>
      </c>
      <c r="O302" s="4">
        <f>Start_Daten!O302</f>
        <v>0</v>
      </c>
    </row>
    <row r="303" spans="1:15">
      <c r="A303" s="1">
        <v>301</v>
      </c>
      <c r="B303">
        <f>Start_Daten!B303</f>
        <v>0</v>
      </c>
      <c r="C303" s="2">
        <f>Start_Daten!C303</f>
        <v>0</v>
      </c>
      <c r="E303" s="3" t="str">
        <f t="shared" si="4"/>
        <v/>
      </c>
      <c r="F303" s="1">
        <f>Start_Daten!F303</f>
        <v>0</v>
      </c>
      <c r="G303" s="1">
        <f>Start_Daten!G303</f>
        <v>0</v>
      </c>
      <c r="H303">
        <f>Start_Daten!H303</f>
        <v>0</v>
      </c>
      <c r="I303">
        <f>Start_Daten!I303</f>
        <v>0</v>
      </c>
      <c r="J303">
        <f>Start_Daten!J303</f>
        <v>0</v>
      </c>
      <c r="K303">
        <f>Start_Daten!K303</f>
        <v>0</v>
      </c>
      <c r="L303">
        <f>Start_Daten!L303</f>
        <v>0</v>
      </c>
      <c r="M303">
        <f>Start_Daten!M303</f>
        <v>0</v>
      </c>
      <c r="N303">
        <f>Start_Daten!N303</f>
        <v>0</v>
      </c>
      <c r="O303" s="4">
        <f>Start_Daten!O303</f>
        <v>0</v>
      </c>
    </row>
    <row r="304" spans="1:15">
      <c r="A304" s="1">
        <v>302</v>
      </c>
      <c r="B304">
        <f>Start_Daten!B304</f>
        <v>0</v>
      </c>
      <c r="C304" s="2">
        <f>Start_Daten!C304</f>
        <v>0</v>
      </c>
      <c r="E304" s="3" t="str">
        <f t="shared" si="4"/>
        <v/>
      </c>
      <c r="F304" s="1">
        <f>Start_Daten!F304</f>
        <v>0</v>
      </c>
      <c r="G304" s="1">
        <f>Start_Daten!G304</f>
        <v>0</v>
      </c>
      <c r="H304">
        <f>Start_Daten!H304</f>
        <v>0</v>
      </c>
      <c r="I304">
        <f>Start_Daten!I304</f>
        <v>0</v>
      </c>
      <c r="J304">
        <f>Start_Daten!J304</f>
        <v>0</v>
      </c>
      <c r="K304">
        <f>Start_Daten!K304</f>
        <v>0</v>
      </c>
      <c r="L304">
        <f>Start_Daten!L304</f>
        <v>0</v>
      </c>
      <c r="M304">
        <f>Start_Daten!M304</f>
        <v>0</v>
      </c>
      <c r="N304">
        <f>Start_Daten!N304</f>
        <v>0</v>
      </c>
      <c r="O304" s="4">
        <f>Start_Daten!O304</f>
        <v>0</v>
      </c>
    </row>
    <row r="305" spans="1:15">
      <c r="A305" s="1">
        <v>303</v>
      </c>
      <c r="B305">
        <f>Start_Daten!B305</f>
        <v>0</v>
      </c>
      <c r="C305" s="2">
        <f>Start_Daten!C305</f>
        <v>0</v>
      </c>
      <c r="E305" s="3" t="str">
        <f t="shared" si="4"/>
        <v/>
      </c>
      <c r="F305" s="1">
        <f>Start_Daten!F305</f>
        <v>0</v>
      </c>
      <c r="G305" s="1">
        <f>Start_Daten!G305</f>
        <v>0</v>
      </c>
      <c r="H305">
        <f>Start_Daten!H305</f>
        <v>0</v>
      </c>
      <c r="I305">
        <f>Start_Daten!I305</f>
        <v>0</v>
      </c>
      <c r="J305">
        <f>Start_Daten!J305</f>
        <v>0</v>
      </c>
      <c r="K305">
        <f>Start_Daten!K305</f>
        <v>0</v>
      </c>
      <c r="L305">
        <f>Start_Daten!L305</f>
        <v>0</v>
      </c>
      <c r="M305">
        <f>Start_Daten!M305</f>
        <v>0</v>
      </c>
      <c r="N305">
        <f>Start_Daten!N305</f>
        <v>0</v>
      </c>
      <c r="O305" s="4">
        <f>Start_Daten!O305</f>
        <v>0</v>
      </c>
    </row>
    <row r="306" spans="1:15">
      <c r="A306" s="1">
        <v>304</v>
      </c>
      <c r="B306">
        <f>Start_Daten!B306</f>
        <v>0</v>
      </c>
      <c r="C306" s="2">
        <f>Start_Daten!C306</f>
        <v>0</v>
      </c>
      <c r="E306" s="3" t="str">
        <f t="shared" si="4"/>
        <v/>
      </c>
      <c r="F306" s="1">
        <f>Start_Daten!F306</f>
        <v>0</v>
      </c>
      <c r="G306" s="1">
        <f>Start_Daten!G306</f>
        <v>0</v>
      </c>
      <c r="H306">
        <f>Start_Daten!H306</f>
        <v>0</v>
      </c>
      <c r="I306">
        <f>Start_Daten!I306</f>
        <v>0</v>
      </c>
      <c r="J306">
        <f>Start_Daten!J306</f>
        <v>0</v>
      </c>
      <c r="K306">
        <f>Start_Daten!K306</f>
        <v>0</v>
      </c>
      <c r="L306">
        <f>Start_Daten!L306</f>
        <v>0</v>
      </c>
      <c r="M306">
        <f>Start_Daten!M306</f>
        <v>0</v>
      </c>
      <c r="N306">
        <f>Start_Daten!N306</f>
        <v>0</v>
      </c>
      <c r="O306" s="4">
        <f>Start_Daten!O306</f>
        <v>0</v>
      </c>
    </row>
    <row r="307" spans="1:15">
      <c r="A307" s="1">
        <v>305</v>
      </c>
      <c r="B307">
        <f>Start_Daten!B307</f>
        <v>0</v>
      </c>
      <c r="C307" s="2">
        <f>Start_Daten!C307</f>
        <v>0</v>
      </c>
      <c r="E307" s="3" t="str">
        <f t="shared" si="4"/>
        <v/>
      </c>
      <c r="F307" s="1">
        <f>Start_Daten!F307</f>
        <v>0</v>
      </c>
      <c r="G307" s="1">
        <f>Start_Daten!G307</f>
        <v>0</v>
      </c>
      <c r="H307">
        <f>Start_Daten!H307</f>
        <v>0</v>
      </c>
      <c r="I307">
        <f>Start_Daten!I307</f>
        <v>0</v>
      </c>
      <c r="J307">
        <f>Start_Daten!J307</f>
        <v>0</v>
      </c>
      <c r="K307">
        <f>Start_Daten!K307</f>
        <v>0</v>
      </c>
      <c r="L307">
        <f>Start_Daten!L307</f>
        <v>0</v>
      </c>
      <c r="M307">
        <f>Start_Daten!M307</f>
        <v>0</v>
      </c>
      <c r="N307">
        <f>Start_Daten!N307</f>
        <v>0</v>
      </c>
      <c r="O307" s="4">
        <f>Start_Daten!O307</f>
        <v>0</v>
      </c>
    </row>
    <row r="308" spans="1:15">
      <c r="A308" s="1">
        <v>306</v>
      </c>
      <c r="B308">
        <f>Start_Daten!B308</f>
        <v>0</v>
      </c>
      <c r="C308" s="2">
        <f>Start_Daten!C308</f>
        <v>0</v>
      </c>
      <c r="E308" s="3" t="str">
        <f t="shared" si="4"/>
        <v/>
      </c>
      <c r="F308" s="1">
        <f>Start_Daten!F308</f>
        <v>0</v>
      </c>
      <c r="G308" s="1">
        <f>Start_Daten!G308</f>
        <v>0</v>
      </c>
      <c r="H308">
        <f>Start_Daten!H308</f>
        <v>0</v>
      </c>
      <c r="I308">
        <f>Start_Daten!I308</f>
        <v>0</v>
      </c>
      <c r="J308">
        <f>Start_Daten!J308</f>
        <v>0</v>
      </c>
      <c r="K308">
        <f>Start_Daten!K308</f>
        <v>0</v>
      </c>
      <c r="L308">
        <f>Start_Daten!L308</f>
        <v>0</v>
      </c>
      <c r="M308">
        <f>Start_Daten!M308</f>
        <v>0</v>
      </c>
      <c r="N308">
        <f>Start_Daten!N308</f>
        <v>0</v>
      </c>
      <c r="O308" s="4">
        <f>Start_Daten!O308</f>
        <v>0</v>
      </c>
    </row>
    <row r="309" spans="1:15">
      <c r="A309" s="1">
        <v>307</v>
      </c>
      <c r="B309">
        <f>Start_Daten!B309</f>
        <v>0</v>
      </c>
      <c r="C309" s="2">
        <f>Start_Daten!C309</f>
        <v>0</v>
      </c>
      <c r="E309" s="3" t="str">
        <f t="shared" si="4"/>
        <v/>
      </c>
      <c r="F309" s="1">
        <f>Start_Daten!F309</f>
        <v>0</v>
      </c>
      <c r="G309" s="1">
        <f>Start_Daten!G309</f>
        <v>0</v>
      </c>
      <c r="H309">
        <f>Start_Daten!H309</f>
        <v>0</v>
      </c>
      <c r="I309">
        <f>Start_Daten!I309</f>
        <v>0</v>
      </c>
      <c r="J309">
        <f>Start_Daten!J309</f>
        <v>0</v>
      </c>
      <c r="K309">
        <f>Start_Daten!K309</f>
        <v>0</v>
      </c>
      <c r="L309">
        <f>Start_Daten!L309</f>
        <v>0</v>
      </c>
      <c r="M309">
        <f>Start_Daten!M309</f>
        <v>0</v>
      </c>
      <c r="N309">
        <f>Start_Daten!N309</f>
        <v>0</v>
      </c>
      <c r="O309" s="4">
        <f>Start_Daten!O309</f>
        <v>0</v>
      </c>
    </row>
    <row r="310" spans="1:15">
      <c r="A310" s="1">
        <v>308</v>
      </c>
      <c r="B310">
        <f>Start_Daten!B310</f>
        <v>0</v>
      </c>
      <c r="C310" s="2">
        <f>Start_Daten!C310</f>
        <v>0</v>
      </c>
      <c r="E310" s="3" t="str">
        <f t="shared" si="4"/>
        <v/>
      </c>
      <c r="F310" s="1">
        <f>Start_Daten!F310</f>
        <v>0</v>
      </c>
      <c r="G310" s="1">
        <f>Start_Daten!G310</f>
        <v>0</v>
      </c>
      <c r="H310">
        <f>Start_Daten!H310</f>
        <v>0</v>
      </c>
      <c r="I310">
        <f>Start_Daten!I310</f>
        <v>0</v>
      </c>
      <c r="J310">
        <f>Start_Daten!J310</f>
        <v>0</v>
      </c>
      <c r="K310">
        <f>Start_Daten!K310</f>
        <v>0</v>
      </c>
      <c r="L310">
        <f>Start_Daten!L310</f>
        <v>0</v>
      </c>
      <c r="M310">
        <f>Start_Daten!M310</f>
        <v>0</v>
      </c>
      <c r="N310">
        <f>Start_Daten!N310</f>
        <v>0</v>
      </c>
      <c r="O310" s="4">
        <f>Start_Daten!O310</f>
        <v>0</v>
      </c>
    </row>
    <row r="311" spans="1:15">
      <c r="A311" s="1">
        <v>309</v>
      </c>
      <c r="B311">
        <f>Start_Daten!B311</f>
        <v>0</v>
      </c>
      <c r="C311" s="2">
        <f>Start_Daten!C311</f>
        <v>0</v>
      </c>
      <c r="E311" s="3" t="str">
        <f t="shared" si="4"/>
        <v/>
      </c>
      <c r="F311" s="1">
        <f>Start_Daten!F311</f>
        <v>0</v>
      </c>
      <c r="G311" s="1">
        <f>Start_Daten!G311</f>
        <v>0</v>
      </c>
      <c r="H311">
        <f>Start_Daten!H311</f>
        <v>0</v>
      </c>
      <c r="I311">
        <f>Start_Daten!I311</f>
        <v>0</v>
      </c>
      <c r="J311">
        <f>Start_Daten!J311</f>
        <v>0</v>
      </c>
      <c r="K311">
        <f>Start_Daten!K311</f>
        <v>0</v>
      </c>
      <c r="L311">
        <f>Start_Daten!L311</f>
        <v>0</v>
      </c>
      <c r="M311">
        <f>Start_Daten!M311</f>
        <v>0</v>
      </c>
      <c r="N311">
        <f>Start_Daten!N311</f>
        <v>0</v>
      </c>
      <c r="O311" s="4">
        <f>Start_Daten!O311</f>
        <v>0</v>
      </c>
    </row>
    <row r="312" spans="1:15">
      <c r="A312" s="1">
        <v>310</v>
      </c>
      <c r="B312">
        <f>Start_Daten!B312</f>
        <v>0</v>
      </c>
      <c r="C312" s="2">
        <f>Start_Daten!C312</f>
        <v>0</v>
      </c>
      <c r="E312" s="3" t="str">
        <f t="shared" si="4"/>
        <v/>
      </c>
      <c r="F312" s="1">
        <f>Start_Daten!F312</f>
        <v>0</v>
      </c>
      <c r="G312" s="1">
        <f>Start_Daten!G312</f>
        <v>0</v>
      </c>
      <c r="H312">
        <f>Start_Daten!H312</f>
        <v>0</v>
      </c>
      <c r="I312">
        <f>Start_Daten!I312</f>
        <v>0</v>
      </c>
      <c r="J312">
        <f>Start_Daten!J312</f>
        <v>0</v>
      </c>
      <c r="K312">
        <f>Start_Daten!K312</f>
        <v>0</v>
      </c>
      <c r="L312">
        <f>Start_Daten!L312</f>
        <v>0</v>
      </c>
      <c r="M312">
        <f>Start_Daten!M312</f>
        <v>0</v>
      </c>
      <c r="N312">
        <f>Start_Daten!N312</f>
        <v>0</v>
      </c>
      <c r="O312" s="4">
        <f>Start_Daten!O312</f>
        <v>0</v>
      </c>
    </row>
    <row r="313" spans="1:15">
      <c r="A313" s="1">
        <v>311</v>
      </c>
      <c r="B313">
        <f>Start_Daten!B313</f>
        <v>0</v>
      </c>
      <c r="C313" s="2">
        <f>Start_Daten!C313</f>
        <v>0</v>
      </c>
      <c r="E313" s="3" t="str">
        <f t="shared" si="4"/>
        <v/>
      </c>
      <c r="F313" s="1">
        <f>Start_Daten!F313</f>
        <v>0</v>
      </c>
      <c r="G313" s="1">
        <f>Start_Daten!G313</f>
        <v>0</v>
      </c>
      <c r="H313">
        <f>Start_Daten!H313</f>
        <v>0</v>
      </c>
      <c r="I313">
        <f>Start_Daten!I313</f>
        <v>0</v>
      </c>
      <c r="J313">
        <f>Start_Daten!J313</f>
        <v>0</v>
      </c>
      <c r="K313">
        <f>Start_Daten!K313</f>
        <v>0</v>
      </c>
      <c r="L313">
        <f>Start_Daten!L313</f>
        <v>0</v>
      </c>
      <c r="M313">
        <f>Start_Daten!M313</f>
        <v>0</v>
      </c>
      <c r="N313">
        <f>Start_Daten!N313</f>
        <v>0</v>
      </c>
      <c r="O313" s="4">
        <f>Start_Daten!O313</f>
        <v>0</v>
      </c>
    </row>
    <row r="314" spans="1:15">
      <c r="A314" s="1">
        <v>312</v>
      </c>
      <c r="B314">
        <f>Start_Daten!B314</f>
        <v>0</v>
      </c>
      <c r="C314" s="2">
        <f>Start_Daten!C314</f>
        <v>0</v>
      </c>
      <c r="E314" s="3" t="str">
        <f t="shared" si="4"/>
        <v/>
      </c>
      <c r="F314" s="1">
        <f>Start_Daten!F314</f>
        <v>0</v>
      </c>
      <c r="G314" s="1">
        <f>Start_Daten!G314</f>
        <v>0</v>
      </c>
      <c r="H314">
        <f>Start_Daten!H314</f>
        <v>0</v>
      </c>
      <c r="I314">
        <f>Start_Daten!I314</f>
        <v>0</v>
      </c>
      <c r="J314">
        <f>Start_Daten!J314</f>
        <v>0</v>
      </c>
      <c r="K314">
        <f>Start_Daten!K314</f>
        <v>0</v>
      </c>
      <c r="L314">
        <f>Start_Daten!L314</f>
        <v>0</v>
      </c>
      <c r="M314">
        <f>Start_Daten!M314</f>
        <v>0</v>
      </c>
      <c r="N314">
        <f>Start_Daten!N314</f>
        <v>0</v>
      </c>
      <c r="O314" s="4">
        <f>Start_Daten!O314</f>
        <v>0</v>
      </c>
    </row>
    <row r="315" spans="1:15">
      <c r="A315" s="1">
        <v>313</v>
      </c>
      <c r="B315">
        <f>Start_Daten!B315</f>
        <v>0</v>
      </c>
      <c r="C315" s="2">
        <f>Start_Daten!C315</f>
        <v>0</v>
      </c>
      <c r="E315" s="3" t="str">
        <f t="shared" si="4"/>
        <v/>
      </c>
      <c r="F315" s="1">
        <f>Start_Daten!F315</f>
        <v>0</v>
      </c>
      <c r="G315" s="1">
        <f>Start_Daten!G315</f>
        <v>0</v>
      </c>
      <c r="H315">
        <f>Start_Daten!H315</f>
        <v>0</v>
      </c>
      <c r="I315">
        <f>Start_Daten!I315</f>
        <v>0</v>
      </c>
      <c r="J315">
        <f>Start_Daten!J315</f>
        <v>0</v>
      </c>
      <c r="K315">
        <f>Start_Daten!K315</f>
        <v>0</v>
      </c>
      <c r="L315">
        <f>Start_Daten!L315</f>
        <v>0</v>
      </c>
      <c r="M315">
        <f>Start_Daten!M315</f>
        <v>0</v>
      </c>
      <c r="N315">
        <f>Start_Daten!N315</f>
        <v>0</v>
      </c>
      <c r="O315" s="4">
        <f>Start_Daten!O315</f>
        <v>0</v>
      </c>
    </row>
    <row r="316" spans="1:15">
      <c r="A316" s="1">
        <v>314</v>
      </c>
      <c r="B316">
        <f>Start_Daten!B316</f>
        <v>0</v>
      </c>
      <c r="C316" s="2">
        <f>Start_Daten!C316</f>
        <v>0</v>
      </c>
      <c r="E316" s="3" t="str">
        <f t="shared" si="4"/>
        <v/>
      </c>
      <c r="F316" s="1">
        <f>Start_Daten!F316</f>
        <v>0</v>
      </c>
      <c r="G316" s="1">
        <f>Start_Daten!G316</f>
        <v>0</v>
      </c>
      <c r="H316">
        <f>Start_Daten!H316</f>
        <v>0</v>
      </c>
      <c r="I316">
        <f>Start_Daten!I316</f>
        <v>0</v>
      </c>
      <c r="J316">
        <f>Start_Daten!J316</f>
        <v>0</v>
      </c>
      <c r="K316">
        <f>Start_Daten!K316</f>
        <v>0</v>
      </c>
      <c r="L316">
        <f>Start_Daten!L316</f>
        <v>0</v>
      </c>
      <c r="M316">
        <f>Start_Daten!M316</f>
        <v>0</v>
      </c>
      <c r="N316">
        <f>Start_Daten!N316</f>
        <v>0</v>
      </c>
      <c r="O316" s="4">
        <f>Start_Daten!O316</f>
        <v>0</v>
      </c>
    </row>
    <row r="317" spans="1:15">
      <c r="A317" s="1">
        <v>315</v>
      </c>
      <c r="B317">
        <f>Start_Daten!B317</f>
        <v>0</v>
      </c>
      <c r="C317" s="2">
        <f>Start_Daten!C317</f>
        <v>0</v>
      </c>
      <c r="E317" s="3" t="str">
        <f t="shared" si="4"/>
        <v/>
      </c>
      <c r="F317" s="1">
        <f>Start_Daten!F317</f>
        <v>0</v>
      </c>
      <c r="G317" s="1">
        <f>Start_Daten!G317</f>
        <v>0</v>
      </c>
      <c r="H317">
        <f>Start_Daten!H317</f>
        <v>0</v>
      </c>
      <c r="I317">
        <f>Start_Daten!I317</f>
        <v>0</v>
      </c>
      <c r="J317">
        <f>Start_Daten!J317</f>
        <v>0</v>
      </c>
      <c r="K317">
        <f>Start_Daten!K317</f>
        <v>0</v>
      </c>
      <c r="L317">
        <f>Start_Daten!L317</f>
        <v>0</v>
      </c>
      <c r="M317">
        <f>Start_Daten!M317</f>
        <v>0</v>
      </c>
      <c r="N317">
        <f>Start_Daten!N317</f>
        <v>0</v>
      </c>
      <c r="O317" s="4">
        <f>Start_Daten!O317</f>
        <v>0</v>
      </c>
    </row>
    <row r="318" spans="1:15">
      <c r="A318" s="1">
        <v>316</v>
      </c>
      <c r="B318">
        <f>Start_Daten!B318</f>
        <v>0</v>
      </c>
      <c r="C318" s="2">
        <f>Start_Daten!C318</f>
        <v>0</v>
      </c>
      <c r="E318" s="3" t="str">
        <f t="shared" si="4"/>
        <v/>
      </c>
      <c r="F318" s="1">
        <f>Start_Daten!F318</f>
        <v>0</v>
      </c>
      <c r="G318" s="1">
        <f>Start_Daten!G318</f>
        <v>0</v>
      </c>
      <c r="H318">
        <f>Start_Daten!H318</f>
        <v>0</v>
      </c>
      <c r="I318">
        <f>Start_Daten!I318</f>
        <v>0</v>
      </c>
      <c r="J318">
        <f>Start_Daten!J318</f>
        <v>0</v>
      </c>
      <c r="K318">
        <f>Start_Daten!K318</f>
        <v>0</v>
      </c>
      <c r="L318">
        <f>Start_Daten!L318</f>
        <v>0</v>
      </c>
      <c r="M318">
        <f>Start_Daten!M318</f>
        <v>0</v>
      </c>
      <c r="N318">
        <f>Start_Daten!N318</f>
        <v>0</v>
      </c>
      <c r="O318" s="4">
        <f>Start_Daten!O318</f>
        <v>0</v>
      </c>
    </row>
    <row r="319" spans="1:15">
      <c r="A319" s="1">
        <v>317</v>
      </c>
      <c r="B319">
        <f>Start_Daten!B319</f>
        <v>0</v>
      </c>
      <c r="C319" s="2">
        <f>Start_Daten!C319</f>
        <v>0</v>
      </c>
      <c r="E319" s="3" t="str">
        <f t="shared" si="4"/>
        <v/>
      </c>
      <c r="F319" s="1">
        <f>Start_Daten!F319</f>
        <v>0</v>
      </c>
      <c r="G319" s="1">
        <f>Start_Daten!G319</f>
        <v>0</v>
      </c>
      <c r="H319">
        <f>Start_Daten!H319</f>
        <v>0</v>
      </c>
      <c r="I319">
        <f>Start_Daten!I319</f>
        <v>0</v>
      </c>
      <c r="J319">
        <f>Start_Daten!J319</f>
        <v>0</v>
      </c>
      <c r="K319">
        <f>Start_Daten!K319</f>
        <v>0</v>
      </c>
      <c r="L319">
        <f>Start_Daten!L319</f>
        <v>0</v>
      </c>
      <c r="M319">
        <f>Start_Daten!M319</f>
        <v>0</v>
      </c>
      <c r="N319">
        <f>Start_Daten!N319</f>
        <v>0</v>
      </c>
      <c r="O319" s="4">
        <f>Start_Daten!O319</f>
        <v>0</v>
      </c>
    </row>
    <row r="320" spans="1:15">
      <c r="A320" s="1">
        <v>318</v>
      </c>
      <c r="B320">
        <f>Start_Daten!B320</f>
        <v>0</v>
      </c>
      <c r="C320" s="2">
        <f>Start_Daten!C320</f>
        <v>0</v>
      </c>
      <c r="E320" s="3" t="str">
        <f t="shared" si="4"/>
        <v/>
      </c>
      <c r="F320" s="1">
        <f>Start_Daten!F320</f>
        <v>0</v>
      </c>
      <c r="G320" s="1">
        <f>Start_Daten!G320</f>
        <v>0</v>
      </c>
      <c r="H320">
        <f>Start_Daten!H320</f>
        <v>0</v>
      </c>
      <c r="I320">
        <f>Start_Daten!I320</f>
        <v>0</v>
      </c>
      <c r="J320">
        <f>Start_Daten!J320</f>
        <v>0</v>
      </c>
      <c r="K320">
        <f>Start_Daten!K320</f>
        <v>0</v>
      </c>
      <c r="L320">
        <f>Start_Daten!L320</f>
        <v>0</v>
      </c>
      <c r="M320">
        <f>Start_Daten!M320</f>
        <v>0</v>
      </c>
      <c r="N320">
        <f>Start_Daten!N320</f>
        <v>0</v>
      </c>
      <c r="O320" s="4">
        <f>Start_Daten!O320</f>
        <v>0</v>
      </c>
    </row>
    <row r="321" spans="1:15">
      <c r="A321" s="1">
        <v>319</v>
      </c>
      <c r="B321">
        <f>Start_Daten!B321</f>
        <v>0</v>
      </c>
      <c r="C321" s="2">
        <f>Start_Daten!C321</f>
        <v>0</v>
      </c>
      <c r="E321" s="3" t="str">
        <f t="shared" si="4"/>
        <v/>
      </c>
      <c r="F321" s="1">
        <f>Start_Daten!F321</f>
        <v>0</v>
      </c>
      <c r="G321" s="1">
        <f>Start_Daten!G321</f>
        <v>0</v>
      </c>
      <c r="H321">
        <f>Start_Daten!H321</f>
        <v>0</v>
      </c>
      <c r="I321">
        <f>Start_Daten!I321</f>
        <v>0</v>
      </c>
      <c r="J321">
        <f>Start_Daten!J321</f>
        <v>0</v>
      </c>
      <c r="K321">
        <f>Start_Daten!K321</f>
        <v>0</v>
      </c>
      <c r="L321">
        <f>Start_Daten!L321</f>
        <v>0</v>
      </c>
      <c r="M321">
        <f>Start_Daten!M321</f>
        <v>0</v>
      </c>
      <c r="N321">
        <f>Start_Daten!N321</f>
        <v>0</v>
      </c>
      <c r="O321" s="4">
        <f>Start_Daten!O321</f>
        <v>0</v>
      </c>
    </row>
    <row r="322" spans="1:15">
      <c r="A322" s="1">
        <v>320</v>
      </c>
      <c r="B322">
        <f>Start_Daten!B322</f>
        <v>0</v>
      </c>
      <c r="C322" s="2">
        <f>Start_Daten!C322</f>
        <v>0</v>
      </c>
      <c r="E322" s="3" t="str">
        <f t="shared" si="4"/>
        <v/>
      </c>
      <c r="F322" s="1">
        <f>Start_Daten!F322</f>
        <v>0</v>
      </c>
      <c r="G322" s="1">
        <f>Start_Daten!G322</f>
        <v>0</v>
      </c>
      <c r="H322">
        <f>Start_Daten!H322</f>
        <v>0</v>
      </c>
      <c r="I322">
        <f>Start_Daten!I322</f>
        <v>0</v>
      </c>
      <c r="J322">
        <f>Start_Daten!J322</f>
        <v>0</v>
      </c>
      <c r="K322">
        <f>Start_Daten!K322</f>
        <v>0</v>
      </c>
      <c r="L322">
        <f>Start_Daten!L322</f>
        <v>0</v>
      </c>
      <c r="M322">
        <f>Start_Daten!M322</f>
        <v>0</v>
      </c>
      <c r="N322">
        <f>Start_Daten!N322</f>
        <v>0</v>
      </c>
      <c r="O322" s="4">
        <f>Start_Daten!O322</f>
        <v>0</v>
      </c>
    </row>
    <row r="323" spans="1:15">
      <c r="A323" s="1">
        <v>321</v>
      </c>
      <c r="B323">
        <f>Start_Daten!B323</f>
        <v>0</v>
      </c>
      <c r="C323" s="2">
        <f>Start_Daten!C323</f>
        <v>0</v>
      </c>
      <c r="E323" s="3" t="str">
        <f t="shared" si="4"/>
        <v/>
      </c>
      <c r="F323" s="1">
        <f>Start_Daten!F323</f>
        <v>0</v>
      </c>
      <c r="G323" s="1">
        <f>Start_Daten!G323</f>
        <v>0</v>
      </c>
      <c r="H323">
        <f>Start_Daten!H323</f>
        <v>0</v>
      </c>
      <c r="I323">
        <f>Start_Daten!I323</f>
        <v>0</v>
      </c>
      <c r="J323">
        <f>Start_Daten!J323</f>
        <v>0</v>
      </c>
      <c r="K323">
        <f>Start_Daten!K323</f>
        <v>0</v>
      </c>
      <c r="L323">
        <f>Start_Daten!L323</f>
        <v>0</v>
      </c>
      <c r="M323">
        <f>Start_Daten!M323</f>
        <v>0</v>
      </c>
      <c r="N323">
        <f>Start_Daten!N323</f>
        <v>0</v>
      </c>
      <c r="O323" s="4">
        <f>Start_Daten!O323</f>
        <v>0</v>
      </c>
    </row>
    <row r="324" spans="1:15">
      <c r="A324" s="1">
        <v>322</v>
      </c>
      <c r="B324">
        <f>Start_Daten!B324</f>
        <v>0</v>
      </c>
      <c r="C324" s="2">
        <f>Start_Daten!C324</f>
        <v>0</v>
      </c>
      <c r="E324" s="3" t="str">
        <f t="shared" ref="E324:E387" si="5">IF(C324&gt;0,D324/C324,"")</f>
        <v/>
      </c>
      <c r="F324" s="1">
        <f>Start_Daten!F324</f>
        <v>0</v>
      </c>
      <c r="G324" s="1">
        <f>Start_Daten!G324</f>
        <v>0</v>
      </c>
      <c r="H324">
        <f>Start_Daten!H324</f>
        <v>0</v>
      </c>
      <c r="I324">
        <f>Start_Daten!I324</f>
        <v>0</v>
      </c>
      <c r="J324">
        <f>Start_Daten!J324</f>
        <v>0</v>
      </c>
      <c r="K324">
        <f>Start_Daten!K324</f>
        <v>0</v>
      </c>
      <c r="L324">
        <f>Start_Daten!L324</f>
        <v>0</v>
      </c>
      <c r="M324">
        <f>Start_Daten!M324</f>
        <v>0</v>
      </c>
      <c r="N324">
        <f>Start_Daten!N324</f>
        <v>0</v>
      </c>
      <c r="O324" s="4">
        <f>Start_Daten!O324</f>
        <v>0</v>
      </c>
    </row>
    <row r="325" spans="1:15">
      <c r="A325" s="1">
        <v>323</v>
      </c>
      <c r="B325">
        <f>Start_Daten!B325</f>
        <v>0</v>
      </c>
      <c r="C325" s="2">
        <f>Start_Daten!C325</f>
        <v>0</v>
      </c>
      <c r="E325" s="3" t="str">
        <f t="shared" si="5"/>
        <v/>
      </c>
      <c r="F325" s="1">
        <f>Start_Daten!F325</f>
        <v>0</v>
      </c>
      <c r="G325" s="1">
        <f>Start_Daten!G325</f>
        <v>0</v>
      </c>
      <c r="H325">
        <f>Start_Daten!H325</f>
        <v>0</v>
      </c>
      <c r="I325">
        <f>Start_Daten!I325</f>
        <v>0</v>
      </c>
      <c r="J325">
        <f>Start_Daten!J325</f>
        <v>0</v>
      </c>
      <c r="K325">
        <f>Start_Daten!K325</f>
        <v>0</v>
      </c>
      <c r="L325">
        <f>Start_Daten!L325</f>
        <v>0</v>
      </c>
      <c r="M325">
        <f>Start_Daten!M325</f>
        <v>0</v>
      </c>
      <c r="N325">
        <f>Start_Daten!N325</f>
        <v>0</v>
      </c>
      <c r="O325" s="4">
        <f>Start_Daten!O325</f>
        <v>0</v>
      </c>
    </row>
    <row r="326" spans="1:15">
      <c r="A326" s="1">
        <v>324</v>
      </c>
      <c r="B326">
        <f>Start_Daten!B326</f>
        <v>0</v>
      </c>
      <c r="C326" s="2">
        <f>Start_Daten!C326</f>
        <v>0</v>
      </c>
      <c r="E326" s="3" t="str">
        <f t="shared" si="5"/>
        <v/>
      </c>
      <c r="F326" s="1">
        <f>Start_Daten!F326</f>
        <v>0</v>
      </c>
      <c r="G326" s="1">
        <f>Start_Daten!G326</f>
        <v>0</v>
      </c>
      <c r="H326">
        <f>Start_Daten!H326</f>
        <v>0</v>
      </c>
      <c r="I326">
        <f>Start_Daten!I326</f>
        <v>0</v>
      </c>
      <c r="J326">
        <f>Start_Daten!J326</f>
        <v>0</v>
      </c>
      <c r="K326">
        <f>Start_Daten!K326</f>
        <v>0</v>
      </c>
      <c r="L326">
        <f>Start_Daten!L326</f>
        <v>0</v>
      </c>
      <c r="M326">
        <f>Start_Daten!M326</f>
        <v>0</v>
      </c>
      <c r="N326">
        <f>Start_Daten!N326</f>
        <v>0</v>
      </c>
      <c r="O326" s="4">
        <f>Start_Daten!O326</f>
        <v>0</v>
      </c>
    </row>
    <row r="327" spans="1:15">
      <c r="A327" s="1">
        <v>325</v>
      </c>
      <c r="B327">
        <f>Start_Daten!B327</f>
        <v>0</v>
      </c>
      <c r="C327" s="2">
        <f>Start_Daten!C327</f>
        <v>0</v>
      </c>
      <c r="E327" s="3" t="str">
        <f t="shared" si="5"/>
        <v/>
      </c>
      <c r="F327" s="1">
        <f>Start_Daten!F327</f>
        <v>0</v>
      </c>
      <c r="G327" s="1">
        <f>Start_Daten!G327</f>
        <v>0</v>
      </c>
      <c r="H327">
        <f>Start_Daten!H327</f>
        <v>0</v>
      </c>
      <c r="I327">
        <f>Start_Daten!I327</f>
        <v>0</v>
      </c>
      <c r="J327">
        <f>Start_Daten!J327</f>
        <v>0</v>
      </c>
      <c r="K327">
        <f>Start_Daten!K327</f>
        <v>0</v>
      </c>
      <c r="L327">
        <f>Start_Daten!L327</f>
        <v>0</v>
      </c>
      <c r="M327">
        <f>Start_Daten!M327</f>
        <v>0</v>
      </c>
      <c r="N327">
        <f>Start_Daten!N327</f>
        <v>0</v>
      </c>
      <c r="O327" s="4">
        <f>Start_Daten!O327</f>
        <v>0</v>
      </c>
    </row>
    <row r="328" spans="1:15">
      <c r="A328" s="1">
        <v>326</v>
      </c>
      <c r="B328">
        <f>Start_Daten!B328</f>
        <v>0</v>
      </c>
      <c r="C328" s="2">
        <f>Start_Daten!C328</f>
        <v>0</v>
      </c>
      <c r="E328" s="3" t="str">
        <f t="shared" si="5"/>
        <v/>
      </c>
      <c r="F328" s="1">
        <f>Start_Daten!F328</f>
        <v>0</v>
      </c>
      <c r="G328" s="1">
        <f>Start_Daten!G328</f>
        <v>0</v>
      </c>
      <c r="H328">
        <f>Start_Daten!H328</f>
        <v>0</v>
      </c>
      <c r="I328">
        <f>Start_Daten!I328</f>
        <v>0</v>
      </c>
      <c r="J328">
        <f>Start_Daten!J328</f>
        <v>0</v>
      </c>
      <c r="K328">
        <f>Start_Daten!K328</f>
        <v>0</v>
      </c>
      <c r="L328">
        <f>Start_Daten!L328</f>
        <v>0</v>
      </c>
      <c r="M328">
        <f>Start_Daten!M328</f>
        <v>0</v>
      </c>
      <c r="N328">
        <f>Start_Daten!N328</f>
        <v>0</v>
      </c>
      <c r="O328" s="4">
        <f>Start_Daten!O328</f>
        <v>0</v>
      </c>
    </row>
    <row r="329" spans="1:15">
      <c r="A329" s="1">
        <v>327</v>
      </c>
      <c r="B329">
        <f>Start_Daten!B329</f>
        <v>0</v>
      </c>
      <c r="C329" s="2">
        <f>Start_Daten!C329</f>
        <v>0</v>
      </c>
      <c r="E329" s="3" t="str">
        <f t="shared" si="5"/>
        <v/>
      </c>
      <c r="F329" s="1">
        <f>Start_Daten!F329</f>
        <v>0</v>
      </c>
      <c r="G329" s="1">
        <f>Start_Daten!G329</f>
        <v>0</v>
      </c>
      <c r="H329">
        <f>Start_Daten!H329</f>
        <v>0</v>
      </c>
      <c r="I329">
        <f>Start_Daten!I329</f>
        <v>0</v>
      </c>
      <c r="J329">
        <f>Start_Daten!J329</f>
        <v>0</v>
      </c>
      <c r="K329">
        <f>Start_Daten!K329</f>
        <v>0</v>
      </c>
      <c r="L329">
        <f>Start_Daten!L329</f>
        <v>0</v>
      </c>
      <c r="M329">
        <f>Start_Daten!M329</f>
        <v>0</v>
      </c>
      <c r="N329">
        <f>Start_Daten!N329</f>
        <v>0</v>
      </c>
      <c r="O329" s="4">
        <f>Start_Daten!O329</f>
        <v>0</v>
      </c>
    </row>
    <row r="330" spans="1:15">
      <c r="A330" s="1">
        <v>328</v>
      </c>
      <c r="B330">
        <f>Start_Daten!B330</f>
        <v>0</v>
      </c>
      <c r="C330" s="2">
        <f>Start_Daten!C330</f>
        <v>0</v>
      </c>
      <c r="E330" s="3" t="str">
        <f t="shared" si="5"/>
        <v/>
      </c>
      <c r="F330" s="1">
        <f>Start_Daten!F330</f>
        <v>0</v>
      </c>
      <c r="G330" s="1">
        <f>Start_Daten!G330</f>
        <v>0</v>
      </c>
      <c r="H330">
        <f>Start_Daten!H330</f>
        <v>0</v>
      </c>
      <c r="I330">
        <f>Start_Daten!I330</f>
        <v>0</v>
      </c>
      <c r="J330">
        <f>Start_Daten!J330</f>
        <v>0</v>
      </c>
      <c r="K330">
        <f>Start_Daten!K330</f>
        <v>0</v>
      </c>
      <c r="L330">
        <f>Start_Daten!L330</f>
        <v>0</v>
      </c>
      <c r="M330">
        <f>Start_Daten!M330</f>
        <v>0</v>
      </c>
      <c r="N330">
        <f>Start_Daten!N330</f>
        <v>0</v>
      </c>
      <c r="O330" s="4">
        <f>Start_Daten!O330</f>
        <v>0</v>
      </c>
    </row>
    <row r="331" spans="1:15">
      <c r="A331" s="1">
        <v>329</v>
      </c>
      <c r="B331">
        <f>Start_Daten!B331</f>
        <v>0</v>
      </c>
      <c r="C331" s="2">
        <f>Start_Daten!C331</f>
        <v>0</v>
      </c>
      <c r="E331" s="3" t="str">
        <f t="shared" si="5"/>
        <v/>
      </c>
      <c r="F331" s="1">
        <f>Start_Daten!F331</f>
        <v>0</v>
      </c>
      <c r="G331" s="1">
        <f>Start_Daten!G331</f>
        <v>0</v>
      </c>
      <c r="H331">
        <f>Start_Daten!H331</f>
        <v>0</v>
      </c>
      <c r="I331">
        <f>Start_Daten!I331</f>
        <v>0</v>
      </c>
      <c r="J331">
        <f>Start_Daten!J331</f>
        <v>0</v>
      </c>
      <c r="K331">
        <f>Start_Daten!K331</f>
        <v>0</v>
      </c>
      <c r="L331">
        <f>Start_Daten!L331</f>
        <v>0</v>
      </c>
      <c r="M331">
        <f>Start_Daten!M331</f>
        <v>0</v>
      </c>
      <c r="N331">
        <f>Start_Daten!N331</f>
        <v>0</v>
      </c>
      <c r="O331" s="4">
        <f>Start_Daten!O331</f>
        <v>0</v>
      </c>
    </row>
    <row r="332" spans="1:15">
      <c r="A332" s="1">
        <v>330</v>
      </c>
      <c r="B332">
        <f>Start_Daten!B332</f>
        <v>0</v>
      </c>
      <c r="C332" s="2">
        <f>Start_Daten!C332</f>
        <v>0</v>
      </c>
      <c r="E332" s="3" t="str">
        <f t="shared" si="5"/>
        <v/>
      </c>
      <c r="F332" s="1">
        <f>Start_Daten!F332</f>
        <v>0</v>
      </c>
      <c r="G332" s="1">
        <f>Start_Daten!G332</f>
        <v>0</v>
      </c>
      <c r="H332">
        <f>Start_Daten!H332</f>
        <v>0</v>
      </c>
      <c r="I332">
        <f>Start_Daten!I332</f>
        <v>0</v>
      </c>
      <c r="J332">
        <f>Start_Daten!J332</f>
        <v>0</v>
      </c>
      <c r="K332">
        <f>Start_Daten!K332</f>
        <v>0</v>
      </c>
      <c r="L332">
        <f>Start_Daten!L332</f>
        <v>0</v>
      </c>
      <c r="M332">
        <f>Start_Daten!M332</f>
        <v>0</v>
      </c>
      <c r="N332">
        <f>Start_Daten!N332</f>
        <v>0</v>
      </c>
      <c r="O332" s="4">
        <f>Start_Daten!O332</f>
        <v>0</v>
      </c>
    </row>
    <row r="333" spans="1:15">
      <c r="A333" s="1">
        <v>331</v>
      </c>
      <c r="B333">
        <f>Start_Daten!B333</f>
        <v>0</v>
      </c>
      <c r="C333" s="2">
        <f>Start_Daten!C333</f>
        <v>0</v>
      </c>
      <c r="E333" s="3" t="str">
        <f t="shared" si="5"/>
        <v/>
      </c>
      <c r="F333" s="1">
        <f>Start_Daten!F333</f>
        <v>0</v>
      </c>
      <c r="G333" s="1">
        <f>Start_Daten!G333</f>
        <v>0</v>
      </c>
      <c r="H333">
        <f>Start_Daten!H333</f>
        <v>0</v>
      </c>
      <c r="I333">
        <f>Start_Daten!I333</f>
        <v>0</v>
      </c>
      <c r="J333">
        <f>Start_Daten!J333</f>
        <v>0</v>
      </c>
      <c r="K333">
        <f>Start_Daten!K333</f>
        <v>0</v>
      </c>
      <c r="L333">
        <f>Start_Daten!L333</f>
        <v>0</v>
      </c>
      <c r="M333">
        <f>Start_Daten!M333</f>
        <v>0</v>
      </c>
      <c r="N333">
        <f>Start_Daten!N333</f>
        <v>0</v>
      </c>
      <c r="O333" s="4">
        <f>Start_Daten!O333</f>
        <v>0</v>
      </c>
    </row>
    <row r="334" spans="1:15">
      <c r="A334" s="1">
        <v>332</v>
      </c>
      <c r="B334">
        <f>Start_Daten!B334</f>
        <v>0</v>
      </c>
      <c r="C334" s="2">
        <f>Start_Daten!C334</f>
        <v>0</v>
      </c>
      <c r="E334" s="3" t="str">
        <f t="shared" si="5"/>
        <v/>
      </c>
      <c r="F334" s="1">
        <f>Start_Daten!F334</f>
        <v>0</v>
      </c>
      <c r="G334" s="1">
        <f>Start_Daten!G334</f>
        <v>0</v>
      </c>
      <c r="H334">
        <f>Start_Daten!H334</f>
        <v>0</v>
      </c>
      <c r="I334">
        <f>Start_Daten!I334</f>
        <v>0</v>
      </c>
      <c r="J334">
        <f>Start_Daten!J334</f>
        <v>0</v>
      </c>
      <c r="K334">
        <f>Start_Daten!K334</f>
        <v>0</v>
      </c>
      <c r="L334">
        <f>Start_Daten!L334</f>
        <v>0</v>
      </c>
      <c r="M334">
        <f>Start_Daten!M334</f>
        <v>0</v>
      </c>
      <c r="N334">
        <f>Start_Daten!N334</f>
        <v>0</v>
      </c>
      <c r="O334" s="4">
        <f>Start_Daten!O334</f>
        <v>0</v>
      </c>
    </row>
    <row r="335" spans="1:15">
      <c r="A335" s="1">
        <v>333</v>
      </c>
      <c r="B335">
        <f>Start_Daten!B335</f>
        <v>0</v>
      </c>
      <c r="C335" s="2">
        <f>Start_Daten!C335</f>
        <v>0</v>
      </c>
      <c r="E335" s="3" t="str">
        <f t="shared" si="5"/>
        <v/>
      </c>
      <c r="F335" s="1">
        <f>Start_Daten!F335</f>
        <v>0</v>
      </c>
      <c r="G335" s="1">
        <f>Start_Daten!G335</f>
        <v>0</v>
      </c>
      <c r="H335">
        <f>Start_Daten!H335</f>
        <v>0</v>
      </c>
      <c r="I335">
        <f>Start_Daten!I335</f>
        <v>0</v>
      </c>
      <c r="J335">
        <f>Start_Daten!J335</f>
        <v>0</v>
      </c>
      <c r="K335">
        <f>Start_Daten!K335</f>
        <v>0</v>
      </c>
      <c r="L335">
        <f>Start_Daten!L335</f>
        <v>0</v>
      </c>
      <c r="M335">
        <f>Start_Daten!M335</f>
        <v>0</v>
      </c>
      <c r="N335">
        <f>Start_Daten!N335</f>
        <v>0</v>
      </c>
      <c r="O335" s="4">
        <f>Start_Daten!O335</f>
        <v>0</v>
      </c>
    </row>
    <row r="336" spans="1:15">
      <c r="A336" s="1">
        <v>334</v>
      </c>
      <c r="B336">
        <f>Start_Daten!B336</f>
        <v>0</v>
      </c>
      <c r="C336" s="2">
        <f>Start_Daten!C336</f>
        <v>0</v>
      </c>
      <c r="E336" s="3" t="str">
        <f t="shared" si="5"/>
        <v/>
      </c>
      <c r="F336" s="1">
        <f>Start_Daten!F336</f>
        <v>0</v>
      </c>
      <c r="G336" s="1">
        <f>Start_Daten!G336</f>
        <v>0</v>
      </c>
      <c r="H336">
        <f>Start_Daten!H336</f>
        <v>0</v>
      </c>
      <c r="I336">
        <f>Start_Daten!I336</f>
        <v>0</v>
      </c>
      <c r="J336">
        <f>Start_Daten!J336</f>
        <v>0</v>
      </c>
      <c r="K336">
        <f>Start_Daten!K336</f>
        <v>0</v>
      </c>
      <c r="L336">
        <f>Start_Daten!L336</f>
        <v>0</v>
      </c>
      <c r="M336">
        <f>Start_Daten!M336</f>
        <v>0</v>
      </c>
      <c r="N336">
        <f>Start_Daten!N336</f>
        <v>0</v>
      </c>
      <c r="O336" s="4">
        <f>Start_Daten!O336</f>
        <v>0</v>
      </c>
    </row>
    <row r="337" spans="1:15">
      <c r="A337" s="1">
        <v>335</v>
      </c>
      <c r="B337">
        <f>Start_Daten!B337</f>
        <v>0</v>
      </c>
      <c r="C337" s="2">
        <f>Start_Daten!C337</f>
        <v>0</v>
      </c>
      <c r="E337" s="3" t="str">
        <f t="shared" si="5"/>
        <v/>
      </c>
      <c r="F337" s="1">
        <f>Start_Daten!F337</f>
        <v>0</v>
      </c>
      <c r="G337" s="1">
        <f>Start_Daten!G337</f>
        <v>0</v>
      </c>
      <c r="H337">
        <f>Start_Daten!H337</f>
        <v>0</v>
      </c>
      <c r="I337">
        <f>Start_Daten!I337</f>
        <v>0</v>
      </c>
      <c r="J337">
        <f>Start_Daten!J337</f>
        <v>0</v>
      </c>
      <c r="K337">
        <f>Start_Daten!K337</f>
        <v>0</v>
      </c>
      <c r="L337">
        <f>Start_Daten!L337</f>
        <v>0</v>
      </c>
      <c r="M337">
        <f>Start_Daten!M337</f>
        <v>0</v>
      </c>
      <c r="N337">
        <f>Start_Daten!N337</f>
        <v>0</v>
      </c>
      <c r="O337" s="4">
        <f>Start_Daten!O337</f>
        <v>0</v>
      </c>
    </row>
    <row r="338" spans="1:15">
      <c r="A338" s="1">
        <v>336</v>
      </c>
      <c r="B338">
        <f>Start_Daten!B338</f>
        <v>0</v>
      </c>
      <c r="C338" s="2">
        <f>Start_Daten!C338</f>
        <v>0</v>
      </c>
      <c r="E338" s="3" t="str">
        <f t="shared" si="5"/>
        <v/>
      </c>
      <c r="F338" s="1">
        <f>Start_Daten!F338</f>
        <v>0</v>
      </c>
      <c r="G338" s="1">
        <f>Start_Daten!G338</f>
        <v>0</v>
      </c>
      <c r="H338">
        <f>Start_Daten!H338</f>
        <v>0</v>
      </c>
      <c r="I338">
        <f>Start_Daten!I338</f>
        <v>0</v>
      </c>
      <c r="J338">
        <f>Start_Daten!J338</f>
        <v>0</v>
      </c>
      <c r="K338">
        <f>Start_Daten!K338</f>
        <v>0</v>
      </c>
      <c r="L338">
        <f>Start_Daten!L338</f>
        <v>0</v>
      </c>
      <c r="M338">
        <f>Start_Daten!M338</f>
        <v>0</v>
      </c>
      <c r="N338">
        <f>Start_Daten!N338</f>
        <v>0</v>
      </c>
      <c r="O338" s="4">
        <f>Start_Daten!O338</f>
        <v>0</v>
      </c>
    </row>
    <row r="339" spans="1:15">
      <c r="A339" s="1">
        <v>337</v>
      </c>
      <c r="B339">
        <f>Start_Daten!B339</f>
        <v>0</v>
      </c>
      <c r="C339" s="2">
        <f>Start_Daten!C339</f>
        <v>0</v>
      </c>
      <c r="E339" s="3" t="str">
        <f t="shared" si="5"/>
        <v/>
      </c>
      <c r="F339" s="1">
        <f>Start_Daten!F339</f>
        <v>0</v>
      </c>
      <c r="G339" s="1">
        <f>Start_Daten!G339</f>
        <v>0</v>
      </c>
      <c r="H339">
        <f>Start_Daten!H339</f>
        <v>0</v>
      </c>
      <c r="I339">
        <f>Start_Daten!I339</f>
        <v>0</v>
      </c>
      <c r="J339">
        <f>Start_Daten!J339</f>
        <v>0</v>
      </c>
      <c r="K339">
        <f>Start_Daten!K339</f>
        <v>0</v>
      </c>
      <c r="L339">
        <f>Start_Daten!L339</f>
        <v>0</v>
      </c>
      <c r="M339">
        <f>Start_Daten!M339</f>
        <v>0</v>
      </c>
      <c r="N339">
        <f>Start_Daten!N339</f>
        <v>0</v>
      </c>
      <c r="O339" s="4">
        <f>Start_Daten!O339</f>
        <v>0</v>
      </c>
    </row>
    <row r="340" spans="1:15">
      <c r="A340" s="1">
        <v>338</v>
      </c>
      <c r="B340">
        <f>Start_Daten!B340</f>
        <v>0</v>
      </c>
      <c r="C340" s="2">
        <f>Start_Daten!C340</f>
        <v>0</v>
      </c>
      <c r="E340" s="3" t="str">
        <f t="shared" si="5"/>
        <v/>
      </c>
      <c r="F340" s="1">
        <f>Start_Daten!F340</f>
        <v>0</v>
      </c>
      <c r="G340" s="1">
        <f>Start_Daten!G340</f>
        <v>0</v>
      </c>
      <c r="H340">
        <f>Start_Daten!H340</f>
        <v>0</v>
      </c>
      <c r="I340">
        <f>Start_Daten!I340</f>
        <v>0</v>
      </c>
      <c r="J340">
        <f>Start_Daten!J340</f>
        <v>0</v>
      </c>
      <c r="K340">
        <f>Start_Daten!K340</f>
        <v>0</v>
      </c>
      <c r="L340">
        <f>Start_Daten!L340</f>
        <v>0</v>
      </c>
      <c r="M340">
        <f>Start_Daten!M340</f>
        <v>0</v>
      </c>
      <c r="N340">
        <f>Start_Daten!N340</f>
        <v>0</v>
      </c>
      <c r="O340" s="4">
        <f>Start_Daten!O340</f>
        <v>0</v>
      </c>
    </row>
    <row r="341" spans="1:15">
      <c r="A341" s="1">
        <v>339</v>
      </c>
      <c r="B341">
        <f>Start_Daten!B341</f>
        <v>0</v>
      </c>
      <c r="C341" s="2">
        <f>Start_Daten!C341</f>
        <v>0</v>
      </c>
      <c r="E341" s="3" t="str">
        <f t="shared" si="5"/>
        <v/>
      </c>
      <c r="F341" s="1">
        <f>Start_Daten!F341</f>
        <v>0</v>
      </c>
      <c r="G341" s="1">
        <f>Start_Daten!G341</f>
        <v>0</v>
      </c>
      <c r="H341">
        <f>Start_Daten!H341</f>
        <v>0</v>
      </c>
      <c r="I341">
        <f>Start_Daten!I341</f>
        <v>0</v>
      </c>
      <c r="J341">
        <f>Start_Daten!J341</f>
        <v>0</v>
      </c>
      <c r="K341">
        <f>Start_Daten!K341</f>
        <v>0</v>
      </c>
      <c r="L341">
        <f>Start_Daten!L341</f>
        <v>0</v>
      </c>
      <c r="M341">
        <f>Start_Daten!M341</f>
        <v>0</v>
      </c>
      <c r="N341">
        <f>Start_Daten!N341</f>
        <v>0</v>
      </c>
      <c r="O341" s="4">
        <f>Start_Daten!O341</f>
        <v>0</v>
      </c>
    </row>
    <row r="342" spans="1:15">
      <c r="A342" s="1">
        <v>340</v>
      </c>
      <c r="B342">
        <f>Start_Daten!B342</f>
        <v>0</v>
      </c>
      <c r="C342" s="2">
        <f>Start_Daten!C342</f>
        <v>0</v>
      </c>
      <c r="E342" s="3" t="str">
        <f t="shared" si="5"/>
        <v/>
      </c>
      <c r="F342" s="1">
        <f>Start_Daten!F342</f>
        <v>0</v>
      </c>
      <c r="G342" s="1">
        <f>Start_Daten!G342</f>
        <v>0</v>
      </c>
      <c r="H342">
        <f>Start_Daten!H342</f>
        <v>0</v>
      </c>
      <c r="I342">
        <f>Start_Daten!I342</f>
        <v>0</v>
      </c>
      <c r="J342">
        <f>Start_Daten!J342</f>
        <v>0</v>
      </c>
      <c r="K342">
        <f>Start_Daten!K342</f>
        <v>0</v>
      </c>
      <c r="L342">
        <f>Start_Daten!L342</f>
        <v>0</v>
      </c>
      <c r="M342">
        <f>Start_Daten!M342</f>
        <v>0</v>
      </c>
      <c r="N342">
        <f>Start_Daten!N342</f>
        <v>0</v>
      </c>
      <c r="O342" s="4">
        <f>Start_Daten!O342</f>
        <v>0</v>
      </c>
    </row>
    <row r="343" spans="1:15">
      <c r="A343" s="1">
        <v>341</v>
      </c>
      <c r="B343">
        <f>Start_Daten!B343</f>
        <v>0</v>
      </c>
      <c r="C343" s="2">
        <f>Start_Daten!C343</f>
        <v>0</v>
      </c>
      <c r="E343" s="3" t="str">
        <f t="shared" si="5"/>
        <v/>
      </c>
      <c r="F343" s="1">
        <f>Start_Daten!F343</f>
        <v>0</v>
      </c>
      <c r="G343" s="1">
        <f>Start_Daten!G343</f>
        <v>0</v>
      </c>
      <c r="H343">
        <f>Start_Daten!H343</f>
        <v>0</v>
      </c>
      <c r="I343">
        <f>Start_Daten!I343</f>
        <v>0</v>
      </c>
      <c r="J343">
        <f>Start_Daten!J343</f>
        <v>0</v>
      </c>
      <c r="K343">
        <f>Start_Daten!K343</f>
        <v>0</v>
      </c>
      <c r="L343">
        <f>Start_Daten!L343</f>
        <v>0</v>
      </c>
      <c r="M343">
        <f>Start_Daten!M343</f>
        <v>0</v>
      </c>
      <c r="N343">
        <f>Start_Daten!N343</f>
        <v>0</v>
      </c>
      <c r="O343" s="4">
        <f>Start_Daten!O343</f>
        <v>0</v>
      </c>
    </row>
    <row r="344" spans="1:15">
      <c r="A344" s="1">
        <v>342</v>
      </c>
      <c r="B344">
        <f>Start_Daten!B344</f>
        <v>0</v>
      </c>
      <c r="C344" s="2">
        <f>Start_Daten!C344</f>
        <v>0</v>
      </c>
      <c r="E344" s="3" t="str">
        <f t="shared" si="5"/>
        <v/>
      </c>
      <c r="F344" s="1">
        <f>Start_Daten!F344</f>
        <v>0</v>
      </c>
      <c r="G344" s="1">
        <f>Start_Daten!G344</f>
        <v>0</v>
      </c>
      <c r="H344">
        <f>Start_Daten!H344</f>
        <v>0</v>
      </c>
      <c r="I344">
        <f>Start_Daten!I344</f>
        <v>0</v>
      </c>
      <c r="J344">
        <f>Start_Daten!J344</f>
        <v>0</v>
      </c>
      <c r="K344">
        <f>Start_Daten!K344</f>
        <v>0</v>
      </c>
      <c r="L344">
        <f>Start_Daten!L344</f>
        <v>0</v>
      </c>
      <c r="M344">
        <f>Start_Daten!M344</f>
        <v>0</v>
      </c>
      <c r="N344">
        <f>Start_Daten!N344</f>
        <v>0</v>
      </c>
      <c r="O344" s="4">
        <f>Start_Daten!O344</f>
        <v>0</v>
      </c>
    </row>
    <row r="345" spans="1:15">
      <c r="A345" s="1">
        <v>343</v>
      </c>
      <c r="B345">
        <f>Start_Daten!B345</f>
        <v>0</v>
      </c>
      <c r="C345" s="2">
        <f>Start_Daten!C345</f>
        <v>0</v>
      </c>
      <c r="E345" s="3" t="str">
        <f t="shared" si="5"/>
        <v/>
      </c>
      <c r="F345" s="1">
        <f>Start_Daten!F345</f>
        <v>0</v>
      </c>
      <c r="G345" s="1">
        <f>Start_Daten!G345</f>
        <v>0</v>
      </c>
      <c r="H345">
        <f>Start_Daten!H345</f>
        <v>0</v>
      </c>
      <c r="I345">
        <f>Start_Daten!I345</f>
        <v>0</v>
      </c>
      <c r="J345">
        <f>Start_Daten!J345</f>
        <v>0</v>
      </c>
      <c r="K345">
        <f>Start_Daten!K345</f>
        <v>0</v>
      </c>
      <c r="L345">
        <f>Start_Daten!L345</f>
        <v>0</v>
      </c>
      <c r="M345">
        <f>Start_Daten!M345</f>
        <v>0</v>
      </c>
      <c r="N345">
        <f>Start_Daten!N345</f>
        <v>0</v>
      </c>
      <c r="O345" s="4">
        <f>Start_Daten!O345</f>
        <v>0</v>
      </c>
    </row>
    <row r="346" spans="1:15">
      <c r="A346" s="1">
        <v>344</v>
      </c>
      <c r="B346">
        <f>Start_Daten!B346</f>
        <v>0</v>
      </c>
      <c r="C346" s="2">
        <f>Start_Daten!C346</f>
        <v>0</v>
      </c>
      <c r="E346" s="3" t="str">
        <f t="shared" si="5"/>
        <v/>
      </c>
      <c r="F346" s="1">
        <f>Start_Daten!F346</f>
        <v>0</v>
      </c>
      <c r="G346" s="1">
        <f>Start_Daten!G346</f>
        <v>0</v>
      </c>
      <c r="H346">
        <f>Start_Daten!H346</f>
        <v>0</v>
      </c>
      <c r="I346">
        <f>Start_Daten!I346</f>
        <v>0</v>
      </c>
      <c r="J346">
        <f>Start_Daten!J346</f>
        <v>0</v>
      </c>
      <c r="K346">
        <f>Start_Daten!K346</f>
        <v>0</v>
      </c>
      <c r="L346">
        <f>Start_Daten!L346</f>
        <v>0</v>
      </c>
      <c r="M346">
        <f>Start_Daten!M346</f>
        <v>0</v>
      </c>
      <c r="N346">
        <f>Start_Daten!N346</f>
        <v>0</v>
      </c>
      <c r="O346" s="4">
        <f>Start_Daten!O346</f>
        <v>0</v>
      </c>
    </row>
    <row r="347" spans="1:15">
      <c r="A347" s="1">
        <v>345</v>
      </c>
      <c r="B347">
        <f>Start_Daten!B347</f>
        <v>0</v>
      </c>
      <c r="C347" s="2">
        <f>Start_Daten!C347</f>
        <v>0</v>
      </c>
      <c r="E347" s="3" t="str">
        <f t="shared" si="5"/>
        <v/>
      </c>
      <c r="F347" s="1">
        <f>Start_Daten!F347</f>
        <v>0</v>
      </c>
      <c r="G347" s="1">
        <f>Start_Daten!G347</f>
        <v>0</v>
      </c>
      <c r="H347">
        <f>Start_Daten!H347</f>
        <v>0</v>
      </c>
      <c r="I347">
        <f>Start_Daten!I347</f>
        <v>0</v>
      </c>
      <c r="J347">
        <f>Start_Daten!J347</f>
        <v>0</v>
      </c>
      <c r="K347">
        <f>Start_Daten!K347</f>
        <v>0</v>
      </c>
      <c r="L347">
        <f>Start_Daten!L347</f>
        <v>0</v>
      </c>
      <c r="M347">
        <f>Start_Daten!M347</f>
        <v>0</v>
      </c>
      <c r="N347">
        <f>Start_Daten!N347</f>
        <v>0</v>
      </c>
      <c r="O347" s="4">
        <f>Start_Daten!O347</f>
        <v>0</v>
      </c>
    </row>
    <row r="348" spans="1:15">
      <c r="A348" s="1">
        <v>346</v>
      </c>
      <c r="B348">
        <f>Start_Daten!B348</f>
        <v>0</v>
      </c>
      <c r="C348" s="2">
        <f>Start_Daten!C348</f>
        <v>0</v>
      </c>
      <c r="E348" s="3" t="str">
        <f t="shared" si="5"/>
        <v/>
      </c>
      <c r="F348" s="1">
        <f>Start_Daten!F348</f>
        <v>0</v>
      </c>
      <c r="G348" s="1">
        <f>Start_Daten!G348</f>
        <v>0</v>
      </c>
      <c r="H348">
        <f>Start_Daten!H348</f>
        <v>0</v>
      </c>
      <c r="I348">
        <f>Start_Daten!I348</f>
        <v>0</v>
      </c>
      <c r="J348">
        <f>Start_Daten!J348</f>
        <v>0</v>
      </c>
      <c r="K348">
        <f>Start_Daten!K348</f>
        <v>0</v>
      </c>
      <c r="L348">
        <f>Start_Daten!L348</f>
        <v>0</v>
      </c>
      <c r="M348">
        <f>Start_Daten!M348</f>
        <v>0</v>
      </c>
      <c r="N348">
        <f>Start_Daten!N348</f>
        <v>0</v>
      </c>
      <c r="O348" s="4">
        <f>Start_Daten!O348</f>
        <v>0</v>
      </c>
    </row>
    <row r="349" spans="1:15">
      <c r="A349" s="1">
        <v>347</v>
      </c>
      <c r="B349">
        <f>Start_Daten!B349</f>
        <v>0</v>
      </c>
      <c r="C349" s="2">
        <f>Start_Daten!C349</f>
        <v>0</v>
      </c>
      <c r="E349" s="3" t="str">
        <f t="shared" si="5"/>
        <v/>
      </c>
      <c r="F349" s="1">
        <f>Start_Daten!F349</f>
        <v>0</v>
      </c>
      <c r="G349" s="1">
        <f>Start_Daten!G349</f>
        <v>0</v>
      </c>
      <c r="H349">
        <f>Start_Daten!H349</f>
        <v>0</v>
      </c>
      <c r="I349">
        <f>Start_Daten!I349</f>
        <v>0</v>
      </c>
      <c r="J349">
        <f>Start_Daten!J349</f>
        <v>0</v>
      </c>
      <c r="K349">
        <f>Start_Daten!K349</f>
        <v>0</v>
      </c>
      <c r="L349">
        <f>Start_Daten!L349</f>
        <v>0</v>
      </c>
      <c r="M349">
        <f>Start_Daten!M349</f>
        <v>0</v>
      </c>
      <c r="N349">
        <f>Start_Daten!N349</f>
        <v>0</v>
      </c>
      <c r="O349" s="4">
        <f>Start_Daten!O349</f>
        <v>0</v>
      </c>
    </row>
    <row r="350" spans="1:15">
      <c r="A350" s="1">
        <v>348</v>
      </c>
      <c r="B350">
        <f>Start_Daten!B350</f>
        <v>0</v>
      </c>
      <c r="C350" s="2">
        <f>Start_Daten!C350</f>
        <v>0</v>
      </c>
      <c r="E350" s="3" t="str">
        <f t="shared" si="5"/>
        <v/>
      </c>
      <c r="F350" s="1">
        <f>Start_Daten!F350</f>
        <v>0</v>
      </c>
      <c r="G350" s="1">
        <f>Start_Daten!G350</f>
        <v>0</v>
      </c>
      <c r="H350">
        <f>Start_Daten!H350</f>
        <v>0</v>
      </c>
      <c r="I350">
        <f>Start_Daten!I350</f>
        <v>0</v>
      </c>
      <c r="J350">
        <f>Start_Daten!J350</f>
        <v>0</v>
      </c>
      <c r="K350">
        <f>Start_Daten!K350</f>
        <v>0</v>
      </c>
      <c r="L350">
        <f>Start_Daten!L350</f>
        <v>0</v>
      </c>
      <c r="M350">
        <f>Start_Daten!M350</f>
        <v>0</v>
      </c>
      <c r="N350">
        <f>Start_Daten!N350</f>
        <v>0</v>
      </c>
      <c r="O350" s="4">
        <f>Start_Daten!O350</f>
        <v>0</v>
      </c>
    </row>
    <row r="351" spans="1:15">
      <c r="A351" s="1">
        <v>349</v>
      </c>
      <c r="B351">
        <f>Start_Daten!B351</f>
        <v>0</v>
      </c>
      <c r="C351" s="2">
        <f>Start_Daten!C351</f>
        <v>0</v>
      </c>
      <c r="E351" s="3" t="str">
        <f t="shared" si="5"/>
        <v/>
      </c>
      <c r="F351" s="1">
        <f>Start_Daten!F351</f>
        <v>0</v>
      </c>
      <c r="G351" s="1">
        <f>Start_Daten!G351</f>
        <v>0</v>
      </c>
      <c r="H351">
        <f>Start_Daten!H351</f>
        <v>0</v>
      </c>
      <c r="I351">
        <f>Start_Daten!I351</f>
        <v>0</v>
      </c>
      <c r="J351">
        <f>Start_Daten!J351</f>
        <v>0</v>
      </c>
      <c r="K351">
        <f>Start_Daten!K351</f>
        <v>0</v>
      </c>
      <c r="L351">
        <f>Start_Daten!L351</f>
        <v>0</v>
      </c>
      <c r="M351">
        <f>Start_Daten!M351</f>
        <v>0</v>
      </c>
      <c r="N351">
        <f>Start_Daten!N351</f>
        <v>0</v>
      </c>
      <c r="O351" s="4">
        <f>Start_Daten!O351</f>
        <v>0</v>
      </c>
    </row>
    <row r="352" spans="1:15">
      <c r="A352" s="1">
        <v>350</v>
      </c>
      <c r="B352">
        <f>Start_Daten!B352</f>
        <v>0</v>
      </c>
      <c r="C352" s="2">
        <f>Start_Daten!C352</f>
        <v>0</v>
      </c>
      <c r="E352" s="3" t="str">
        <f t="shared" si="5"/>
        <v/>
      </c>
      <c r="F352" s="1">
        <f>Start_Daten!F352</f>
        <v>0</v>
      </c>
      <c r="G352" s="1">
        <f>Start_Daten!G352</f>
        <v>0</v>
      </c>
      <c r="H352">
        <f>Start_Daten!H352</f>
        <v>0</v>
      </c>
      <c r="I352">
        <f>Start_Daten!I352</f>
        <v>0</v>
      </c>
      <c r="J352">
        <f>Start_Daten!J352</f>
        <v>0</v>
      </c>
      <c r="K352">
        <f>Start_Daten!K352</f>
        <v>0</v>
      </c>
      <c r="L352">
        <f>Start_Daten!L352</f>
        <v>0</v>
      </c>
      <c r="M352">
        <f>Start_Daten!M352</f>
        <v>0</v>
      </c>
      <c r="N352">
        <f>Start_Daten!N352</f>
        <v>0</v>
      </c>
      <c r="O352" s="4">
        <f>Start_Daten!O352</f>
        <v>0</v>
      </c>
    </row>
    <row r="353" spans="1:15">
      <c r="A353" s="1">
        <v>351</v>
      </c>
      <c r="B353">
        <f>Start_Daten!B353</f>
        <v>0</v>
      </c>
      <c r="C353" s="2">
        <f>Start_Daten!C353</f>
        <v>0</v>
      </c>
      <c r="E353" s="3" t="str">
        <f t="shared" si="5"/>
        <v/>
      </c>
      <c r="F353" s="1">
        <f>Start_Daten!F353</f>
        <v>0</v>
      </c>
      <c r="G353" s="1">
        <f>Start_Daten!G353</f>
        <v>0</v>
      </c>
      <c r="H353">
        <f>Start_Daten!H353</f>
        <v>0</v>
      </c>
      <c r="I353">
        <f>Start_Daten!I353</f>
        <v>0</v>
      </c>
      <c r="J353">
        <f>Start_Daten!J353</f>
        <v>0</v>
      </c>
      <c r="K353">
        <f>Start_Daten!K353</f>
        <v>0</v>
      </c>
      <c r="L353">
        <f>Start_Daten!L353</f>
        <v>0</v>
      </c>
      <c r="M353">
        <f>Start_Daten!M353</f>
        <v>0</v>
      </c>
      <c r="N353">
        <f>Start_Daten!N353</f>
        <v>0</v>
      </c>
      <c r="O353" s="4">
        <f>Start_Daten!O353</f>
        <v>0</v>
      </c>
    </row>
    <row r="354" spans="1:15">
      <c r="A354" s="1">
        <v>352</v>
      </c>
      <c r="B354">
        <f>Start_Daten!B354</f>
        <v>0</v>
      </c>
      <c r="C354" s="2">
        <f>Start_Daten!C354</f>
        <v>0</v>
      </c>
      <c r="E354" s="3" t="str">
        <f t="shared" si="5"/>
        <v/>
      </c>
      <c r="F354" s="1">
        <f>Start_Daten!F354</f>
        <v>0</v>
      </c>
      <c r="G354" s="1">
        <f>Start_Daten!G354</f>
        <v>0</v>
      </c>
      <c r="H354">
        <f>Start_Daten!H354</f>
        <v>0</v>
      </c>
      <c r="I354">
        <f>Start_Daten!I354</f>
        <v>0</v>
      </c>
      <c r="J354">
        <f>Start_Daten!J354</f>
        <v>0</v>
      </c>
      <c r="K354">
        <f>Start_Daten!K354</f>
        <v>0</v>
      </c>
      <c r="L354">
        <f>Start_Daten!L354</f>
        <v>0</v>
      </c>
      <c r="M354">
        <f>Start_Daten!M354</f>
        <v>0</v>
      </c>
      <c r="N354">
        <f>Start_Daten!N354</f>
        <v>0</v>
      </c>
      <c r="O354" s="4">
        <f>Start_Daten!O354</f>
        <v>0</v>
      </c>
    </row>
    <row r="355" spans="1:15">
      <c r="A355" s="1">
        <v>353</v>
      </c>
      <c r="B355">
        <f>Start_Daten!B355</f>
        <v>0</v>
      </c>
      <c r="C355" s="2">
        <f>Start_Daten!C355</f>
        <v>0</v>
      </c>
      <c r="E355" s="3" t="str">
        <f t="shared" si="5"/>
        <v/>
      </c>
      <c r="F355" s="1">
        <f>Start_Daten!F355</f>
        <v>0</v>
      </c>
      <c r="G355" s="1">
        <f>Start_Daten!G355</f>
        <v>0</v>
      </c>
      <c r="H355">
        <f>Start_Daten!H355</f>
        <v>0</v>
      </c>
      <c r="I355">
        <f>Start_Daten!I355</f>
        <v>0</v>
      </c>
      <c r="J355">
        <f>Start_Daten!J355</f>
        <v>0</v>
      </c>
      <c r="K355">
        <f>Start_Daten!K355</f>
        <v>0</v>
      </c>
      <c r="L355">
        <f>Start_Daten!L355</f>
        <v>0</v>
      </c>
      <c r="M355">
        <f>Start_Daten!M355</f>
        <v>0</v>
      </c>
      <c r="N355">
        <f>Start_Daten!N355</f>
        <v>0</v>
      </c>
      <c r="O355" s="4">
        <f>Start_Daten!O355</f>
        <v>0</v>
      </c>
    </row>
    <row r="356" spans="1:15">
      <c r="A356" s="1">
        <v>354</v>
      </c>
      <c r="B356">
        <f>Start_Daten!B356</f>
        <v>0</v>
      </c>
      <c r="C356" s="2">
        <f>Start_Daten!C356</f>
        <v>0</v>
      </c>
      <c r="E356" s="3" t="str">
        <f t="shared" si="5"/>
        <v/>
      </c>
      <c r="F356" s="1">
        <f>Start_Daten!F356</f>
        <v>0</v>
      </c>
      <c r="G356" s="1">
        <f>Start_Daten!G356</f>
        <v>0</v>
      </c>
      <c r="H356">
        <f>Start_Daten!H356</f>
        <v>0</v>
      </c>
      <c r="I356">
        <f>Start_Daten!I356</f>
        <v>0</v>
      </c>
      <c r="J356">
        <f>Start_Daten!J356</f>
        <v>0</v>
      </c>
      <c r="K356">
        <f>Start_Daten!K356</f>
        <v>0</v>
      </c>
      <c r="L356">
        <f>Start_Daten!L356</f>
        <v>0</v>
      </c>
      <c r="M356">
        <f>Start_Daten!M356</f>
        <v>0</v>
      </c>
      <c r="N356">
        <f>Start_Daten!N356</f>
        <v>0</v>
      </c>
      <c r="O356" s="4">
        <f>Start_Daten!O356</f>
        <v>0</v>
      </c>
    </row>
    <row r="357" spans="1:15">
      <c r="A357" s="1">
        <v>355</v>
      </c>
      <c r="B357">
        <f>Start_Daten!B357</f>
        <v>0</v>
      </c>
      <c r="C357" s="2">
        <f>Start_Daten!C357</f>
        <v>0</v>
      </c>
      <c r="E357" s="3" t="str">
        <f t="shared" si="5"/>
        <v/>
      </c>
      <c r="F357" s="1">
        <f>Start_Daten!F357</f>
        <v>0</v>
      </c>
      <c r="G357" s="1">
        <f>Start_Daten!G357</f>
        <v>0</v>
      </c>
      <c r="H357">
        <f>Start_Daten!H357</f>
        <v>0</v>
      </c>
      <c r="I357">
        <f>Start_Daten!I357</f>
        <v>0</v>
      </c>
      <c r="J357">
        <f>Start_Daten!J357</f>
        <v>0</v>
      </c>
      <c r="K357">
        <f>Start_Daten!K357</f>
        <v>0</v>
      </c>
      <c r="L357">
        <f>Start_Daten!L357</f>
        <v>0</v>
      </c>
      <c r="M357">
        <f>Start_Daten!M357</f>
        <v>0</v>
      </c>
      <c r="N357">
        <f>Start_Daten!N357</f>
        <v>0</v>
      </c>
      <c r="O357" s="4">
        <f>Start_Daten!O357</f>
        <v>0</v>
      </c>
    </row>
    <row r="358" spans="1:15">
      <c r="A358" s="1">
        <v>356</v>
      </c>
      <c r="B358">
        <f>Start_Daten!B358</f>
        <v>0</v>
      </c>
      <c r="C358" s="2">
        <f>Start_Daten!C358</f>
        <v>0</v>
      </c>
      <c r="E358" s="3" t="str">
        <f t="shared" si="5"/>
        <v/>
      </c>
      <c r="F358" s="1">
        <f>Start_Daten!F358</f>
        <v>0</v>
      </c>
      <c r="G358" s="1">
        <f>Start_Daten!G358</f>
        <v>0</v>
      </c>
      <c r="H358">
        <f>Start_Daten!H358</f>
        <v>0</v>
      </c>
      <c r="I358">
        <f>Start_Daten!I358</f>
        <v>0</v>
      </c>
      <c r="J358">
        <f>Start_Daten!J358</f>
        <v>0</v>
      </c>
      <c r="K358">
        <f>Start_Daten!K358</f>
        <v>0</v>
      </c>
      <c r="L358">
        <f>Start_Daten!L358</f>
        <v>0</v>
      </c>
      <c r="M358">
        <f>Start_Daten!M358</f>
        <v>0</v>
      </c>
      <c r="N358">
        <f>Start_Daten!N358</f>
        <v>0</v>
      </c>
      <c r="O358" s="4">
        <f>Start_Daten!O358</f>
        <v>0</v>
      </c>
    </row>
    <row r="359" spans="1:15">
      <c r="A359" s="1">
        <v>357</v>
      </c>
      <c r="B359">
        <f>Start_Daten!B359</f>
        <v>0</v>
      </c>
      <c r="C359" s="2">
        <f>Start_Daten!C359</f>
        <v>0</v>
      </c>
      <c r="E359" s="3" t="str">
        <f t="shared" si="5"/>
        <v/>
      </c>
      <c r="F359" s="1">
        <f>Start_Daten!F359</f>
        <v>0</v>
      </c>
      <c r="G359" s="1">
        <f>Start_Daten!G359</f>
        <v>0</v>
      </c>
      <c r="H359">
        <f>Start_Daten!H359</f>
        <v>0</v>
      </c>
      <c r="I359">
        <f>Start_Daten!I359</f>
        <v>0</v>
      </c>
      <c r="J359">
        <f>Start_Daten!J359</f>
        <v>0</v>
      </c>
      <c r="K359">
        <f>Start_Daten!K359</f>
        <v>0</v>
      </c>
      <c r="L359">
        <f>Start_Daten!L359</f>
        <v>0</v>
      </c>
      <c r="M359">
        <f>Start_Daten!M359</f>
        <v>0</v>
      </c>
      <c r="N359">
        <f>Start_Daten!N359</f>
        <v>0</v>
      </c>
      <c r="O359" s="4">
        <f>Start_Daten!O359</f>
        <v>0</v>
      </c>
    </row>
    <row r="360" spans="1:15">
      <c r="A360" s="1">
        <v>358</v>
      </c>
      <c r="B360">
        <f>Start_Daten!B360</f>
        <v>0</v>
      </c>
      <c r="C360" s="2">
        <f>Start_Daten!C360</f>
        <v>0</v>
      </c>
      <c r="E360" s="3" t="str">
        <f t="shared" si="5"/>
        <v/>
      </c>
      <c r="F360" s="1">
        <f>Start_Daten!F360</f>
        <v>0</v>
      </c>
      <c r="G360" s="1">
        <f>Start_Daten!G360</f>
        <v>0</v>
      </c>
      <c r="H360">
        <f>Start_Daten!H360</f>
        <v>0</v>
      </c>
      <c r="I360">
        <f>Start_Daten!I360</f>
        <v>0</v>
      </c>
      <c r="J360">
        <f>Start_Daten!J360</f>
        <v>0</v>
      </c>
      <c r="K360">
        <f>Start_Daten!K360</f>
        <v>0</v>
      </c>
      <c r="L360">
        <f>Start_Daten!L360</f>
        <v>0</v>
      </c>
      <c r="M360">
        <f>Start_Daten!M360</f>
        <v>0</v>
      </c>
      <c r="N360">
        <f>Start_Daten!N360</f>
        <v>0</v>
      </c>
      <c r="O360" s="4">
        <f>Start_Daten!O360</f>
        <v>0</v>
      </c>
    </row>
    <row r="361" spans="1:15">
      <c r="A361" s="1">
        <v>359</v>
      </c>
      <c r="B361">
        <f>Start_Daten!B361</f>
        <v>0</v>
      </c>
      <c r="C361" s="2">
        <f>Start_Daten!C361</f>
        <v>0</v>
      </c>
      <c r="E361" s="3" t="str">
        <f t="shared" si="5"/>
        <v/>
      </c>
      <c r="F361" s="1">
        <f>Start_Daten!F361</f>
        <v>0</v>
      </c>
      <c r="G361" s="1">
        <f>Start_Daten!G361</f>
        <v>0</v>
      </c>
      <c r="H361">
        <f>Start_Daten!H361</f>
        <v>0</v>
      </c>
      <c r="I361">
        <f>Start_Daten!I361</f>
        <v>0</v>
      </c>
      <c r="J361">
        <f>Start_Daten!J361</f>
        <v>0</v>
      </c>
      <c r="K361">
        <f>Start_Daten!K361</f>
        <v>0</v>
      </c>
      <c r="L361">
        <f>Start_Daten!L361</f>
        <v>0</v>
      </c>
      <c r="M361">
        <f>Start_Daten!M361</f>
        <v>0</v>
      </c>
      <c r="N361">
        <f>Start_Daten!N361</f>
        <v>0</v>
      </c>
      <c r="O361" s="4">
        <f>Start_Daten!O361</f>
        <v>0</v>
      </c>
    </row>
    <row r="362" spans="1:15">
      <c r="A362" s="1">
        <v>360</v>
      </c>
      <c r="B362">
        <f>Start_Daten!B362</f>
        <v>0</v>
      </c>
      <c r="C362" s="2">
        <f>Start_Daten!C362</f>
        <v>0</v>
      </c>
      <c r="E362" s="3" t="str">
        <f t="shared" si="5"/>
        <v/>
      </c>
      <c r="F362" s="1">
        <f>Start_Daten!F362</f>
        <v>0</v>
      </c>
      <c r="G362" s="1">
        <f>Start_Daten!G362</f>
        <v>0</v>
      </c>
      <c r="H362">
        <f>Start_Daten!H362</f>
        <v>0</v>
      </c>
      <c r="I362">
        <f>Start_Daten!I362</f>
        <v>0</v>
      </c>
      <c r="J362">
        <f>Start_Daten!J362</f>
        <v>0</v>
      </c>
      <c r="K362">
        <f>Start_Daten!K362</f>
        <v>0</v>
      </c>
      <c r="L362">
        <f>Start_Daten!L362</f>
        <v>0</v>
      </c>
      <c r="M362">
        <f>Start_Daten!M362</f>
        <v>0</v>
      </c>
      <c r="N362">
        <f>Start_Daten!N362</f>
        <v>0</v>
      </c>
      <c r="O362" s="4">
        <f>Start_Daten!O362</f>
        <v>0</v>
      </c>
    </row>
    <row r="363" spans="1:15">
      <c r="A363" s="1">
        <v>361</v>
      </c>
      <c r="B363">
        <f>Start_Daten!B363</f>
        <v>0</v>
      </c>
      <c r="C363" s="2">
        <f>Start_Daten!C363</f>
        <v>0</v>
      </c>
      <c r="E363" s="3" t="str">
        <f t="shared" si="5"/>
        <v/>
      </c>
      <c r="F363" s="1">
        <f>Start_Daten!F363</f>
        <v>0</v>
      </c>
      <c r="G363" s="1">
        <f>Start_Daten!G363</f>
        <v>0</v>
      </c>
      <c r="H363">
        <f>Start_Daten!H363</f>
        <v>0</v>
      </c>
      <c r="I363">
        <f>Start_Daten!I363</f>
        <v>0</v>
      </c>
      <c r="J363">
        <f>Start_Daten!J363</f>
        <v>0</v>
      </c>
      <c r="K363">
        <f>Start_Daten!K363</f>
        <v>0</v>
      </c>
      <c r="L363">
        <f>Start_Daten!L363</f>
        <v>0</v>
      </c>
      <c r="M363">
        <f>Start_Daten!M363</f>
        <v>0</v>
      </c>
      <c r="N363">
        <f>Start_Daten!N363</f>
        <v>0</v>
      </c>
      <c r="O363" s="4">
        <f>Start_Daten!O363</f>
        <v>0</v>
      </c>
    </row>
    <row r="364" spans="1:15">
      <c r="A364" s="1">
        <v>362</v>
      </c>
      <c r="B364">
        <f>Start_Daten!B364</f>
        <v>0</v>
      </c>
      <c r="C364" s="2">
        <f>Start_Daten!C364</f>
        <v>0</v>
      </c>
      <c r="E364" s="3" t="str">
        <f t="shared" si="5"/>
        <v/>
      </c>
      <c r="F364" s="1">
        <f>Start_Daten!F364</f>
        <v>0</v>
      </c>
      <c r="G364" s="1">
        <f>Start_Daten!G364</f>
        <v>0</v>
      </c>
      <c r="H364">
        <f>Start_Daten!H364</f>
        <v>0</v>
      </c>
      <c r="I364">
        <f>Start_Daten!I364</f>
        <v>0</v>
      </c>
      <c r="J364">
        <f>Start_Daten!J364</f>
        <v>0</v>
      </c>
      <c r="K364">
        <f>Start_Daten!K364</f>
        <v>0</v>
      </c>
      <c r="L364">
        <f>Start_Daten!L364</f>
        <v>0</v>
      </c>
      <c r="M364">
        <f>Start_Daten!M364</f>
        <v>0</v>
      </c>
      <c r="N364">
        <f>Start_Daten!N364</f>
        <v>0</v>
      </c>
      <c r="O364" s="4">
        <f>Start_Daten!O364</f>
        <v>0</v>
      </c>
    </row>
    <row r="365" spans="1:15">
      <c r="A365" s="1">
        <v>363</v>
      </c>
      <c r="B365">
        <f>Start_Daten!B365</f>
        <v>0</v>
      </c>
      <c r="C365" s="2">
        <f>Start_Daten!C365</f>
        <v>0</v>
      </c>
      <c r="E365" s="3" t="str">
        <f t="shared" si="5"/>
        <v/>
      </c>
      <c r="F365" s="1">
        <f>Start_Daten!F365</f>
        <v>0</v>
      </c>
      <c r="G365" s="1">
        <f>Start_Daten!G365</f>
        <v>0</v>
      </c>
      <c r="H365">
        <f>Start_Daten!H365</f>
        <v>0</v>
      </c>
      <c r="I365">
        <f>Start_Daten!I365</f>
        <v>0</v>
      </c>
      <c r="J365">
        <f>Start_Daten!J365</f>
        <v>0</v>
      </c>
      <c r="K365">
        <f>Start_Daten!K365</f>
        <v>0</v>
      </c>
      <c r="L365">
        <f>Start_Daten!L365</f>
        <v>0</v>
      </c>
      <c r="M365">
        <f>Start_Daten!M365</f>
        <v>0</v>
      </c>
      <c r="N365">
        <f>Start_Daten!N365</f>
        <v>0</v>
      </c>
      <c r="O365" s="4">
        <f>Start_Daten!O365</f>
        <v>0</v>
      </c>
    </row>
    <row r="366" spans="1:15">
      <c r="A366" s="1">
        <v>364</v>
      </c>
      <c r="B366">
        <f>Start_Daten!B366</f>
        <v>0</v>
      </c>
      <c r="C366" s="2">
        <f>Start_Daten!C366</f>
        <v>0</v>
      </c>
      <c r="E366" s="3" t="str">
        <f t="shared" si="5"/>
        <v/>
      </c>
      <c r="F366" s="1">
        <f>Start_Daten!F366</f>
        <v>0</v>
      </c>
      <c r="G366" s="1">
        <f>Start_Daten!G366</f>
        <v>0</v>
      </c>
      <c r="H366">
        <f>Start_Daten!H366</f>
        <v>0</v>
      </c>
      <c r="I366">
        <f>Start_Daten!I366</f>
        <v>0</v>
      </c>
      <c r="J366">
        <f>Start_Daten!J366</f>
        <v>0</v>
      </c>
      <c r="K366">
        <f>Start_Daten!K366</f>
        <v>0</v>
      </c>
      <c r="L366">
        <f>Start_Daten!L366</f>
        <v>0</v>
      </c>
      <c r="M366">
        <f>Start_Daten!M366</f>
        <v>0</v>
      </c>
      <c r="N366">
        <f>Start_Daten!N366</f>
        <v>0</v>
      </c>
      <c r="O366" s="4">
        <f>Start_Daten!O366</f>
        <v>0</v>
      </c>
    </row>
    <row r="367" spans="1:15">
      <c r="A367" s="1">
        <v>365</v>
      </c>
      <c r="B367">
        <f>Start_Daten!B367</f>
        <v>0</v>
      </c>
      <c r="C367" s="2">
        <f>Start_Daten!C367</f>
        <v>0</v>
      </c>
      <c r="E367" s="3" t="str">
        <f t="shared" si="5"/>
        <v/>
      </c>
      <c r="F367" s="1">
        <f>Start_Daten!F367</f>
        <v>0</v>
      </c>
      <c r="G367" s="1">
        <f>Start_Daten!G367</f>
        <v>0</v>
      </c>
      <c r="H367">
        <f>Start_Daten!H367</f>
        <v>0</v>
      </c>
      <c r="I367">
        <f>Start_Daten!I367</f>
        <v>0</v>
      </c>
      <c r="J367">
        <f>Start_Daten!J367</f>
        <v>0</v>
      </c>
      <c r="K367">
        <f>Start_Daten!K367</f>
        <v>0</v>
      </c>
      <c r="L367">
        <f>Start_Daten!L367</f>
        <v>0</v>
      </c>
      <c r="M367">
        <f>Start_Daten!M367</f>
        <v>0</v>
      </c>
      <c r="N367">
        <f>Start_Daten!N367</f>
        <v>0</v>
      </c>
      <c r="O367" s="4">
        <f>Start_Daten!O367</f>
        <v>0</v>
      </c>
    </row>
    <row r="368" spans="1:15">
      <c r="A368" s="1">
        <v>366</v>
      </c>
      <c r="B368">
        <f>Start_Daten!B368</f>
        <v>0</v>
      </c>
      <c r="C368" s="2">
        <f>Start_Daten!C368</f>
        <v>0</v>
      </c>
      <c r="E368" s="3" t="str">
        <f t="shared" si="5"/>
        <v/>
      </c>
      <c r="F368" s="1">
        <f>Start_Daten!F368</f>
        <v>0</v>
      </c>
      <c r="G368" s="1">
        <f>Start_Daten!G368</f>
        <v>0</v>
      </c>
      <c r="H368">
        <f>Start_Daten!H368</f>
        <v>0</v>
      </c>
      <c r="I368">
        <f>Start_Daten!I368</f>
        <v>0</v>
      </c>
      <c r="J368">
        <f>Start_Daten!J368</f>
        <v>0</v>
      </c>
      <c r="K368">
        <f>Start_Daten!K368</f>
        <v>0</v>
      </c>
      <c r="L368">
        <f>Start_Daten!L368</f>
        <v>0</v>
      </c>
      <c r="M368">
        <f>Start_Daten!M368</f>
        <v>0</v>
      </c>
      <c r="N368">
        <f>Start_Daten!N368</f>
        <v>0</v>
      </c>
      <c r="O368" s="4">
        <f>Start_Daten!O368</f>
        <v>0</v>
      </c>
    </row>
    <row r="369" spans="1:15">
      <c r="A369" s="1">
        <v>367</v>
      </c>
      <c r="B369">
        <f>Start_Daten!B369</f>
        <v>0</v>
      </c>
      <c r="C369" s="2">
        <f>Start_Daten!C369</f>
        <v>0</v>
      </c>
      <c r="E369" s="3" t="str">
        <f t="shared" si="5"/>
        <v/>
      </c>
      <c r="F369" s="1">
        <f>Start_Daten!F369</f>
        <v>0</v>
      </c>
      <c r="G369" s="1">
        <f>Start_Daten!G369</f>
        <v>0</v>
      </c>
      <c r="H369">
        <f>Start_Daten!H369</f>
        <v>0</v>
      </c>
      <c r="I369">
        <f>Start_Daten!I369</f>
        <v>0</v>
      </c>
      <c r="J369">
        <f>Start_Daten!J369</f>
        <v>0</v>
      </c>
      <c r="K369">
        <f>Start_Daten!K369</f>
        <v>0</v>
      </c>
      <c r="L369">
        <f>Start_Daten!L369</f>
        <v>0</v>
      </c>
      <c r="M369">
        <f>Start_Daten!M369</f>
        <v>0</v>
      </c>
      <c r="N369">
        <f>Start_Daten!N369</f>
        <v>0</v>
      </c>
      <c r="O369" s="4">
        <f>Start_Daten!O369</f>
        <v>0</v>
      </c>
    </row>
    <row r="370" spans="1:15">
      <c r="A370" s="1">
        <v>368</v>
      </c>
      <c r="B370">
        <f>Start_Daten!B370</f>
        <v>0</v>
      </c>
      <c r="C370" s="2">
        <f>Start_Daten!C370</f>
        <v>0</v>
      </c>
      <c r="E370" s="3" t="str">
        <f t="shared" si="5"/>
        <v/>
      </c>
      <c r="F370" s="1">
        <f>Start_Daten!F370</f>
        <v>0</v>
      </c>
      <c r="G370" s="1">
        <f>Start_Daten!G370</f>
        <v>0</v>
      </c>
      <c r="H370">
        <f>Start_Daten!H370</f>
        <v>0</v>
      </c>
      <c r="I370">
        <f>Start_Daten!I370</f>
        <v>0</v>
      </c>
      <c r="J370">
        <f>Start_Daten!J370</f>
        <v>0</v>
      </c>
      <c r="K370">
        <f>Start_Daten!K370</f>
        <v>0</v>
      </c>
      <c r="L370">
        <f>Start_Daten!L370</f>
        <v>0</v>
      </c>
      <c r="M370">
        <f>Start_Daten!M370</f>
        <v>0</v>
      </c>
      <c r="N370">
        <f>Start_Daten!N370</f>
        <v>0</v>
      </c>
      <c r="O370" s="4">
        <f>Start_Daten!O370</f>
        <v>0</v>
      </c>
    </row>
    <row r="371" spans="1:15">
      <c r="A371" s="1">
        <v>369</v>
      </c>
      <c r="B371">
        <f>Start_Daten!B371</f>
        <v>0</v>
      </c>
      <c r="C371" s="2">
        <f>Start_Daten!C371</f>
        <v>0</v>
      </c>
      <c r="E371" s="3" t="str">
        <f t="shared" si="5"/>
        <v/>
      </c>
      <c r="F371" s="1">
        <f>Start_Daten!F371</f>
        <v>0</v>
      </c>
      <c r="G371" s="1">
        <f>Start_Daten!G371</f>
        <v>0</v>
      </c>
      <c r="H371">
        <f>Start_Daten!H371</f>
        <v>0</v>
      </c>
      <c r="I371">
        <f>Start_Daten!I371</f>
        <v>0</v>
      </c>
      <c r="J371">
        <f>Start_Daten!J371</f>
        <v>0</v>
      </c>
      <c r="K371">
        <f>Start_Daten!K371</f>
        <v>0</v>
      </c>
      <c r="L371">
        <f>Start_Daten!L371</f>
        <v>0</v>
      </c>
      <c r="M371">
        <f>Start_Daten!M371</f>
        <v>0</v>
      </c>
      <c r="N371">
        <f>Start_Daten!N371</f>
        <v>0</v>
      </c>
      <c r="O371" s="4">
        <f>Start_Daten!O371</f>
        <v>0</v>
      </c>
    </row>
    <row r="372" spans="1:15">
      <c r="A372" s="1">
        <v>370</v>
      </c>
      <c r="B372">
        <f>Start_Daten!B372</f>
        <v>0</v>
      </c>
      <c r="C372" s="2">
        <f>Start_Daten!C372</f>
        <v>0</v>
      </c>
      <c r="E372" s="3" t="str">
        <f t="shared" si="5"/>
        <v/>
      </c>
      <c r="F372" s="1">
        <f>Start_Daten!F372</f>
        <v>0</v>
      </c>
      <c r="G372" s="1">
        <f>Start_Daten!G372</f>
        <v>0</v>
      </c>
      <c r="H372">
        <f>Start_Daten!H372</f>
        <v>0</v>
      </c>
      <c r="I372">
        <f>Start_Daten!I372</f>
        <v>0</v>
      </c>
      <c r="J372">
        <f>Start_Daten!J372</f>
        <v>0</v>
      </c>
      <c r="K372">
        <f>Start_Daten!K372</f>
        <v>0</v>
      </c>
      <c r="L372">
        <f>Start_Daten!L372</f>
        <v>0</v>
      </c>
      <c r="M372">
        <f>Start_Daten!M372</f>
        <v>0</v>
      </c>
      <c r="N372">
        <f>Start_Daten!N372</f>
        <v>0</v>
      </c>
      <c r="O372" s="4">
        <f>Start_Daten!O372</f>
        <v>0</v>
      </c>
    </row>
    <row r="373" spans="1:15">
      <c r="A373" s="1">
        <v>371</v>
      </c>
      <c r="B373">
        <f>Start_Daten!B373</f>
        <v>0</v>
      </c>
      <c r="C373" s="2">
        <f>Start_Daten!C373</f>
        <v>0</v>
      </c>
      <c r="E373" s="3" t="str">
        <f t="shared" si="5"/>
        <v/>
      </c>
      <c r="F373" s="1">
        <f>Start_Daten!F373</f>
        <v>0</v>
      </c>
      <c r="G373" s="1">
        <f>Start_Daten!G373</f>
        <v>0</v>
      </c>
      <c r="H373">
        <f>Start_Daten!H373</f>
        <v>0</v>
      </c>
      <c r="I373">
        <f>Start_Daten!I373</f>
        <v>0</v>
      </c>
      <c r="J373">
        <f>Start_Daten!J373</f>
        <v>0</v>
      </c>
      <c r="K373">
        <f>Start_Daten!K373</f>
        <v>0</v>
      </c>
      <c r="L373">
        <f>Start_Daten!L373</f>
        <v>0</v>
      </c>
      <c r="M373">
        <f>Start_Daten!M373</f>
        <v>0</v>
      </c>
      <c r="N373">
        <f>Start_Daten!N373</f>
        <v>0</v>
      </c>
      <c r="O373" s="4">
        <f>Start_Daten!O373</f>
        <v>0</v>
      </c>
    </row>
    <row r="374" spans="1:15">
      <c r="A374" s="1">
        <v>372</v>
      </c>
      <c r="B374">
        <f>Start_Daten!B374</f>
        <v>0</v>
      </c>
      <c r="C374" s="2">
        <f>Start_Daten!C374</f>
        <v>0</v>
      </c>
      <c r="E374" s="3" t="str">
        <f t="shared" si="5"/>
        <v/>
      </c>
      <c r="F374" s="1">
        <f>Start_Daten!F374</f>
        <v>0</v>
      </c>
      <c r="G374" s="1">
        <f>Start_Daten!G374</f>
        <v>0</v>
      </c>
      <c r="H374">
        <f>Start_Daten!H374</f>
        <v>0</v>
      </c>
      <c r="I374">
        <f>Start_Daten!I374</f>
        <v>0</v>
      </c>
      <c r="J374">
        <f>Start_Daten!J374</f>
        <v>0</v>
      </c>
      <c r="K374">
        <f>Start_Daten!K374</f>
        <v>0</v>
      </c>
      <c r="L374">
        <f>Start_Daten!L374</f>
        <v>0</v>
      </c>
      <c r="M374">
        <f>Start_Daten!M374</f>
        <v>0</v>
      </c>
      <c r="N374">
        <f>Start_Daten!N374</f>
        <v>0</v>
      </c>
      <c r="O374" s="4">
        <f>Start_Daten!O374</f>
        <v>0</v>
      </c>
    </row>
    <row r="375" spans="1:15">
      <c r="A375" s="1">
        <v>373</v>
      </c>
      <c r="B375">
        <f>Start_Daten!B375</f>
        <v>0</v>
      </c>
      <c r="C375" s="2">
        <f>Start_Daten!C375</f>
        <v>0</v>
      </c>
      <c r="E375" s="3" t="str">
        <f t="shared" si="5"/>
        <v/>
      </c>
      <c r="F375" s="1">
        <f>Start_Daten!F375</f>
        <v>0</v>
      </c>
      <c r="G375" s="1">
        <f>Start_Daten!G375</f>
        <v>0</v>
      </c>
      <c r="H375">
        <f>Start_Daten!H375</f>
        <v>0</v>
      </c>
      <c r="I375">
        <f>Start_Daten!I375</f>
        <v>0</v>
      </c>
      <c r="J375">
        <f>Start_Daten!J375</f>
        <v>0</v>
      </c>
      <c r="K375">
        <f>Start_Daten!K375</f>
        <v>0</v>
      </c>
      <c r="L375">
        <f>Start_Daten!L375</f>
        <v>0</v>
      </c>
      <c r="M375">
        <f>Start_Daten!M375</f>
        <v>0</v>
      </c>
      <c r="N375">
        <f>Start_Daten!N375</f>
        <v>0</v>
      </c>
      <c r="O375" s="4">
        <f>Start_Daten!O375</f>
        <v>0</v>
      </c>
    </row>
    <row r="376" spans="1:15">
      <c r="A376" s="1">
        <v>374</v>
      </c>
      <c r="B376">
        <f>Start_Daten!B376</f>
        <v>0</v>
      </c>
      <c r="C376" s="2">
        <f>Start_Daten!C376</f>
        <v>0</v>
      </c>
      <c r="E376" s="3" t="str">
        <f t="shared" si="5"/>
        <v/>
      </c>
      <c r="F376" s="1">
        <f>Start_Daten!F376</f>
        <v>0</v>
      </c>
      <c r="G376" s="1">
        <f>Start_Daten!G376</f>
        <v>0</v>
      </c>
      <c r="H376">
        <f>Start_Daten!H376</f>
        <v>0</v>
      </c>
      <c r="I376">
        <f>Start_Daten!I376</f>
        <v>0</v>
      </c>
      <c r="J376">
        <f>Start_Daten!J376</f>
        <v>0</v>
      </c>
      <c r="K376">
        <f>Start_Daten!K376</f>
        <v>0</v>
      </c>
      <c r="L376">
        <f>Start_Daten!L376</f>
        <v>0</v>
      </c>
      <c r="M376">
        <f>Start_Daten!M376</f>
        <v>0</v>
      </c>
      <c r="N376">
        <f>Start_Daten!N376</f>
        <v>0</v>
      </c>
      <c r="O376" s="4">
        <f>Start_Daten!O376</f>
        <v>0</v>
      </c>
    </row>
    <row r="377" spans="1:15">
      <c r="A377" s="1">
        <v>375</v>
      </c>
      <c r="B377">
        <f>Start_Daten!B377</f>
        <v>0</v>
      </c>
      <c r="C377" s="2">
        <f>Start_Daten!C377</f>
        <v>0</v>
      </c>
      <c r="E377" s="3" t="str">
        <f t="shared" si="5"/>
        <v/>
      </c>
      <c r="F377" s="1">
        <f>Start_Daten!F377</f>
        <v>0</v>
      </c>
      <c r="G377" s="1">
        <f>Start_Daten!G377</f>
        <v>0</v>
      </c>
      <c r="H377">
        <f>Start_Daten!H377</f>
        <v>0</v>
      </c>
      <c r="I377">
        <f>Start_Daten!I377</f>
        <v>0</v>
      </c>
      <c r="J377">
        <f>Start_Daten!J377</f>
        <v>0</v>
      </c>
      <c r="K377">
        <f>Start_Daten!K377</f>
        <v>0</v>
      </c>
      <c r="L377">
        <f>Start_Daten!L377</f>
        <v>0</v>
      </c>
      <c r="M377">
        <f>Start_Daten!M377</f>
        <v>0</v>
      </c>
      <c r="N377">
        <f>Start_Daten!N377</f>
        <v>0</v>
      </c>
      <c r="O377" s="4">
        <f>Start_Daten!O377</f>
        <v>0</v>
      </c>
    </row>
    <row r="378" spans="1:15">
      <c r="A378" s="1">
        <v>376</v>
      </c>
      <c r="B378">
        <f>Start_Daten!B378</f>
        <v>0</v>
      </c>
      <c r="C378" s="2">
        <f>Start_Daten!C378</f>
        <v>0</v>
      </c>
      <c r="E378" s="3" t="str">
        <f t="shared" si="5"/>
        <v/>
      </c>
      <c r="F378" s="1">
        <f>Start_Daten!F378</f>
        <v>0</v>
      </c>
      <c r="G378" s="1">
        <f>Start_Daten!G378</f>
        <v>0</v>
      </c>
      <c r="H378">
        <f>Start_Daten!H378</f>
        <v>0</v>
      </c>
      <c r="I378">
        <f>Start_Daten!I378</f>
        <v>0</v>
      </c>
      <c r="J378">
        <f>Start_Daten!J378</f>
        <v>0</v>
      </c>
      <c r="K378">
        <f>Start_Daten!K378</f>
        <v>0</v>
      </c>
      <c r="L378">
        <f>Start_Daten!L378</f>
        <v>0</v>
      </c>
      <c r="M378">
        <f>Start_Daten!M378</f>
        <v>0</v>
      </c>
      <c r="N378">
        <f>Start_Daten!N378</f>
        <v>0</v>
      </c>
      <c r="O378" s="4">
        <f>Start_Daten!O378</f>
        <v>0</v>
      </c>
    </row>
    <row r="379" spans="1:15">
      <c r="A379" s="1">
        <v>377</v>
      </c>
      <c r="B379">
        <f>Start_Daten!B379</f>
        <v>0</v>
      </c>
      <c r="C379" s="2">
        <f>Start_Daten!C379</f>
        <v>0</v>
      </c>
      <c r="E379" s="3" t="str">
        <f t="shared" si="5"/>
        <v/>
      </c>
      <c r="F379" s="1">
        <f>Start_Daten!F379</f>
        <v>0</v>
      </c>
      <c r="G379" s="1">
        <f>Start_Daten!G379</f>
        <v>0</v>
      </c>
      <c r="H379">
        <f>Start_Daten!H379</f>
        <v>0</v>
      </c>
      <c r="I379">
        <f>Start_Daten!I379</f>
        <v>0</v>
      </c>
      <c r="J379">
        <f>Start_Daten!J379</f>
        <v>0</v>
      </c>
      <c r="K379">
        <f>Start_Daten!K379</f>
        <v>0</v>
      </c>
      <c r="L379">
        <f>Start_Daten!L379</f>
        <v>0</v>
      </c>
      <c r="M379">
        <f>Start_Daten!M379</f>
        <v>0</v>
      </c>
      <c r="N379">
        <f>Start_Daten!N379</f>
        <v>0</v>
      </c>
      <c r="O379" s="4">
        <f>Start_Daten!O379</f>
        <v>0</v>
      </c>
    </row>
    <row r="380" spans="1:15">
      <c r="A380" s="1">
        <v>378</v>
      </c>
      <c r="B380">
        <f>Start_Daten!B380</f>
        <v>0</v>
      </c>
      <c r="C380" s="2">
        <f>Start_Daten!C380</f>
        <v>0</v>
      </c>
      <c r="E380" s="3" t="str">
        <f t="shared" si="5"/>
        <v/>
      </c>
      <c r="F380" s="1">
        <f>Start_Daten!F380</f>
        <v>0</v>
      </c>
      <c r="G380" s="1">
        <f>Start_Daten!G380</f>
        <v>0</v>
      </c>
      <c r="H380">
        <f>Start_Daten!H380</f>
        <v>0</v>
      </c>
      <c r="I380">
        <f>Start_Daten!I380</f>
        <v>0</v>
      </c>
      <c r="J380">
        <f>Start_Daten!J380</f>
        <v>0</v>
      </c>
      <c r="K380">
        <f>Start_Daten!K380</f>
        <v>0</v>
      </c>
      <c r="L380">
        <f>Start_Daten!L380</f>
        <v>0</v>
      </c>
      <c r="M380">
        <f>Start_Daten!M380</f>
        <v>0</v>
      </c>
      <c r="N380">
        <f>Start_Daten!N380</f>
        <v>0</v>
      </c>
      <c r="O380" s="4">
        <f>Start_Daten!O380</f>
        <v>0</v>
      </c>
    </row>
    <row r="381" spans="1:15">
      <c r="A381" s="1">
        <v>379</v>
      </c>
      <c r="B381">
        <f>Start_Daten!B381</f>
        <v>0</v>
      </c>
      <c r="C381" s="2">
        <f>Start_Daten!C381</f>
        <v>0</v>
      </c>
      <c r="E381" s="3" t="str">
        <f t="shared" si="5"/>
        <v/>
      </c>
      <c r="F381" s="1">
        <f>Start_Daten!F381</f>
        <v>0</v>
      </c>
      <c r="G381" s="1">
        <f>Start_Daten!G381</f>
        <v>0</v>
      </c>
      <c r="H381">
        <f>Start_Daten!H381</f>
        <v>0</v>
      </c>
      <c r="I381">
        <f>Start_Daten!I381</f>
        <v>0</v>
      </c>
      <c r="J381">
        <f>Start_Daten!J381</f>
        <v>0</v>
      </c>
      <c r="K381">
        <f>Start_Daten!K381</f>
        <v>0</v>
      </c>
      <c r="L381">
        <f>Start_Daten!L381</f>
        <v>0</v>
      </c>
      <c r="M381">
        <f>Start_Daten!M381</f>
        <v>0</v>
      </c>
      <c r="N381">
        <f>Start_Daten!N381</f>
        <v>0</v>
      </c>
      <c r="O381" s="4">
        <f>Start_Daten!O381</f>
        <v>0</v>
      </c>
    </row>
    <row r="382" spans="1:15">
      <c r="A382" s="1">
        <v>380</v>
      </c>
      <c r="B382">
        <f>Start_Daten!B382</f>
        <v>0</v>
      </c>
      <c r="C382" s="2">
        <f>Start_Daten!C382</f>
        <v>0</v>
      </c>
      <c r="E382" s="3" t="str">
        <f t="shared" si="5"/>
        <v/>
      </c>
      <c r="F382" s="1">
        <f>Start_Daten!F382</f>
        <v>0</v>
      </c>
      <c r="G382" s="1">
        <f>Start_Daten!G382</f>
        <v>0</v>
      </c>
      <c r="H382">
        <f>Start_Daten!H382</f>
        <v>0</v>
      </c>
      <c r="I382">
        <f>Start_Daten!I382</f>
        <v>0</v>
      </c>
      <c r="J382">
        <f>Start_Daten!J382</f>
        <v>0</v>
      </c>
      <c r="K382">
        <f>Start_Daten!K382</f>
        <v>0</v>
      </c>
      <c r="L382">
        <f>Start_Daten!L382</f>
        <v>0</v>
      </c>
      <c r="M382">
        <f>Start_Daten!M382</f>
        <v>0</v>
      </c>
      <c r="N382">
        <f>Start_Daten!N382</f>
        <v>0</v>
      </c>
      <c r="O382" s="4">
        <f>Start_Daten!O382</f>
        <v>0</v>
      </c>
    </row>
    <row r="383" spans="1:15">
      <c r="A383" s="1">
        <v>381</v>
      </c>
      <c r="B383">
        <f>Start_Daten!B383</f>
        <v>0</v>
      </c>
      <c r="C383" s="2">
        <f>Start_Daten!C383</f>
        <v>0</v>
      </c>
      <c r="E383" s="3" t="str">
        <f t="shared" si="5"/>
        <v/>
      </c>
      <c r="F383" s="1">
        <f>Start_Daten!F383</f>
        <v>0</v>
      </c>
      <c r="G383" s="1">
        <f>Start_Daten!G383</f>
        <v>0</v>
      </c>
      <c r="H383">
        <f>Start_Daten!H383</f>
        <v>0</v>
      </c>
      <c r="I383">
        <f>Start_Daten!I383</f>
        <v>0</v>
      </c>
      <c r="J383">
        <f>Start_Daten!J383</f>
        <v>0</v>
      </c>
      <c r="K383">
        <f>Start_Daten!K383</f>
        <v>0</v>
      </c>
      <c r="L383">
        <f>Start_Daten!L383</f>
        <v>0</v>
      </c>
      <c r="M383">
        <f>Start_Daten!M383</f>
        <v>0</v>
      </c>
      <c r="N383">
        <f>Start_Daten!N383</f>
        <v>0</v>
      </c>
      <c r="O383" s="4">
        <f>Start_Daten!O383</f>
        <v>0</v>
      </c>
    </row>
    <row r="384" spans="1:15">
      <c r="A384" s="1">
        <v>382</v>
      </c>
      <c r="B384">
        <f>Start_Daten!B384</f>
        <v>0</v>
      </c>
      <c r="C384" s="2">
        <f>Start_Daten!C384</f>
        <v>0</v>
      </c>
      <c r="E384" s="3" t="str">
        <f t="shared" si="5"/>
        <v/>
      </c>
      <c r="F384" s="1">
        <f>Start_Daten!F384</f>
        <v>0</v>
      </c>
      <c r="G384" s="1">
        <f>Start_Daten!G384</f>
        <v>0</v>
      </c>
      <c r="H384">
        <f>Start_Daten!H384</f>
        <v>0</v>
      </c>
      <c r="I384">
        <f>Start_Daten!I384</f>
        <v>0</v>
      </c>
      <c r="J384">
        <f>Start_Daten!J384</f>
        <v>0</v>
      </c>
      <c r="K384">
        <f>Start_Daten!K384</f>
        <v>0</v>
      </c>
      <c r="L384">
        <f>Start_Daten!L384</f>
        <v>0</v>
      </c>
      <c r="M384">
        <f>Start_Daten!M384</f>
        <v>0</v>
      </c>
      <c r="N384">
        <f>Start_Daten!N384</f>
        <v>0</v>
      </c>
      <c r="O384" s="4">
        <f>Start_Daten!O384</f>
        <v>0</v>
      </c>
    </row>
    <row r="385" spans="1:15">
      <c r="A385" s="1">
        <v>383</v>
      </c>
      <c r="B385">
        <f>Start_Daten!B385</f>
        <v>0</v>
      </c>
      <c r="C385" s="2">
        <f>Start_Daten!C385</f>
        <v>0</v>
      </c>
      <c r="E385" s="3" t="str">
        <f t="shared" si="5"/>
        <v/>
      </c>
      <c r="F385" s="1">
        <f>Start_Daten!F385</f>
        <v>0</v>
      </c>
      <c r="G385" s="1">
        <f>Start_Daten!G385</f>
        <v>0</v>
      </c>
      <c r="H385">
        <f>Start_Daten!H385</f>
        <v>0</v>
      </c>
      <c r="I385">
        <f>Start_Daten!I385</f>
        <v>0</v>
      </c>
      <c r="J385">
        <f>Start_Daten!J385</f>
        <v>0</v>
      </c>
      <c r="K385">
        <f>Start_Daten!K385</f>
        <v>0</v>
      </c>
      <c r="L385">
        <f>Start_Daten!L385</f>
        <v>0</v>
      </c>
      <c r="M385">
        <f>Start_Daten!M385</f>
        <v>0</v>
      </c>
      <c r="N385">
        <f>Start_Daten!N385</f>
        <v>0</v>
      </c>
      <c r="O385" s="4">
        <f>Start_Daten!O385</f>
        <v>0</v>
      </c>
    </row>
    <row r="386" spans="1:15">
      <c r="A386" s="1">
        <v>384</v>
      </c>
      <c r="B386">
        <f>Start_Daten!B386</f>
        <v>0</v>
      </c>
      <c r="C386" s="2">
        <f>Start_Daten!C386</f>
        <v>0</v>
      </c>
      <c r="E386" s="3" t="str">
        <f t="shared" si="5"/>
        <v/>
      </c>
      <c r="F386" s="1">
        <f>Start_Daten!F386</f>
        <v>0</v>
      </c>
      <c r="G386" s="1">
        <f>Start_Daten!G386</f>
        <v>0</v>
      </c>
      <c r="H386">
        <f>Start_Daten!H386</f>
        <v>0</v>
      </c>
      <c r="I386">
        <f>Start_Daten!I386</f>
        <v>0</v>
      </c>
      <c r="J386">
        <f>Start_Daten!J386</f>
        <v>0</v>
      </c>
      <c r="K386">
        <f>Start_Daten!K386</f>
        <v>0</v>
      </c>
      <c r="L386">
        <f>Start_Daten!L386</f>
        <v>0</v>
      </c>
      <c r="M386">
        <f>Start_Daten!M386</f>
        <v>0</v>
      </c>
      <c r="N386">
        <f>Start_Daten!N386</f>
        <v>0</v>
      </c>
      <c r="O386" s="4">
        <f>Start_Daten!O386</f>
        <v>0</v>
      </c>
    </row>
    <row r="387" spans="1:15">
      <c r="A387" s="1">
        <v>385</v>
      </c>
      <c r="B387">
        <f>Start_Daten!B387</f>
        <v>0</v>
      </c>
      <c r="C387" s="2">
        <f>Start_Daten!C387</f>
        <v>0</v>
      </c>
      <c r="E387" s="3" t="str">
        <f t="shared" si="5"/>
        <v/>
      </c>
      <c r="F387" s="1">
        <f>Start_Daten!F387</f>
        <v>0</v>
      </c>
      <c r="G387" s="1">
        <f>Start_Daten!G387</f>
        <v>0</v>
      </c>
      <c r="H387">
        <f>Start_Daten!H387</f>
        <v>0</v>
      </c>
      <c r="I387">
        <f>Start_Daten!I387</f>
        <v>0</v>
      </c>
      <c r="J387">
        <f>Start_Daten!J387</f>
        <v>0</v>
      </c>
      <c r="K387">
        <f>Start_Daten!K387</f>
        <v>0</v>
      </c>
      <c r="L387">
        <f>Start_Daten!L387</f>
        <v>0</v>
      </c>
      <c r="M387">
        <f>Start_Daten!M387</f>
        <v>0</v>
      </c>
      <c r="N387">
        <f>Start_Daten!N387</f>
        <v>0</v>
      </c>
      <c r="O387" s="4">
        <f>Start_Daten!O387</f>
        <v>0</v>
      </c>
    </row>
    <row r="388" spans="1:15">
      <c r="A388" s="1">
        <v>386</v>
      </c>
      <c r="B388">
        <f>Start_Daten!B388</f>
        <v>0</v>
      </c>
      <c r="C388" s="2">
        <f>Start_Daten!C388</f>
        <v>0</v>
      </c>
      <c r="E388" s="3" t="str">
        <f t="shared" ref="E388:E451" si="6">IF(C388&gt;0,D388/C388,"")</f>
        <v/>
      </c>
      <c r="F388" s="1">
        <f>Start_Daten!F388</f>
        <v>0</v>
      </c>
      <c r="G388" s="1">
        <f>Start_Daten!G388</f>
        <v>0</v>
      </c>
      <c r="H388">
        <f>Start_Daten!H388</f>
        <v>0</v>
      </c>
      <c r="I388">
        <f>Start_Daten!I388</f>
        <v>0</v>
      </c>
      <c r="J388">
        <f>Start_Daten!J388</f>
        <v>0</v>
      </c>
      <c r="K388">
        <f>Start_Daten!K388</f>
        <v>0</v>
      </c>
      <c r="L388">
        <f>Start_Daten!L388</f>
        <v>0</v>
      </c>
      <c r="M388">
        <f>Start_Daten!M388</f>
        <v>0</v>
      </c>
      <c r="N388">
        <f>Start_Daten!N388</f>
        <v>0</v>
      </c>
      <c r="O388" s="4">
        <f>Start_Daten!O388</f>
        <v>0</v>
      </c>
    </row>
    <row r="389" spans="1:15">
      <c r="A389" s="1">
        <v>387</v>
      </c>
      <c r="B389">
        <f>Start_Daten!B389</f>
        <v>0</v>
      </c>
      <c r="C389" s="2">
        <f>Start_Daten!C389</f>
        <v>0</v>
      </c>
      <c r="E389" s="3" t="str">
        <f t="shared" si="6"/>
        <v/>
      </c>
      <c r="F389" s="1">
        <f>Start_Daten!F389</f>
        <v>0</v>
      </c>
      <c r="G389" s="1">
        <f>Start_Daten!G389</f>
        <v>0</v>
      </c>
      <c r="H389">
        <f>Start_Daten!H389</f>
        <v>0</v>
      </c>
      <c r="I389">
        <f>Start_Daten!I389</f>
        <v>0</v>
      </c>
      <c r="J389">
        <f>Start_Daten!J389</f>
        <v>0</v>
      </c>
      <c r="K389">
        <f>Start_Daten!K389</f>
        <v>0</v>
      </c>
      <c r="L389">
        <f>Start_Daten!L389</f>
        <v>0</v>
      </c>
      <c r="M389">
        <f>Start_Daten!M389</f>
        <v>0</v>
      </c>
      <c r="N389">
        <f>Start_Daten!N389</f>
        <v>0</v>
      </c>
      <c r="O389" s="4">
        <f>Start_Daten!O389</f>
        <v>0</v>
      </c>
    </row>
    <row r="390" spans="1:15">
      <c r="A390" s="1">
        <v>388</v>
      </c>
      <c r="B390">
        <f>Start_Daten!B390</f>
        <v>0</v>
      </c>
      <c r="C390" s="2">
        <f>Start_Daten!C390</f>
        <v>0</v>
      </c>
      <c r="E390" s="3" t="str">
        <f t="shared" si="6"/>
        <v/>
      </c>
      <c r="F390" s="1">
        <f>Start_Daten!F390</f>
        <v>0</v>
      </c>
      <c r="G390" s="1">
        <f>Start_Daten!G390</f>
        <v>0</v>
      </c>
      <c r="H390">
        <f>Start_Daten!H390</f>
        <v>0</v>
      </c>
      <c r="I390">
        <f>Start_Daten!I390</f>
        <v>0</v>
      </c>
      <c r="J390">
        <f>Start_Daten!J390</f>
        <v>0</v>
      </c>
      <c r="K390">
        <f>Start_Daten!K390</f>
        <v>0</v>
      </c>
      <c r="L390">
        <f>Start_Daten!L390</f>
        <v>0</v>
      </c>
      <c r="M390">
        <f>Start_Daten!M390</f>
        <v>0</v>
      </c>
      <c r="N390">
        <f>Start_Daten!N390</f>
        <v>0</v>
      </c>
      <c r="O390" s="4">
        <f>Start_Daten!O390</f>
        <v>0</v>
      </c>
    </row>
    <row r="391" spans="1:15">
      <c r="A391" s="1">
        <v>389</v>
      </c>
      <c r="B391">
        <f>Start_Daten!B391</f>
        <v>0</v>
      </c>
      <c r="C391" s="2">
        <f>Start_Daten!C391</f>
        <v>0</v>
      </c>
      <c r="E391" s="3" t="str">
        <f t="shared" si="6"/>
        <v/>
      </c>
      <c r="F391" s="1">
        <f>Start_Daten!F391</f>
        <v>0</v>
      </c>
      <c r="G391" s="1">
        <f>Start_Daten!G391</f>
        <v>0</v>
      </c>
      <c r="H391">
        <f>Start_Daten!H391</f>
        <v>0</v>
      </c>
      <c r="I391">
        <f>Start_Daten!I391</f>
        <v>0</v>
      </c>
      <c r="J391">
        <f>Start_Daten!J391</f>
        <v>0</v>
      </c>
      <c r="K391">
        <f>Start_Daten!K391</f>
        <v>0</v>
      </c>
      <c r="L391">
        <f>Start_Daten!L391</f>
        <v>0</v>
      </c>
      <c r="M391">
        <f>Start_Daten!M391</f>
        <v>0</v>
      </c>
      <c r="N391">
        <f>Start_Daten!N391</f>
        <v>0</v>
      </c>
      <c r="O391" s="4">
        <f>Start_Daten!O391</f>
        <v>0</v>
      </c>
    </row>
    <row r="392" spans="1:15">
      <c r="A392" s="1">
        <v>390</v>
      </c>
      <c r="B392">
        <f>Start_Daten!B392</f>
        <v>0</v>
      </c>
      <c r="C392" s="2">
        <f>Start_Daten!C392</f>
        <v>0</v>
      </c>
      <c r="E392" s="3" t="str">
        <f t="shared" si="6"/>
        <v/>
      </c>
      <c r="F392" s="1">
        <f>Start_Daten!F392</f>
        <v>0</v>
      </c>
      <c r="G392" s="1">
        <f>Start_Daten!G392</f>
        <v>0</v>
      </c>
      <c r="H392">
        <f>Start_Daten!H392</f>
        <v>0</v>
      </c>
      <c r="I392">
        <f>Start_Daten!I392</f>
        <v>0</v>
      </c>
      <c r="J392">
        <f>Start_Daten!J392</f>
        <v>0</v>
      </c>
      <c r="K392">
        <f>Start_Daten!K392</f>
        <v>0</v>
      </c>
      <c r="L392">
        <f>Start_Daten!L392</f>
        <v>0</v>
      </c>
      <c r="M392">
        <f>Start_Daten!M392</f>
        <v>0</v>
      </c>
      <c r="N392">
        <f>Start_Daten!N392</f>
        <v>0</v>
      </c>
      <c r="O392" s="4">
        <f>Start_Daten!O392</f>
        <v>0</v>
      </c>
    </row>
    <row r="393" spans="1:15">
      <c r="A393" s="1">
        <v>391</v>
      </c>
      <c r="B393">
        <f>Start_Daten!B393</f>
        <v>0</v>
      </c>
      <c r="C393" s="2">
        <f>Start_Daten!C393</f>
        <v>0</v>
      </c>
      <c r="E393" s="3" t="str">
        <f t="shared" si="6"/>
        <v/>
      </c>
      <c r="F393" s="1">
        <f>Start_Daten!F393</f>
        <v>0</v>
      </c>
      <c r="G393" s="1">
        <f>Start_Daten!G393</f>
        <v>0</v>
      </c>
      <c r="H393">
        <f>Start_Daten!H393</f>
        <v>0</v>
      </c>
      <c r="I393">
        <f>Start_Daten!I393</f>
        <v>0</v>
      </c>
      <c r="J393">
        <f>Start_Daten!J393</f>
        <v>0</v>
      </c>
      <c r="K393">
        <f>Start_Daten!K393</f>
        <v>0</v>
      </c>
      <c r="L393">
        <f>Start_Daten!L393</f>
        <v>0</v>
      </c>
      <c r="M393">
        <f>Start_Daten!M393</f>
        <v>0</v>
      </c>
      <c r="N393">
        <f>Start_Daten!N393</f>
        <v>0</v>
      </c>
      <c r="O393" s="4">
        <f>Start_Daten!O393</f>
        <v>0</v>
      </c>
    </row>
    <row r="394" spans="1:15">
      <c r="A394" s="1">
        <v>392</v>
      </c>
      <c r="B394">
        <f>Start_Daten!B394</f>
        <v>0</v>
      </c>
      <c r="C394" s="2">
        <f>Start_Daten!C394</f>
        <v>0</v>
      </c>
      <c r="E394" s="3" t="str">
        <f t="shared" si="6"/>
        <v/>
      </c>
      <c r="F394" s="1">
        <f>Start_Daten!F394</f>
        <v>0</v>
      </c>
      <c r="G394" s="1">
        <f>Start_Daten!G394</f>
        <v>0</v>
      </c>
      <c r="H394">
        <f>Start_Daten!H394</f>
        <v>0</v>
      </c>
      <c r="I394">
        <f>Start_Daten!I394</f>
        <v>0</v>
      </c>
      <c r="J394">
        <f>Start_Daten!J394</f>
        <v>0</v>
      </c>
      <c r="K394">
        <f>Start_Daten!K394</f>
        <v>0</v>
      </c>
      <c r="L394">
        <f>Start_Daten!L394</f>
        <v>0</v>
      </c>
      <c r="M394">
        <f>Start_Daten!M394</f>
        <v>0</v>
      </c>
      <c r="N394">
        <f>Start_Daten!N394</f>
        <v>0</v>
      </c>
      <c r="O394" s="4">
        <f>Start_Daten!O394</f>
        <v>0</v>
      </c>
    </row>
    <row r="395" spans="1:15">
      <c r="A395" s="1">
        <v>393</v>
      </c>
      <c r="B395">
        <f>Start_Daten!B395</f>
        <v>0</v>
      </c>
      <c r="C395" s="2">
        <f>Start_Daten!C395</f>
        <v>0</v>
      </c>
      <c r="E395" s="3" t="str">
        <f t="shared" si="6"/>
        <v/>
      </c>
      <c r="F395" s="1">
        <f>Start_Daten!F395</f>
        <v>0</v>
      </c>
      <c r="G395" s="1">
        <f>Start_Daten!G395</f>
        <v>0</v>
      </c>
      <c r="H395">
        <f>Start_Daten!H395</f>
        <v>0</v>
      </c>
      <c r="I395">
        <f>Start_Daten!I395</f>
        <v>0</v>
      </c>
      <c r="J395">
        <f>Start_Daten!J395</f>
        <v>0</v>
      </c>
      <c r="K395">
        <f>Start_Daten!K395</f>
        <v>0</v>
      </c>
      <c r="L395">
        <f>Start_Daten!L395</f>
        <v>0</v>
      </c>
      <c r="M395">
        <f>Start_Daten!M395</f>
        <v>0</v>
      </c>
      <c r="N395">
        <f>Start_Daten!N395</f>
        <v>0</v>
      </c>
      <c r="O395" s="4">
        <f>Start_Daten!O395</f>
        <v>0</v>
      </c>
    </row>
    <row r="396" spans="1:15">
      <c r="A396" s="1">
        <v>394</v>
      </c>
      <c r="B396">
        <f>Start_Daten!B396</f>
        <v>0</v>
      </c>
      <c r="C396" s="2">
        <f>Start_Daten!C396</f>
        <v>0</v>
      </c>
      <c r="E396" s="3" t="str">
        <f t="shared" si="6"/>
        <v/>
      </c>
      <c r="F396" s="1">
        <f>Start_Daten!F396</f>
        <v>0</v>
      </c>
      <c r="G396" s="1">
        <f>Start_Daten!G396</f>
        <v>0</v>
      </c>
      <c r="H396">
        <f>Start_Daten!H396</f>
        <v>0</v>
      </c>
      <c r="I396">
        <f>Start_Daten!I396</f>
        <v>0</v>
      </c>
      <c r="J396">
        <f>Start_Daten!J396</f>
        <v>0</v>
      </c>
      <c r="K396">
        <f>Start_Daten!K396</f>
        <v>0</v>
      </c>
      <c r="L396">
        <f>Start_Daten!L396</f>
        <v>0</v>
      </c>
      <c r="M396">
        <f>Start_Daten!M396</f>
        <v>0</v>
      </c>
      <c r="N396">
        <f>Start_Daten!N396</f>
        <v>0</v>
      </c>
      <c r="O396" s="4">
        <f>Start_Daten!O396</f>
        <v>0</v>
      </c>
    </row>
    <row r="397" spans="1:15">
      <c r="A397" s="1">
        <v>395</v>
      </c>
      <c r="B397">
        <f>Start_Daten!B397</f>
        <v>0</v>
      </c>
      <c r="C397" s="2">
        <f>Start_Daten!C397</f>
        <v>0</v>
      </c>
      <c r="E397" s="3" t="str">
        <f t="shared" si="6"/>
        <v/>
      </c>
      <c r="F397" s="1">
        <f>Start_Daten!F397</f>
        <v>0</v>
      </c>
      <c r="G397" s="1">
        <f>Start_Daten!G397</f>
        <v>0</v>
      </c>
      <c r="H397">
        <f>Start_Daten!H397</f>
        <v>0</v>
      </c>
      <c r="I397">
        <f>Start_Daten!I397</f>
        <v>0</v>
      </c>
      <c r="J397">
        <f>Start_Daten!J397</f>
        <v>0</v>
      </c>
      <c r="K397">
        <f>Start_Daten!K397</f>
        <v>0</v>
      </c>
      <c r="L397">
        <f>Start_Daten!L397</f>
        <v>0</v>
      </c>
      <c r="M397">
        <f>Start_Daten!M397</f>
        <v>0</v>
      </c>
      <c r="N397">
        <f>Start_Daten!N397</f>
        <v>0</v>
      </c>
      <c r="O397" s="4">
        <f>Start_Daten!O397</f>
        <v>0</v>
      </c>
    </row>
    <row r="398" spans="1:15">
      <c r="A398" s="1">
        <v>396</v>
      </c>
      <c r="B398">
        <f>Start_Daten!B398</f>
        <v>0</v>
      </c>
      <c r="C398" s="2">
        <f>Start_Daten!C398</f>
        <v>0</v>
      </c>
      <c r="E398" s="3" t="str">
        <f t="shared" si="6"/>
        <v/>
      </c>
      <c r="F398" s="1">
        <f>Start_Daten!F398</f>
        <v>0</v>
      </c>
      <c r="G398" s="1">
        <f>Start_Daten!G398</f>
        <v>0</v>
      </c>
      <c r="H398">
        <f>Start_Daten!H398</f>
        <v>0</v>
      </c>
      <c r="I398">
        <f>Start_Daten!I398</f>
        <v>0</v>
      </c>
      <c r="J398">
        <f>Start_Daten!J398</f>
        <v>0</v>
      </c>
      <c r="K398">
        <f>Start_Daten!K398</f>
        <v>0</v>
      </c>
      <c r="L398">
        <f>Start_Daten!L398</f>
        <v>0</v>
      </c>
      <c r="M398">
        <f>Start_Daten!M398</f>
        <v>0</v>
      </c>
      <c r="N398">
        <f>Start_Daten!N398</f>
        <v>0</v>
      </c>
      <c r="O398" s="4">
        <f>Start_Daten!O398</f>
        <v>0</v>
      </c>
    </row>
    <row r="399" spans="1:15">
      <c r="A399" s="1">
        <v>397</v>
      </c>
      <c r="B399">
        <f>Start_Daten!B399</f>
        <v>0</v>
      </c>
      <c r="C399" s="2">
        <f>Start_Daten!C399</f>
        <v>0</v>
      </c>
      <c r="E399" s="3" t="str">
        <f t="shared" si="6"/>
        <v/>
      </c>
      <c r="F399" s="1">
        <f>Start_Daten!F399</f>
        <v>0</v>
      </c>
      <c r="G399" s="1">
        <f>Start_Daten!G399</f>
        <v>0</v>
      </c>
      <c r="H399">
        <f>Start_Daten!H399</f>
        <v>0</v>
      </c>
      <c r="I399">
        <f>Start_Daten!I399</f>
        <v>0</v>
      </c>
      <c r="J399">
        <f>Start_Daten!J399</f>
        <v>0</v>
      </c>
      <c r="K399">
        <f>Start_Daten!K399</f>
        <v>0</v>
      </c>
      <c r="L399">
        <f>Start_Daten!L399</f>
        <v>0</v>
      </c>
      <c r="M399">
        <f>Start_Daten!M399</f>
        <v>0</v>
      </c>
      <c r="N399">
        <f>Start_Daten!N399</f>
        <v>0</v>
      </c>
      <c r="O399" s="4">
        <f>Start_Daten!O399</f>
        <v>0</v>
      </c>
    </row>
    <row r="400" spans="1:15">
      <c r="A400" s="1">
        <v>398</v>
      </c>
      <c r="B400">
        <f>Start_Daten!B400</f>
        <v>0</v>
      </c>
      <c r="C400" s="2">
        <f>Start_Daten!C400</f>
        <v>0</v>
      </c>
      <c r="E400" s="3" t="str">
        <f t="shared" si="6"/>
        <v/>
      </c>
      <c r="F400" s="1">
        <f>Start_Daten!F400</f>
        <v>0</v>
      </c>
      <c r="G400" s="1">
        <f>Start_Daten!G400</f>
        <v>0</v>
      </c>
      <c r="H400">
        <f>Start_Daten!H400</f>
        <v>0</v>
      </c>
      <c r="I400">
        <f>Start_Daten!I400</f>
        <v>0</v>
      </c>
      <c r="J400">
        <f>Start_Daten!J400</f>
        <v>0</v>
      </c>
      <c r="K400">
        <f>Start_Daten!K400</f>
        <v>0</v>
      </c>
      <c r="L400">
        <f>Start_Daten!L400</f>
        <v>0</v>
      </c>
      <c r="M400">
        <f>Start_Daten!M400</f>
        <v>0</v>
      </c>
      <c r="N400">
        <f>Start_Daten!N400</f>
        <v>0</v>
      </c>
      <c r="O400" s="4">
        <f>Start_Daten!O400</f>
        <v>0</v>
      </c>
    </row>
    <row r="401" spans="1:15">
      <c r="A401" s="1">
        <v>399</v>
      </c>
      <c r="B401">
        <f>Start_Daten!B401</f>
        <v>0</v>
      </c>
      <c r="C401" s="2">
        <f>Start_Daten!C401</f>
        <v>0</v>
      </c>
      <c r="E401" s="3" t="str">
        <f t="shared" si="6"/>
        <v/>
      </c>
      <c r="F401" s="1">
        <f>Start_Daten!F401</f>
        <v>0</v>
      </c>
      <c r="G401" s="1">
        <f>Start_Daten!G401</f>
        <v>0</v>
      </c>
      <c r="H401">
        <f>Start_Daten!H401</f>
        <v>0</v>
      </c>
      <c r="I401">
        <f>Start_Daten!I401</f>
        <v>0</v>
      </c>
      <c r="J401">
        <f>Start_Daten!J401</f>
        <v>0</v>
      </c>
      <c r="K401">
        <f>Start_Daten!K401</f>
        <v>0</v>
      </c>
      <c r="L401">
        <f>Start_Daten!L401</f>
        <v>0</v>
      </c>
      <c r="M401">
        <f>Start_Daten!M401</f>
        <v>0</v>
      </c>
      <c r="N401">
        <f>Start_Daten!N401</f>
        <v>0</v>
      </c>
      <c r="O401" s="4">
        <f>Start_Daten!O401</f>
        <v>0</v>
      </c>
    </row>
    <row r="402" spans="1:15">
      <c r="A402" s="1">
        <v>400</v>
      </c>
      <c r="B402">
        <f>Start_Daten!B402</f>
        <v>0</v>
      </c>
      <c r="C402" s="2">
        <f>Start_Daten!C402</f>
        <v>0</v>
      </c>
      <c r="E402" s="3" t="str">
        <f t="shared" si="6"/>
        <v/>
      </c>
      <c r="F402" s="1">
        <f>Start_Daten!F402</f>
        <v>0</v>
      </c>
      <c r="G402" s="1">
        <f>Start_Daten!G402</f>
        <v>0</v>
      </c>
      <c r="H402">
        <f>Start_Daten!H402</f>
        <v>0</v>
      </c>
      <c r="I402">
        <f>Start_Daten!I402</f>
        <v>0</v>
      </c>
      <c r="J402">
        <f>Start_Daten!J402</f>
        <v>0</v>
      </c>
      <c r="K402">
        <f>Start_Daten!K402</f>
        <v>0</v>
      </c>
      <c r="L402">
        <f>Start_Daten!L402</f>
        <v>0</v>
      </c>
      <c r="M402">
        <f>Start_Daten!M402</f>
        <v>0</v>
      </c>
      <c r="N402">
        <f>Start_Daten!N402</f>
        <v>0</v>
      </c>
      <c r="O402" s="4">
        <f>Start_Daten!O402</f>
        <v>0</v>
      </c>
    </row>
    <row r="403" spans="1:15">
      <c r="A403" s="1">
        <v>401</v>
      </c>
      <c r="B403">
        <f>Start_Daten!B403</f>
        <v>0</v>
      </c>
      <c r="C403" s="2">
        <f>Start_Daten!C403</f>
        <v>0</v>
      </c>
      <c r="E403" s="3" t="str">
        <f t="shared" si="6"/>
        <v/>
      </c>
      <c r="F403" s="1">
        <f>Start_Daten!F403</f>
        <v>0</v>
      </c>
      <c r="G403" s="1">
        <f>Start_Daten!G403</f>
        <v>0</v>
      </c>
      <c r="H403">
        <f>Start_Daten!H403</f>
        <v>0</v>
      </c>
      <c r="I403">
        <f>Start_Daten!I403</f>
        <v>0</v>
      </c>
      <c r="J403">
        <f>Start_Daten!J403</f>
        <v>0</v>
      </c>
      <c r="K403">
        <f>Start_Daten!K403</f>
        <v>0</v>
      </c>
      <c r="L403">
        <f>Start_Daten!L403</f>
        <v>0</v>
      </c>
      <c r="M403">
        <f>Start_Daten!M403</f>
        <v>0</v>
      </c>
      <c r="N403">
        <f>Start_Daten!N403</f>
        <v>0</v>
      </c>
      <c r="O403" s="4">
        <f>Start_Daten!O403</f>
        <v>0</v>
      </c>
    </row>
    <row r="404" spans="1:15">
      <c r="A404" s="1">
        <v>402</v>
      </c>
      <c r="B404">
        <f>Start_Daten!B404</f>
        <v>0</v>
      </c>
      <c r="C404" s="2">
        <f>Start_Daten!C404</f>
        <v>0</v>
      </c>
      <c r="E404" s="3" t="str">
        <f t="shared" si="6"/>
        <v/>
      </c>
      <c r="F404" s="1">
        <f>Start_Daten!F404</f>
        <v>0</v>
      </c>
      <c r="G404" s="1">
        <f>Start_Daten!G404</f>
        <v>0</v>
      </c>
      <c r="H404">
        <f>Start_Daten!H404</f>
        <v>0</v>
      </c>
      <c r="I404">
        <f>Start_Daten!I404</f>
        <v>0</v>
      </c>
      <c r="J404">
        <f>Start_Daten!J404</f>
        <v>0</v>
      </c>
      <c r="K404">
        <f>Start_Daten!K404</f>
        <v>0</v>
      </c>
      <c r="L404">
        <f>Start_Daten!L404</f>
        <v>0</v>
      </c>
      <c r="M404">
        <f>Start_Daten!M404</f>
        <v>0</v>
      </c>
      <c r="N404">
        <f>Start_Daten!N404</f>
        <v>0</v>
      </c>
      <c r="O404" s="4">
        <f>Start_Daten!O404</f>
        <v>0</v>
      </c>
    </row>
    <row r="405" spans="1:15">
      <c r="A405" s="1">
        <v>403</v>
      </c>
      <c r="B405">
        <f>Start_Daten!B405</f>
        <v>0</v>
      </c>
      <c r="C405" s="2">
        <f>Start_Daten!C405</f>
        <v>0</v>
      </c>
      <c r="E405" s="3" t="str">
        <f t="shared" si="6"/>
        <v/>
      </c>
      <c r="F405" s="1">
        <f>Start_Daten!F405</f>
        <v>0</v>
      </c>
      <c r="G405" s="1">
        <f>Start_Daten!G405</f>
        <v>0</v>
      </c>
      <c r="H405">
        <f>Start_Daten!H405</f>
        <v>0</v>
      </c>
      <c r="I405">
        <f>Start_Daten!I405</f>
        <v>0</v>
      </c>
      <c r="J405">
        <f>Start_Daten!J405</f>
        <v>0</v>
      </c>
      <c r="K405">
        <f>Start_Daten!K405</f>
        <v>0</v>
      </c>
      <c r="L405">
        <f>Start_Daten!L405</f>
        <v>0</v>
      </c>
      <c r="M405">
        <f>Start_Daten!M405</f>
        <v>0</v>
      </c>
      <c r="N405">
        <f>Start_Daten!N405</f>
        <v>0</v>
      </c>
      <c r="O405" s="4">
        <f>Start_Daten!O405</f>
        <v>0</v>
      </c>
    </row>
    <row r="406" spans="1:15">
      <c r="A406" s="1">
        <v>404</v>
      </c>
      <c r="B406">
        <f>Start_Daten!B406</f>
        <v>0</v>
      </c>
      <c r="C406" s="2">
        <f>Start_Daten!C406</f>
        <v>0</v>
      </c>
      <c r="E406" s="3" t="str">
        <f t="shared" si="6"/>
        <v/>
      </c>
      <c r="F406" s="1">
        <f>Start_Daten!F406</f>
        <v>0</v>
      </c>
      <c r="G406" s="1">
        <f>Start_Daten!G406</f>
        <v>0</v>
      </c>
      <c r="H406">
        <f>Start_Daten!H406</f>
        <v>0</v>
      </c>
      <c r="I406">
        <f>Start_Daten!I406</f>
        <v>0</v>
      </c>
      <c r="J406">
        <f>Start_Daten!J406</f>
        <v>0</v>
      </c>
      <c r="K406">
        <f>Start_Daten!K406</f>
        <v>0</v>
      </c>
      <c r="L406">
        <f>Start_Daten!L406</f>
        <v>0</v>
      </c>
      <c r="M406">
        <f>Start_Daten!M406</f>
        <v>0</v>
      </c>
      <c r="N406">
        <f>Start_Daten!N406</f>
        <v>0</v>
      </c>
      <c r="O406" s="4">
        <f>Start_Daten!O406</f>
        <v>0</v>
      </c>
    </row>
    <row r="407" spans="1:15">
      <c r="A407" s="1">
        <v>405</v>
      </c>
      <c r="B407">
        <f>Start_Daten!B407</f>
        <v>0</v>
      </c>
      <c r="C407" s="2">
        <f>Start_Daten!C407</f>
        <v>0</v>
      </c>
      <c r="E407" s="3" t="str">
        <f t="shared" si="6"/>
        <v/>
      </c>
      <c r="F407" s="1">
        <f>Start_Daten!F407</f>
        <v>0</v>
      </c>
      <c r="G407" s="1">
        <f>Start_Daten!G407</f>
        <v>0</v>
      </c>
      <c r="H407">
        <f>Start_Daten!H407</f>
        <v>0</v>
      </c>
      <c r="I407">
        <f>Start_Daten!I407</f>
        <v>0</v>
      </c>
      <c r="J407">
        <f>Start_Daten!J407</f>
        <v>0</v>
      </c>
      <c r="K407">
        <f>Start_Daten!K407</f>
        <v>0</v>
      </c>
      <c r="L407">
        <f>Start_Daten!L407</f>
        <v>0</v>
      </c>
      <c r="M407">
        <f>Start_Daten!M407</f>
        <v>0</v>
      </c>
      <c r="N407">
        <f>Start_Daten!N407</f>
        <v>0</v>
      </c>
      <c r="O407" s="4">
        <f>Start_Daten!O407</f>
        <v>0</v>
      </c>
    </row>
    <row r="408" spans="1:15">
      <c r="A408" s="1">
        <v>406</v>
      </c>
      <c r="B408">
        <f>Start_Daten!B408</f>
        <v>0</v>
      </c>
      <c r="C408" s="2">
        <f>Start_Daten!C408</f>
        <v>0</v>
      </c>
      <c r="E408" s="3" t="str">
        <f t="shared" si="6"/>
        <v/>
      </c>
      <c r="F408" s="1">
        <f>Start_Daten!F408</f>
        <v>0</v>
      </c>
      <c r="G408" s="1">
        <f>Start_Daten!G408</f>
        <v>0</v>
      </c>
      <c r="H408">
        <f>Start_Daten!H408</f>
        <v>0</v>
      </c>
      <c r="I408">
        <f>Start_Daten!I408</f>
        <v>0</v>
      </c>
      <c r="J408">
        <f>Start_Daten!J408</f>
        <v>0</v>
      </c>
      <c r="K408">
        <f>Start_Daten!K408</f>
        <v>0</v>
      </c>
      <c r="L408">
        <f>Start_Daten!L408</f>
        <v>0</v>
      </c>
      <c r="M408">
        <f>Start_Daten!M408</f>
        <v>0</v>
      </c>
      <c r="N408">
        <f>Start_Daten!N408</f>
        <v>0</v>
      </c>
      <c r="O408" s="4">
        <f>Start_Daten!O408</f>
        <v>0</v>
      </c>
    </row>
    <row r="409" spans="1:15">
      <c r="A409" s="1">
        <v>407</v>
      </c>
      <c r="B409">
        <f>Start_Daten!B409</f>
        <v>0</v>
      </c>
      <c r="C409" s="2">
        <f>Start_Daten!C409</f>
        <v>0</v>
      </c>
      <c r="E409" s="3" t="str">
        <f t="shared" si="6"/>
        <v/>
      </c>
      <c r="F409" s="1">
        <f>Start_Daten!F409</f>
        <v>0</v>
      </c>
      <c r="G409" s="1">
        <f>Start_Daten!G409</f>
        <v>0</v>
      </c>
      <c r="H409">
        <f>Start_Daten!H409</f>
        <v>0</v>
      </c>
      <c r="I409">
        <f>Start_Daten!I409</f>
        <v>0</v>
      </c>
      <c r="J409">
        <f>Start_Daten!J409</f>
        <v>0</v>
      </c>
      <c r="K409">
        <f>Start_Daten!K409</f>
        <v>0</v>
      </c>
      <c r="L409">
        <f>Start_Daten!L409</f>
        <v>0</v>
      </c>
      <c r="M409">
        <f>Start_Daten!M409</f>
        <v>0</v>
      </c>
      <c r="N409">
        <f>Start_Daten!N409</f>
        <v>0</v>
      </c>
      <c r="O409" s="4">
        <f>Start_Daten!O409</f>
        <v>0</v>
      </c>
    </row>
    <row r="410" spans="1:15">
      <c r="A410" s="1">
        <v>408</v>
      </c>
      <c r="B410">
        <f>Start_Daten!B410</f>
        <v>0</v>
      </c>
      <c r="C410" s="2">
        <f>Start_Daten!C410</f>
        <v>0</v>
      </c>
      <c r="E410" s="3" t="str">
        <f t="shared" si="6"/>
        <v/>
      </c>
      <c r="F410" s="1">
        <f>Start_Daten!F410</f>
        <v>0</v>
      </c>
      <c r="G410" s="1">
        <f>Start_Daten!G410</f>
        <v>0</v>
      </c>
      <c r="H410">
        <f>Start_Daten!H410</f>
        <v>0</v>
      </c>
      <c r="I410">
        <f>Start_Daten!I410</f>
        <v>0</v>
      </c>
      <c r="J410">
        <f>Start_Daten!J410</f>
        <v>0</v>
      </c>
      <c r="K410">
        <f>Start_Daten!K410</f>
        <v>0</v>
      </c>
      <c r="L410">
        <f>Start_Daten!L410</f>
        <v>0</v>
      </c>
      <c r="M410">
        <f>Start_Daten!M410</f>
        <v>0</v>
      </c>
      <c r="N410">
        <f>Start_Daten!N410</f>
        <v>0</v>
      </c>
      <c r="O410" s="4">
        <f>Start_Daten!O410</f>
        <v>0</v>
      </c>
    </row>
    <row r="411" spans="1:15">
      <c r="A411" s="1">
        <v>409</v>
      </c>
      <c r="B411">
        <f>Start_Daten!B411</f>
        <v>0</v>
      </c>
      <c r="C411" s="2">
        <f>Start_Daten!C411</f>
        <v>0</v>
      </c>
      <c r="E411" s="3" t="str">
        <f t="shared" si="6"/>
        <v/>
      </c>
      <c r="F411" s="1">
        <f>Start_Daten!F411</f>
        <v>0</v>
      </c>
      <c r="G411" s="1">
        <f>Start_Daten!G411</f>
        <v>0</v>
      </c>
      <c r="H411">
        <f>Start_Daten!H411</f>
        <v>0</v>
      </c>
      <c r="I411">
        <f>Start_Daten!I411</f>
        <v>0</v>
      </c>
      <c r="J411">
        <f>Start_Daten!J411</f>
        <v>0</v>
      </c>
      <c r="K411">
        <f>Start_Daten!K411</f>
        <v>0</v>
      </c>
      <c r="L411">
        <f>Start_Daten!L411</f>
        <v>0</v>
      </c>
      <c r="M411">
        <f>Start_Daten!M411</f>
        <v>0</v>
      </c>
      <c r="N411">
        <f>Start_Daten!N411</f>
        <v>0</v>
      </c>
      <c r="O411" s="4">
        <f>Start_Daten!O411</f>
        <v>0</v>
      </c>
    </row>
    <row r="412" spans="1:15">
      <c r="A412" s="1">
        <v>410</v>
      </c>
      <c r="B412">
        <f>Start_Daten!B412</f>
        <v>0</v>
      </c>
      <c r="C412" s="2">
        <f>Start_Daten!C412</f>
        <v>0</v>
      </c>
      <c r="E412" s="3" t="str">
        <f t="shared" si="6"/>
        <v/>
      </c>
      <c r="F412" s="1">
        <f>Start_Daten!F412</f>
        <v>0</v>
      </c>
      <c r="G412" s="1">
        <f>Start_Daten!G412</f>
        <v>0</v>
      </c>
      <c r="H412">
        <f>Start_Daten!H412</f>
        <v>0</v>
      </c>
      <c r="I412">
        <f>Start_Daten!I412</f>
        <v>0</v>
      </c>
      <c r="J412">
        <f>Start_Daten!J412</f>
        <v>0</v>
      </c>
      <c r="K412">
        <f>Start_Daten!K412</f>
        <v>0</v>
      </c>
      <c r="L412">
        <f>Start_Daten!L412</f>
        <v>0</v>
      </c>
      <c r="M412">
        <f>Start_Daten!M412</f>
        <v>0</v>
      </c>
      <c r="N412">
        <f>Start_Daten!N412</f>
        <v>0</v>
      </c>
      <c r="O412" s="4">
        <f>Start_Daten!O412</f>
        <v>0</v>
      </c>
    </row>
    <row r="413" spans="1:15">
      <c r="A413" s="1">
        <v>411</v>
      </c>
      <c r="B413">
        <f>Start_Daten!B413</f>
        <v>0</v>
      </c>
      <c r="C413" s="2">
        <f>Start_Daten!C413</f>
        <v>0</v>
      </c>
      <c r="E413" s="3" t="str">
        <f t="shared" si="6"/>
        <v/>
      </c>
      <c r="F413" s="1">
        <f>Start_Daten!F413</f>
        <v>0</v>
      </c>
      <c r="G413" s="1">
        <f>Start_Daten!G413</f>
        <v>0</v>
      </c>
      <c r="H413">
        <f>Start_Daten!H413</f>
        <v>0</v>
      </c>
      <c r="I413">
        <f>Start_Daten!I413</f>
        <v>0</v>
      </c>
      <c r="J413">
        <f>Start_Daten!J413</f>
        <v>0</v>
      </c>
      <c r="K413">
        <f>Start_Daten!K413</f>
        <v>0</v>
      </c>
      <c r="L413">
        <f>Start_Daten!L413</f>
        <v>0</v>
      </c>
      <c r="M413">
        <f>Start_Daten!M413</f>
        <v>0</v>
      </c>
      <c r="N413">
        <f>Start_Daten!N413</f>
        <v>0</v>
      </c>
      <c r="O413" s="4">
        <f>Start_Daten!O413</f>
        <v>0</v>
      </c>
    </row>
    <row r="414" spans="1:15">
      <c r="A414" s="1">
        <v>412</v>
      </c>
      <c r="B414">
        <f>Start_Daten!B414</f>
        <v>0</v>
      </c>
      <c r="C414" s="2">
        <f>Start_Daten!C414</f>
        <v>0</v>
      </c>
      <c r="E414" s="3" t="str">
        <f t="shared" si="6"/>
        <v/>
      </c>
      <c r="F414" s="1">
        <f>Start_Daten!F414</f>
        <v>0</v>
      </c>
      <c r="G414" s="1">
        <f>Start_Daten!G414</f>
        <v>0</v>
      </c>
      <c r="H414">
        <f>Start_Daten!H414</f>
        <v>0</v>
      </c>
      <c r="I414">
        <f>Start_Daten!I414</f>
        <v>0</v>
      </c>
      <c r="J414">
        <f>Start_Daten!J414</f>
        <v>0</v>
      </c>
      <c r="K414">
        <f>Start_Daten!K414</f>
        <v>0</v>
      </c>
      <c r="L414">
        <f>Start_Daten!L414</f>
        <v>0</v>
      </c>
      <c r="M414">
        <f>Start_Daten!M414</f>
        <v>0</v>
      </c>
      <c r="N414">
        <f>Start_Daten!N414</f>
        <v>0</v>
      </c>
      <c r="O414" s="4">
        <f>Start_Daten!O414</f>
        <v>0</v>
      </c>
    </row>
    <row r="415" spans="1:15">
      <c r="A415" s="1">
        <v>413</v>
      </c>
      <c r="B415">
        <f>Start_Daten!B415</f>
        <v>0</v>
      </c>
      <c r="C415" s="2">
        <f>Start_Daten!C415</f>
        <v>0</v>
      </c>
      <c r="E415" s="3" t="str">
        <f t="shared" si="6"/>
        <v/>
      </c>
      <c r="F415" s="1">
        <f>Start_Daten!F415</f>
        <v>0</v>
      </c>
      <c r="G415" s="1">
        <f>Start_Daten!G415</f>
        <v>0</v>
      </c>
      <c r="H415">
        <f>Start_Daten!H415</f>
        <v>0</v>
      </c>
      <c r="I415">
        <f>Start_Daten!I415</f>
        <v>0</v>
      </c>
      <c r="J415">
        <f>Start_Daten!J415</f>
        <v>0</v>
      </c>
      <c r="K415">
        <f>Start_Daten!K415</f>
        <v>0</v>
      </c>
      <c r="L415">
        <f>Start_Daten!L415</f>
        <v>0</v>
      </c>
      <c r="M415">
        <f>Start_Daten!M415</f>
        <v>0</v>
      </c>
      <c r="N415">
        <f>Start_Daten!N415</f>
        <v>0</v>
      </c>
      <c r="O415" s="4">
        <f>Start_Daten!O415</f>
        <v>0</v>
      </c>
    </row>
    <row r="416" spans="1:15">
      <c r="A416" s="1">
        <v>414</v>
      </c>
      <c r="B416">
        <f>Start_Daten!B416</f>
        <v>0</v>
      </c>
      <c r="C416" s="2">
        <f>Start_Daten!C416</f>
        <v>0</v>
      </c>
      <c r="E416" s="3" t="str">
        <f t="shared" si="6"/>
        <v/>
      </c>
      <c r="F416" s="1">
        <f>Start_Daten!F416</f>
        <v>0</v>
      </c>
      <c r="G416" s="1">
        <f>Start_Daten!G416</f>
        <v>0</v>
      </c>
      <c r="H416">
        <f>Start_Daten!H416</f>
        <v>0</v>
      </c>
      <c r="I416">
        <f>Start_Daten!I416</f>
        <v>0</v>
      </c>
      <c r="J416">
        <f>Start_Daten!J416</f>
        <v>0</v>
      </c>
      <c r="K416">
        <f>Start_Daten!K416</f>
        <v>0</v>
      </c>
      <c r="L416">
        <f>Start_Daten!L416</f>
        <v>0</v>
      </c>
      <c r="M416">
        <f>Start_Daten!M416</f>
        <v>0</v>
      </c>
      <c r="N416">
        <f>Start_Daten!N416</f>
        <v>0</v>
      </c>
      <c r="O416" s="4">
        <f>Start_Daten!O416</f>
        <v>0</v>
      </c>
    </row>
    <row r="417" spans="1:15">
      <c r="A417" s="1">
        <v>415</v>
      </c>
      <c r="B417">
        <f>Start_Daten!B417</f>
        <v>0</v>
      </c>
      <c r="C417" s="2">
        <f>Start_Daten!C417</f>
        <v>0</v>
      </c>
      <c r="E417" s="3" t="str">
        <f t="shared" si="6"/>
        <v/>
      </c>
      <c r="F417" s="1">
        <f>Start_Daten!F417</f>
        <v>0</v>
      </c>
      <c r="G417" s="1">
        <f>Start_Daten!G417</f>
        <v>0</v>
      </c>
      <c r="H417">
        <f>Start_Daten!H417</f>
        <v>0</v>
      </c>
      <c r="I417">
        <f>Start_Daten!I417</f>
        <v>0</v>
      </c>
      <c r="J417">
        <f>Start_Daten!J417</f>
        <v>0</v>
      </c>
      <c r="K417">
        <f>Start_Daten!K417</f>
        <v>0</v>
      </c>
      <c r="L417">
        <f>Start_Daten!L417</f>
        <v>0</v>
      </c>
      <c r="M417">
        <f>Start_Daten!M417</f>
        <v>0</v>
      </c>
      <c r="N417">
        <f>Start_Daten!N417</f>
        <v>0</v>
      </c>
      <c r="O417" s="4">
        <f>Start_Daten!O417</f>
        <v>0</v>
      </c>
    </row>
    <row r="418" spans="1:15">
      <c r="A418" s="1">
        <v>416</v>
      </c>
      <c r="B418">
        <f>Start_Daten!B418</f>
        <v>0</v>
      </c>
      <c r="C418" s="2">
        <f>Start_Daten!C418</f>
        <v>0</v>
      </c>
      <c r="E418" s="3" t="str">
        <f t="shared" si="6"/>
        <v/>
      </c>
      <c r="F418" s="1">
        <f>Start_Daten!F418</f>
        <v>0</v>
      </c>
      <c r="G418" s="1">
        <f>Start_Daten!G418</f>
        <v>0</v>
      </c>
      <c r="H418">
        <f>Start_Daten!H418</f>
        <v>0</v>
      </c>
      <c r="I418">
        <f>Start_Daten!I418</f>
        <v>0</v>
      </c>
      <c r="J418">
        <f>Start_Daten!J418</f>
        <v>0</v>
      </c>
      <c r="K418">
        <f>Start_Daten!K418</f>
        <v>0</v>
      </c>
      <c r="L418">
        <f>Start_Daten!L418</f>
        <v>0</v>
      </c>
      <c r="M418">
        <f>Start_Daten!M418</f>
        <v>0</v>
      </c>
      <c r="N418">
        <f>Start_Daten!N418</f>
        <v>0</v>
      </c>
      <c r="O418" s="4">
        <f>Start_Daten!O418</f>
        <v>0</v>
      </c>
    </row>
    <row r="419" spans="1:15">
      <c r="A419" s="1">
        <v>417</v>
      </c>
      <c r="B419">
        <f>Start_Daten!B419</f>
        <v>0</v>
      </c>
      <c r="C419" s="2">
        <f>Start_Daten!C419</f>
        <v>0</v>
      </c>
      <c r="E419" s="3" t="str">
        <f t="shared" si="6"/>
        <v/>
      </c>
      <c r="F419" s="1">
        <f>Start_Daten!F419</f>
        <v>0</v>
      </c>
      <c r="G419" s="1">
        <f>Start_Daten!G419</f>
        <v>0</v>
      </c>
      <c r="H419">
        <f>Start_Daten!H419</f>
        <v>0</v>
      </c>
      <c r="I419">
        <f>Start_Daten!I419</f>
        <v>0</v>
      </c>
      <c r="J419">
        <f>Start_Daten!J419</f>
        <v>0</v>
      </c>
      <c r="K419">
        <f>Start_Daten!K419</f>
        <v>0</v>
      </c>
      <c r="L419">
        <f>Start_Daten!L419</f>
        <v>0</v>
      </c>
      <c r="M419">
        <f>Start_Daten!M419</f>
        <v>0</v>
      </c>
      <c r="N419">
        <f>Start_Daten!N419</f>
        <v>0</v>
      </c>
      <c r="O419" s="4">
        <f>Start_Daten!O419</f>
        <v>0</v>
      </c>
    </row>
    <row r="420" spans="1:15">
      <c r="A420" s="1">
        <v>418</v>
      </c>
      <c r="B420">
        <f>Start_Daten!B420</f>
        <v>0</v>
      </c>
      <c r="C420" s="2">
        <f>Start_Daten!C420</f>
        <v>0</v>
      </c>
      <c r="E420" s="3" t="str">
        <f t="shared" si="6"/>
        <v/>
      </c>
      <c r="F420" s="1">
        <f>Start_Daten!F420</f>
        <v>0</v>
      </c>
      <c r="G420" s="1">
        <f>Start_Daten!G420</f>
        <v>0</v>
      </c>
      <c r="H420">
        <f>Start_Daten!H420</f>
        <v>0</v>
      </c>
      <c r="I420">
        <f>Start_Daten!I420</f>
        <v>0</v>
      </c>
      <c r="J420">
        <f>Start_Daten!J420</f>
        <v>0</v>
      </c>
      <c r="K420">
        <f>Start_Daten!K420</f>
        <v>0</v>
      </c>
      <c r="L420">
        <f>Start_Daten!L420</f>
        <v>0</v>
      </c>
      <c r="M420">
        <f>Start_Daten!M420</f>
        <v>0</v>
      </c>
      <c r="N420">
        <f>Start_Daten!N420</f>
        <v>0</v>
      </c>
      <c r="O420" s="4">
        <f>Start_Daten!O420</f>
        <v>0</v>
      </c>
    </row>
    <row r="421" spans="1:15">
      <c r="A421" s="1">
        <v>419</v>
      </c>
      <c r="B421">
        <f>Start_Daten!B421</f>
        <v>0</v>
      </c>
      <c r="C421" s="2">
        <f>Start_Daten!C421</f>
        <v>0</v>
      </c>
      <c r="E421" s="3" t="str">
        <f t="shared" si="6"/>
        <v/>
      </c>
      <c r="F421" s="1">
        <f>Start_Daten!F421</f>
        <v>0</v>
      </c>
      <c r="G421" s="1">
        <f>Start_Daten!G421</f>
        <v>0</v>
      </c>
      <c r="H421">
        <f>Start_Daten!H421</f>
        <v>0</v>
      </c>
      <c r="I421">
        <f>Start_Daten!I421</f>
        <v>0</v>
      </c>
      <c r="J421">
        <f>Start_Daten!J421</f>
        <v>0</v>
      </c>
      <c r="K421">
        <f>Start_Daten!K421</f>
        <v>0</v>
      </c>
      <c r="L421">
        <f>Start_Daten!L421</f>
        <v>0</v>
      </c>
      <c r="M421">
        <f>Start_Daten!M421</f>
        <v>0</v>
      </c>
      <c r="N421">
        <f>Start_Daten!N421</f>
        <v>0</v>
      </c>
      <c r="O421" s="4">
        <f>Start_Daten!O421</f>
        <v>0</v>
      </c>
    </row>
    <row r="422" spans="1:15">
      <c r="A422" s="1">
        <v>420</v>
      </c>
      <c r="B422">
        <f>Start_Daten!B422</f>
        <v>0</v>
      </c>
      <c r="C422" s="2">
        <f>Start_Daten!C422</f>
        <v>0</v>
      </c>
      <c r="E422" s="3" t="str">
        <f t="shared" si="6"/>
        <v/>
      </c>
      <c r="F422" s="1">
        <f>Start_Daten!F422</f>
        <v>0</v>
      </c>
      <c r="G422" s="1">
        <f>Start_Daten!G422</f>
        <v>0</v>
      </c>
      <c r="H422">
        <f>Start_Daten!H422</f>
        <v>0</v>
      </c>
      <c r="I422">
        <f>Start_Daten!I422</f>
        <v>0</v>
      </c>
      <c r="J422">
        <f>Start_Daten!J422</f>
        <v>0</v>
      </c>
      <c r="K422">
        <f>Start_Daten!K422</f>
        <v>0</v>
      </c>
      <c r="L422">
        <f>Start_Daten!L422</f>
        <v>0</v>
      </c>
      <c r="M422">
        <f>Start_Daten!M422</f>
        <v>0</v>
      </c>
      <c r="N422">
        <f>Start_Daten!N422</f>
        <v>0</v>
      </c>
      <c r="O422" s="4">
        <f>Start_Daten!O422</f>
        <v>0</v>
      </c>
    </row>
    <row r="423" spans="1:15">
      <c r="A423" s="1">
        <v>421</v>
      </c>
      <c r="B423">
        <f>Start_Daten!B423</f>
        <v>0</v>
      </c>
      <c r="C423" s="2">
        <f>Start_Daten!C423</f>
        <v>0</v>
      </c>
      <c r="E423" s="3" t="str">
        <f t="shared" si="6"/>
        <v/>
      </c>
      <c r="F423" s="1">
        <f>Start_Daten!F423</f>
        <v>0</v>
      </c>
      <c r="G423" s="1">
        <f>Start_Daten!G423</f>
        <v>0</v>
      </c>
      <c r="H423">
        <f>Start_Daten!H423</f>
        <v>0</v>
      </c>
      <c r="I423">
        <f>Start_Daten!I423</f>
        <v>0</v>
      </c>
      <c r="J423">
        <f>Start_Daten!J423</f>
        <v>0</v>
      </c>
      <c r="K423">
        <f>Start_Daten!K423</f>
        <v>0</v>
      </c>
      <c r="L423">
        <f>Start_Daten!L423</f>
        <v>0</v>
      </c>
      <c r="M423">
        <f>Start_Daten!M423</f>
        <v>0</v>
      </c>
      <c r="N423">
        <f>Start_Daten!N423</f>
        <v>0</v>
      </c>
      <c r="O423" s="4">
        <f>Start_Daten!O423</f>
        <v>0</v>
      </c>
    </row>
    <row r="424" spans="1:15">
      <c r="A424" s="1">
        <v>422</v>
      </c>
      <c r="B424">
        <f>Start_Daten!B424</f>
        <v>0</v>
      </c>
      <c r="C424" s="2">
        <f>Start_Daten!C424</f>
        <v>0</v>
      </c>
      <c r="E424" s="3" t="str">
        <f t="shared" si="6"/>
        <v/>
      </c>
      <c r="F424" s="1">
        <f>Start_Daten!F424</f>
        <v>0</v>
      </c>
      <c r="G424" s="1">
        <f>Start_Daten!G424</f>
        <v>0</v>
      </c>
      <c r="H424">
        <f>Start_Daten!H424</f>
        <v>0</v>
      </c>
      <c r="I424">
        <f>Start_Daten!I424</f>
        <v>0</v>
      </c>
      <c r="J424">
        <f>Start_Daten!J424</f>
        <v>0</v>
      </c>
      <c r="K424">
        <f>Start_Daten!K424</f>
        <v>0</v>
      </c>
      <c r="L424">
        <f>Start_Daten!L424</f>
        <v>0</v>
      </c>
      <c r="M424">
        <f>Start_Daten!M424</f>
        <v>0</v>
      </c>
      <c r="N424">
        <f>Start_Daten!N424</f>
        <v>0</v>
      </c>
      <c r="O424" s="4">
        <f>Start_Daten!O424</f>
        <v>0</v>
      </c>
    </row>
    <row r="425" spans="1:15">
      <c r="A425" s="1">
        <v>423</v>
      </c>
      <c r="B425">
        <f>Start_Daten!B425</f>
        <v>0</v>
      </c>
      <c r="C425" s="2">
        <f>Start_Daten!C425</f>
        <v>0</v>
      </c>
      <c r="E425" s="3" t="str">
        <f t="shared" si="6"/>
        <v/>
      </c>
      <c r="F425" s="1">
        <f>Start_Daten!F425</f>
        <v>0</v>
      </c>
      <c r="G425" s="1">
        <f>Start_Daten!G425</f>
        <v>0</v>
      </c>
      <c r="H425">
        <f>Start_Daten!H425</f>
        <v>0</v>
      </c>
      <c r="I425">
        <f>Start_Daten!I425</f>
        <v>0</v>
      </c>
      <c r="J425">
        <f>Start_Daten!J425</f>
        <v>0</v>
      </c>
      <c r="K425">
        <f>Start_Daten!K425</f>
        <v>0</v>
      </c>
      <c r="L425">
        <f>Start_Daten!L425</f>
        <v>0</v>
      </c>
      <c r="M425">
        <f>Start_Daten!M425</f>
        <v>0</v>
      </c>
      <c r="N425">
        <f>Start_Daten!N425</f>
        <v>0</v>
      </c>
      <c r="O425" s="4">
        <f>Start_Daten!O425</f>
        <v>0</v>
      </c>
    </row>
    <row r="426" spans="1:15">
      <c r="A426" s="1">
        <v>424</v>
      </c>
      <c r="B426">
        <f>Start_Daten!B426</f>
        <v>0</v>
      </c>
      <c r="C426" s="2">
        <f>Start_Daten!C426</f>
        <v>0</v>
      </c>
      <c r="E426" s="3" t="str">
        <f t="shared" si="6"/>
        <v/>
      </c>
      <c r="F426" s="1">
        <f>Start_Daten!F426</f>
        <v>0</v>
      </c>
      <c r="G426" s="1">
        <f>Start_Daten!G426</f>
        <v>0</v>
      </c>
      <c r="H426">
        <f>Start_Daten!H426</f>
        <v>0</v>
      </c>
      <c r="I426">
        <f>Start_Daten!I426</f>
        <v>0</v>
      </c>
      <c r="J426">
        <f>Start_Daten!J426</f>
        <v>0</v>
      </c>
      <c r="K426">
        <f>Start_Daten!K426</f>
        <v>0</v>
      </c>
      <c r="L426">
        <f>Start_Daten!L426</f>
        <v>0</v>
      </c>
      <c r="M426">
        <f>Start_Daten!M426</f>
        <v>0</v>
      </c>
      <c r="N426">
        <f>Start_Daten!N426</f>
        <v>0</v>
      </c>
      <c r="O426" s="4">
        <f>Start_Daten!O426</f>
        <v>0</v>
      </c>
    </row>
    <row r="427" spans="1:15">
      <c r="A427" s="1">
        <v>425</v>
      </c>
      <c r="B427">
        <f>Start_Daten!B427</f>
        <v>0</v>
      </c>
      <c r="C427" s="2">
        <f>Start_Daten!C427</f>
        <v>0</v>
      </c>
      <c r="E427" s="3" t="str">
        <f t="shared" si="6"/>
        <v/>
      </c>
      <c r="F427" s="1">
        <f>Start_Daten!F427</f>
        <v>0</v>
      </c>
      <c r="G427" s="1">
        <f>Start_Daten!G427</f>
        <v>0</v>
      </c>
      <c r="H427">
        <f>Start_Daten!H427</f>
        <v>0</v>
      </c>
      <c r="I427">
        <f>Start_Daten!I427</f>
        <v>0</v>
      </c>
      <c r="J427">
        <f>Start_Daten!J427</f>
        <v>0</v>
      </c>
      <c r="K427">
        <f>Start_Daten!K427</f>
        <v>0</v>
      </c>
      <c r="L427">
        <f>Start_Daten!L427</f>
        <v>0</v>
      </c>
      <c r="M427">
        <f>Start_Daten!M427</f>
        <v>0</v>
      </c>
      <c r="N427">
        <f>Start_Daten!N427</f>
        <v>0</v>
      </c>
      <c r="O427" s="4">
        <f>Start_Daten!O427</f>
        <v>0</v>
      </c>
    </row>
    <row r="428" spans="1:15">
      <c r="A428" s="1">
        <v>426</v>
      </c>
      <c r="B428">
        <f>Start_Daten!B428</f>
        <v>0</v>
      </c>
      <c r="C428" s="2">
        <f>Start_Daten!C428</f>
        <v>0</v>
      </c>
      <c r="E428" s="3" t="str">
        <f t="shared" si="6"/>
        <v/>
      </c>
      <c r="F428" s="1">
        <f>Start_Daten!F428</f>
        <v>0</v>
      </c>
      <c r="G428" s="1">
        <f>Start_Daten!G428</f>
        <v>0</v>
      </c>
      <c r="H428">
        <f>Start_Daten!H428</f>
        <v>0</v>
      </c>
      <c r="I428">
        <f>Start_Daten!I428</f>
        <v>0</v>
      </c>
      <c r="J428">
        <f>Start_Daten!J428</f>
        <v>0</v>
      </c>
      <c r="K428">
        <f>Start_Daten!K428</f>
        <v>0</v>
      </c>
      <c r="L428">
        <f>Start_Daten!L428</f>
        <v>0</v>
      </c>
      <c r="M428">
        <f>Start_Daten!M428</f>
        <v>0</v>
      </c>
      <c r="N428">
        <f>Start_Daten!N428</f>
        <v>0</v>
      </c>
      <c r="O428" s="4">
        <f>Start_Daten!O428</f>
        <v>0</v>
      </c>
    </row>
    <row r="429" spans="1:15">
      <c r="A429" s="1">
        <v>427</v>
      </c>
      <c r="B429">
        <f>Start_Daten!B429</f>
        <v>0</v>
      </c>
      <c r="C429" s="2">
        <f>Start_Daten!C429</f>
        <v>0</v>
      </c>
      <c r="E429" s="3" t="str">
        <f t="shared" si="6"/>
        <v/>
      </c>
      <c r="F429" s="1">
        <f>Start_Daten!F429</f>
        <v>0</v>
      </c>
      <c r="G429" s="1">
        <f>Start_Daten!G429</f>
        <v>0</v>
      </c>
      <c r="H429">
        <f>Start_Daten!H429</f>
        <v>0</v>
      </c>
      <c r="I429">
        <f>Start_Daten!I429</f>
        <v>0</v>
      </c>
      <c r="J429">
        <f>Start_Daten!J429</f>
        <v>0</v>
      </c>
      <c r="K429">
        <f>Start_Daten!K429</f>
        <v>0</v>
      </c>
      <c r="L429">
        <f>Start_Daten!L429</f>
        <v>0</v>
      </c>
      <c r="M429">
        <f>Start_Daten!M429</f>
        <v>0</v>
      </c>
      <c r="N429">
        <f>Start_Daten!N429</f>
        <v>0</v>
      </c>
      <c r="O429" s="4">
        <f>Start_Daten!O429</f>
        <v>0</v>
      </c>
    </row>
    <row r="430" spans="1:15">
      <c r="A430" s="1">
        <v>428</v>
      </c>
      <c r="B430">
        <f>Start_Daten!B430</f>
        <v>0</v>
      </c>
      <c r="C430" s="2">
        <f>Start_Daten!C430</f>
        <v>0</v>
      </c>
      <c r="E430" s="3" t="str">
        <f t="shared" si="6"/>
        <v/>
      </c>
      <c r="F430" s="1">
        <f>Start_Daten!F430</f>
        <v>0</v>
      </c>
      <c r="G430" s="1">
        <f>Start_Daten!G430</f>
        <v>0</v>
      </c>
      <c r="H430">
        <f>Start_Daten!H430</f>
        <v>0</v>
      </c>
      <c r="I430">
        <f>Start_Daten!I430</f>
        <v>0</v>
      </c>
      <c r="J430">
        <f>Start_Daten!J430</f>
        <v>0</v>
      </c>
      <c r="K430">
        <f>Start_Daten!K430</f>
        <v>0</v>
      </c>
      <c r="L430">
        <f>Start_Daten!L430</f>
        <v>0</v>
      </c>
      <c r="M430">
        <f>Start_Daten!M430</f>
        <v>0</v>
      </c>
      <c r="N430">
        <f>Start_Daten!N430</f>
        <v>0</v>
      </c>
      <c r="O430" s="4">
        <f>Start_Daten!O430</f>
        <v>0</v>
      </c>
    </row>
    <row r="431" spans="1:15">
      <c r="A431" s="1">
        <v>429</v>
      </c>
      <c r="B431">
        <f>Start_Daten!B431</f>
        <v>0</v>
      </c>
      <c r="C431" s="2">
        <f>Start_Daten!C431</f>
        <v>0</v>
      </c>
      <c r="E431" s="3" t="str">
        <f t="shared" si="6"/>
        <v/>
      </c>
      <c r="F431" s="1">
        <f>Start_Daten!F431</f>
        <v>0</v>
      </c>
      <c r="G431" s="1">
        <f>Start_Daten!G431</f>
        <v>0</v>
      </c>
      <c r="H431">
        <f>Start_Daten!H431</f>
        <v>0</v>
      </c>
      <c r="I431">
        <f>Start_Daten!I431</f>
        <v>0</v>
      </c>
      <c r="J431">
        <f>Start_Daten!J431</f>
        <v>0</v>
      </c>
      <c r="K431">
        <f>Start_Daten!K431</f>
        <v>0</v>
      </c>
      <c r="L431">
        <f>Start_Daten!L431</f>
        <v>0</v>
      </c>
      <c r="M431">
        <f>Start_Daten!M431</f>
        <v>0</v>
      </c>
      <c r="N431">
        <f>Start_Daten!N431</f>
        <v>0</v>
      </c>
      <c r="O431" s="4">
        <f>Start_Daten!O431</f>
        <v>0</v>
      </c>
    </row>
    <row r="432" spans="1:15">
      <c r="A432" s="1">
        <v>430</v>
      </c>
      <c r="B432">
        <f>Start_Daten!B432</f>
        <v>0</v>
      </c>
      <c r="C432" s="2">
        <f>Start_Daten!C432</f>
        <v>0</v>
      </c>
      <c r="E432" s="3" t="str">
        <f t="shared" si="6"/>
        <v/>
      </c>
      <c r="F432" s="1">
        <f>Start_Daten!F432</f>
        <v>0</v>
      </c>
      <c r="G432" s="1">
        <f>Start_Daten!G432</f>
        <v>0</v>
      </c>
      <c r="H432">
        <f>Start_Daten!H432</f>
        <v>0</v>
      </c>
      <c r="I432">
        <f>Start_Daten!I432</f>
        <v>0</v>
      </c>
      <c r="J432">
        <f>Start_Daten!J432</f>
        <v>0</v>
      </c>
      <c r="K432">
        <f>Start_Daten!K432</f>
        <v>0</v>
      </c>
      <c r="L432">
        <f>Start_Daten!L432</f>
        <v>0</v>
      </c>
      <c r="M432">
        <f>Start_Daten!M432</f>
        <v>0</v>
      </c>
      <c r="N432">
        <f>Start_Daten!N432</f>
        <v>0</v>
      </c>
      <c r="O432" s="4">
        <f>Start_Daten!O432</f>
        <v>0</v>
      </c>
    </row>
    <row r="433" spans="1:15">
      <c r="A433" s="1">
        <v>431</v>
      </c>
      <c r="B433">
        <f>Start_Daten!B433</f>
        <v>0</v>
      </c>
      <c r="C433" s="2">
        <f>Start_Daten!C433</f>
        <v>0</v>
      </c>
      <c r="E433" s="3" t="str">
        <f t="shared" si="6"/>
        <v/>
      </c>
      <c r="F433" s="1">
        <f>Start_Daten!F433</f>
        <v>0</v>
      </c>
      <c r="G433" s="1">
        <f>Start_Daten!G433</f>
        <v>0</v>
      </c>
      <c r="H433">
        <f>Start_Daten!H433</f>
        <v>0</v>
      </c>
      <c r="I433">
        <f>Start_Daten!I433</f>
        <v>0</v>
      </c>
      <c r="J433">
        <f>Start_Daten!J433</f>
        <v>0</v>
      </c>
      <c r="K433">
        <f>Start_Daten!K433</f>
        <v>0</v>
      </c>
      <c r="L433">
        <f>Start_Daten!L433</f>
        <v>0</v>
      </c>
      <c r="M433">
        <f>Start_Daten!M433</f>
        <v>0</v>
      </c>
      <c r="N433">
        <f>Start_Daten!N433</f>
        <v>0</v>
      </c>
      <c r="O433" s="4">
        <f>Start_Daten!O433</f>
        <v>0</v>
      </c>
    </row>
    <row r="434" spans="1:15">
      <c r="A434" s="1">
        <v>432</v>
      </c>
      <c r="B434">
        <f>Start_Daten!B434</f>
        <v>0</v>
      </c>
      <c r="C434" s="2">
        <f>Start_Daten!C434</f>
        <v>0</v>
      </c>
      <c r="E434" s="3" t="str">
        <f t="shared" si="6"/>
        <v/>
      </c>
      <c r="F434" s="1">
        <f>Start_Daten!F434</f>
        <v>0</v>
      </c>
      <c r="G434" s="1">
        <f>Start_Daten!G434</f>
        <v>0</v>
      </c>
      <c r="H434">
        <f>Start_Daten!H434</f>
        <v>0</v>
      </c>
      <c r="I434">
        <f>Start_Daten!I434</f>
        <v>0</v>
      </c>
      <c r="J434">
        <f>Start_Daten!J434</f>
        <v>0</v>
      </c>
      <c r="K434">
        <f>Start_Daten!K434</f>
        <v>0</v>
      </c>
      <c r="L434">
        <f>Start_Daten!L434</f>
        <v>0</v>
      </c>
      <c r="M434">
        <f>Start_Daten!M434</f>
        <v>0</v>
      </c>
      <c r="N434">
        <f>Start_Daten!N434</f>
        <v>0</v>
      </c>
      <c r="O434" s="4">
        <f>Start_Daten!O434</f>
        <v>0</v>
      </c>
    </row>
    <row r="435" spans="1:15">
      <c r="A435" s="1">
        <v>433</v>
      </c>
      <c r="B435">
        <f>Start_Daten!B435</f>
        <v>0</v>
      </c>
      <c r="C435" s="2">
        <f>Start_Daten!C435</f>
        <v>0</v>
      </c>
      <c r="E435" s="3" t="str">
        <f t="shared" si="6"/>
        <v/>
      </c>
      <c r="F435" s="1">
        <f>Start_Daten!F435</f>
        <v>0</v>
      </c>
      <c r="G435" s="1">
        <f>Start_Daten!G435</f>
        <v>0</v>
      </c>
      <c r="H435">
        <f>Start_Daten!H435</f>
        <v>0</v>
      </c>
      <c r="I435">
        <f>Start_Daten!I435</f>
        <v>0</v>
      </c>
      <c r="J435">
        <f>Start_Daten!J435</f>
        <v>0</v>
      </c>
      <c r="K435">
        <f>Start_Daten!K435</f>
        <v>0</v>
      </c>
      <c r="L435">
        <f>Start_Daten!L435</f>
        <v>0</v>
      </c>
      <c r="M435">
        <f>Start_Daten!M435</f>
        <v>0</v>
      </c>
      <c r="N435">
        <f>Start_Daten!N435</f>
        <v>0</v>
      </c>
      <c r="O435" s="4">
        <f>Start_Daten!O435</f>
        <v>0</v>
      </c>
    </row>
    <row r="436" spans="1:15">
      <c r="A436" s="1">
        <v>434</v>
      </c>
      <c r="B436">
        <f>Start_Daten!B436</f>
        <v>0</v>
      </c>
      <c r="C436" s="2">
        <f>Start_Daten!C436</f>
        <v>0</v>
      </c>
      <c r="E436" s="3" t="str">
        <f t="shared" si="6"/>
        <v/>
      </c>
      <c r="F436" s="1">
        <f>Start_Daten!F436</f>
        <v>0</v>
      </c>
      <c r="G436" s="1">
        <f>Start_Daten!G436</f>
        <v>0</v>
      </c>
      <c r="H436">
        <f>Start_Daten!H436</f>
        <v>0</v>
      </c>
      <c r="I436">
        <f>Start_Daten!I436</f>
        <v>0</v>
      </c>
      <c r="J436">
        <f>Start_Daten!J436</f>
        <v>0</v>
      </c>
      <c r="K436">
        <f>Start_Daten!K436</f>
        <v>0</v>
      </c>
      <c r="L436">
        <f>Start_Daten!L436</f>
        <v>0</v>
      </c>
      <c r="M436">
        <f>Start_Daten!M436</f>
        <v>0</v>
      </c>
      <c r="N436">
        <f>Start_Daten!N436</f>
        <v>0</v>
      </c>
      <c r="O436" s="4">
        <f>Start_Daten!O436</f>
        <v>0</v>
      </c>
    </row>
    <row r="437" spans="1:15">
      <c r="A437" s="1">
        <v>435</v>
      </c>
      <c r="B437">
        <f>Start_Daten!B437</f>
        <v>0</v>
      </c>
      <c r="C437" s="2">
        <f>Start_Daten!C437</f>
        <v>0</v>
      </c>
      <c r="E437" s="3" t="str">
        <f t="shared" si="6"/>
        <v/>
      </c>
      <c r="F437" s="1">
        <f>Start_Daten!F437</f>
        <v>0</v>
      </c>
      <c r="G437" s="1">
        <f>Start_Daten!G437</f>
        <v>0</v>
      </c>
      <c r="H437">
        <f>Start_Daten!H437</f>
        <v>0</v>
      </c>
      <c r="I437">
        <f>Start_Daten!I437</f>
        <v>0</v>
      </c>
      <c r="J437">
        <f>Start_Daten!J437</f>
        <v>0</v>
      </c>
      <c r="K437">
        <f>Start_Daten!K437</f>
        <v>0</v>
      </c>
      <c r="L437">
        <f>Start_Daten!L437</f>
        <v>0</v>
      </c>
      <c r="M437">
        <f>Start_Daten!M437</f>
        <v>0</v>
      </c>
      <c r="N437">
        <f>Start_Daten!N437</f>
        <v>0</v>
      </c>
      <c r="O437" s="4">
        <f>Start_Daten!O437</f>
        <v>0</v>
      </c>
    </row>
    <row r="438" spans="1:15">
      <c r="A438" s="1">
        <v>436</v>
      </c>
      <c r="B438">
        <f>Start_Daten!B438</f>
        <v>0</v>
      </c>
      <c r="C438" s="2">
        <f>Start_Daten!C438</f>
        <v>0</v>
      </c>
      <c r="E438" s="3" t="str">
        <f t="shared" si="6"/>
        <v/>
      </c>
      <c r="F438" s="1">
        <f>Start_Daten!F438</f>
        <v>0</v>
      </c>
      <c r="G438" s="1">
        <f>Start_Daten!G438</f>
        <v>0</v>
      </c>
      <c r="H438">
        <f>Start_Daten!H438</f>
        <v>0</v>
      </c>
      <c r="I438">
        <f>Start_Daten!I438</f>
        <v>0</v>
      </c>
      <c r="J438">
        <f>Start_Daten!J438</f>
        <v>0</v>
      </c>
      <c r="K438">
        <f>Start_Daten!K438</f>
        <v>0</v>
      </c>
      <c r="L438">
        <f>Start_Daten!L438</f>
        <v>0</v>
      </c>
      <c r="M438">
        <f>Start_Daten!M438</f>
        <v>0</v>
      </c>
      <c r="N438">
        <f>Start_Daten!N438</f>
        <v>0</v>
      </c>
      <c r="O438" s="4">
        <f>Start_Daten!O438</f>
        <v>0</v>
      </c>
    </row>
    <row r="439" spans="1:15">
      <c r="A439" s="1">
        <v>437</v>
      </c>
      <c r="B439">
        <f>Start_Daten!B439</f>
        <v>0</v>
      </c>
      <c r="C439" s="2">
        <f>Start_Daten!C439</f>
        <v>0</v>
      </c>
      <c r="E439" s="3" t="str">
        <f t="shared" si="6"/>
        <v/>
      </c>
      <c r="F439" s="1">
        <f>Start_Daten!F439</f>
        <v>0</v>
      </c>
      <c r="G439" s="1">
        <f>Start_Daten!G439</f>
        <v>0</v>
      </c>
      <c r="H439">
        <f>Start_Daten!H439</f>
        <v>0</v>
      </c>
      <c r="I439">
        <f>Start_Daten!I439</f>
        <v>0</v>
      </c>
      <c r="J439">
        <f>Start_Daten!J439</f>
        <v>0</v>
      </c>
      <c r="K439">
        <f>Start_Daten!K439</f>
        <v>0</v>
      </c>
      <c r="L439">
        <f>Start_Daten!L439</f>
        <v>0</v>
      </c>
      <c r="M439">
        <f>Start_Daten!M439</f>
        <v>0</v>
      </c>
      <c r="N439">
        <f>Start_Daten!N439</f>
        <v>0</v>
      </c>
      <c r="O439" s="4">
        <f>Start_Daten!O439</f>
        <v>0</v>
      </c>
    </row>
    <row r="440" spans="1:15">
      <c r="A440" s="1">
        <v>438</v>
      </c>
      <c r="B440">
        <f>Start_Daten!B440</f>
        <v>0</v>
      </c>
      <c r="C440" s="2">
        <f>Start_Daten!C440</f>
        <v>0</v>
      </c>
      <c r="E440" s="3" t="str">
        <f t="shared" si="6"/>
        <v/>
      </c>
      <c r="F440" s="1">
        <f>Start_Daten!F440</f>
        <v>0</v>
      </c>
      <c r="G440" s="1">
        <f>Start_Daten!G440</f>
        <v>0</v>
      </c>
      <c r="H440">
        <f>Start_Daten!H440</f>
        <v>0</v>
      </c>
      <c r="I440">
        <f>Start_Daten!I440</f>
        <v>0</v>
      </c>
      <c r="J440">
        <f>Start_Daten!J440</f>
        <v>0</v>
      </c>
      <c r="K440">
        <f>Start_Daten!K440</f>
        <v>0</v>
      </c>
      <c r="L440">
        <f>Start_Daten!L440</f>
        <v>0</v>
      </c>
      <c r="M440">
        <f>Start_Daten!M440</f>
        <v>0</v>
      </c>
      <c r="N440">
        <f>Start_Daten!N440</f>
        <v>0</v>
      </c>
      <c r="O440" s="4">
        <f>Start_Daten!O440</f>
        <v>0</v>
      </c>
    </row>
    <row r="441" spans="1:15">
      <c r="A441" s="1">
        <v>439</v>
      </c>
      <c r="B441">
        <f>Start_Daten!B441</f>
        <v>0</v>
      </c>
      <c r="C441" s="2">
        <f>Start_Daten!C441</f>
        <v>0</v>
      </c>
      <c r="E441" s="3" t="str">
        <f t="shared" si="6"/>
        <v/>
      </c>
      <c r="F441" s="1">
        <f>Start_Daten!F441</f>
        <v>0</v>
      </c>
      <c r="G441" s="1">
        <f>Start_Daten!G441</f>
        <v>0</v>
      </c>
      <c r="H441">
        <f>Start_Daten!H441</f>
        <v>0</v>
      </c>
      <c r="I441">
        <f>Start_Daten!I441</f>
        <v>0</v>
      </c>
      <c r="J441">
        <f>Start_Daten!J441</f>
        <v>0</v>
      </c>
      <c r="K441">
        <f>Start_Daten!K441</f>
        <v>0</v>
      </c>
      <c r="L441">
        <f>Start_Daten!L441</f>
        <v>0</v>
      </c>
      <c r="M441">
        <f>Start_Daten!M441</f>
        <v>0</v>
      </c>
      <c r="N441">
        <f>Start_Daten!N441</f>
        <v>0</v>
      </c>
      <c r="O441" s="4">
        <f>Start_Daten!O441</f>
        <v>0</v>
      </c>
    </row>
    <row r="442" spans="1:15">
      <c r="A442" s="1">
        <v>440</v>
      </c>
      <c r="B442">
        <f>Start_Daten!B442</f>
        <v>0</v>
      </c>
      <c r="C442" s="2">
        <f>Start_Daten!C442</f>
        <v>0</v>
      </c>
      <c r="E442" s="3" t="str">
        <f t="shared" si="6"/>
        <v/>
      </c>
      <c r="F442" s="1">
        <f>Start_Daten!F442</f>
        <v>0</v>
      </c>
      <c r="G442" s="1">
        <f>Start_Daten!G442</f>
        <v>0</v>
      </c>
      <c r="H442">
        <f>Start_Daten!H442</f>
        <v>0</v>
      </c>
      <c r="I442">
        <f>Start_Daten!I442</f>
        <v>0</v>
      </c>
      <c r="J442">
        <f>Start_Daten!J442</f>
        <v>0</v>
      </c>
      <c r="K442">
        <f>Start_Daten!K442</f>
        <v>0</v>
      </c>
      <c r="L442">
        <f>Start_Daten!L442</f>
        <v>0</v>
      </c>
      <c r="M442">
        <f>Start_Daten!M442</f>
        <v>0</v>
      </c>
      <c r="N442">
        <f>Start_Daten!N442</f>
        <v>0</v>
      </c>
      <c r="O442" s="4">
        <f>Start_Daten!O442</f>
        <v>0</v>
      </c>
    </row>
    <row r="443" spans="1:15">
      <c r="A443" s="1">
        <v>441</v>
      </c>
      <c r="B443">
        <f>Start_Daten!B443</f>
        <v>0</v>
      </c>
      <c r="C443" s="2">
        <f>Start_Daten!C443</f>
        <v>0</v>
      </c>
      <c r="E443" s="3" t="str">
        <f t="shared" si="6"/>
        <v/>
      </c>
      <c r="F443" s="1">
        <f>Start_Daten!F443</f>
        <v>0</v>
      </c>
      <c r="G443" s="1">
        <f>Start_Daten!G443</f>
        <v>0</v>
      </c>
      <c r="H443">
        <f>Start_Daten!H443</f>
        <v>0</v>
      </c>
      <c r="I443">
        <f>Start_Daten!I443</f>
        <v>0</v>
      </c>
      <c r="J443">
        <f>Start_Daten!J443</f>
        <v>0</v>
      </c>
      <c r="K443">
        <f>Start_Daten!K443</f>
        <v>0</v>
      </c>
      <c r="L443">
        <f>Start_Daten!L443</f>
        <v>0</v>
      </c>
      <c r="M443">
        <f>Start_Daten!M443</f>
        <v>0</v>
      </c>
      <c r="N443">
        <f>Start_Daten!N443</f>
        <v>0</v>
      </c>
      <c r="O443" s="4">
        <f>Start_Daten!O443</f>
        <v>0</v>
      </c>
    </row>
    <row r="444" spans="1:15">
      <c r="A444" s="1">
        <v>442</v>
      </c>
      <c r="B444">
        <f>Start_Daten!B444</f>
        <v>0</v>
      </c>
      <c r="C444" s="2">
        <f>Start_Daten!C444</f>
        <v>0</v>
      </c>
      <c r="E444" s="3" t="str">
        <f t="shared" si="6"/>
        <v/>
      </c>
      <c r="F444" s="1">
        <f>Start_Daten!F444</f>
        <v>0</v>
      </c>
      <c r="G444" s="1">
        <f>Start_Daten!G444</f>
        <v>0</v>
      </c>
      <c r="H444">
        <f>Start_Daten!H444</f>
        <v>0</v>
      </c>
      <c r="I444">
        <f>Start_Daten!I444</f>
        <v>0</v>
      </c>
      <c r="J444">
        <f>Start_Daten!J444</f>
        <v>0</v>
      </c>
      <c r="K444">
        <f>Start_Daten!K444</f>
        <v>0</v>
      </c>
      <c r="L444">
        <f>Start_Daten!L444</f>
        <v>0</v>
      </c>
      <c r="M444">
        <f>Start_Daten!M444</f>
        <v>0</v>
      </c>
      <c r="N444">
        <f>Start_Daten!N444</f>
        <v>0</v>
      </c>
      <c r="O444" s="4">
        <f>Start_Daten!O444</f>
        <v>0</v>
      </c>
    </row>
    <row r="445" spans="1:15">
      <c r="A445" s="1">
        <v>443</v>
      </c>
      <c r="B445">
        <f>Start_Daten!B445</f>
        <v>0</v>
      </c>
      <c r="C445" s="2">
        <f>Start_Daten!C445</f>
        <v>0</v>
      </c>
      <c r="E445" s="3" t="str">
        <f t="shared" si="6"/>
        <v/>
      </c>
      <c r="F445" s="1">
        <f>Start_Daten!F445</f>
        <v>0</v>
      </c>
      <c r="G445" s="1">
        <f>Start_Daten!G445</f>
        <v>0</v>
      </c>
      <c r="H445">
        <f>Start_Daten!H445</f>
        <v>0</v>
      </c>
      <c r="I445">
        <f>Start_Daten!I445</f>
        <v>0</v>
      </c>
      <c r="J445">
        <f>Start_Daten!J445</f>
        <v>0</v>
      </c>
      <c r="K445">
        <f>Start_Daten!K445</f>
        <v>0</v>
      </c>
      <c r="L445">
        <f>Start_Daten!L445</f>
        <v>0</v>
      </c>
      <c r="M445">
        <f>Start_Daten!M445</f>
        <v>0</v>
      </c>
      <c r="N445">
        <f>Start_Daten!N445</f>
        <v>0</v>
      </c>
      <c r="O445" s="4">
        <f>Start_Daten!O445</f>
        <v>0</v>
      </c>
    </row>
    <row r="446" spans="1:15">
      <c r="A446" s="1">
        <v>444</v>
      </c>
      <c r="B446">
        <f>Start_Daten!B446</f>
        <v>0</v>
      </c>
      <c r="C446" s="2">
        <f>Start_Daten!C446</f>
        <v>0</v>
      </c>
      <c r="E446" s="3" t="str">
        <f t="shared" si="6"/>
        <v/>
      </c>
      <c r="F446" s="1">
        <f>Start_Daten!F446</f>
        <v>0</v>
      </c>
      <c r="G446" s="1">
        <f>Start_Daten!G446</f>
        <v>0</v>
      </c>
      <c r="H446">
        <f>Start_Daten!H446</f>
        <v>0</v>
      </c>
      <c r="I446">
        <f>Start_Daten!I446</f>
        <v>0</v>
      </c>
      <c r="J446">
        <f>Start_Daten!J446</f>
        <v>0</v>
      </c>
      <c r="K446">
        <f>Start_Daten!K446</f>
        <v>0</v>
      </c>
      <c r="L446">
        <f>Start_Daten!L446</f>
        <v>0</v>
      </c>
      <c r="M446">
        <f>Start_Daten!M446</f>
        <v>0</v>
      </c>
      <c r="N446">
        <f>Start_Daten!N446</f>
        <v>0</v>
      </c>
      <c r="O446" s="4">
        <f>Start_Daten!O446</f>
        <v>0</v>
      </c>
    </row>
    <row r="447" spans="1:15">
      <c r="A447" s="1">
        <v>445</v>
      </c>
      <c r="B447">
        <f>Start_Daten!B447</f>
        <v>0</v>
      </c>
      <c r="C447" s="2">
        <f>Start_Daten!C447</f>
        <v>0</v>
      </c>
      <c r="E447" s="3" t="str">
        <f t="shared" si="6"/>
        <v/>
      </c>
      <c r="F447" s="1">
        <f>Start_Daten!F447</f>
        <v>0</v>
      </c>
      <c r="G447" s="1">
        <f>Start_Daten!G447</f>
        <v>0</v>
      </c>
      <c r="H447">
        <f>Start_Daten!H447</f>
        <v>0</v>
      </c>
      <c r="I447">
        <f>Start_Daten!I447</f>
        <v>0</v>
      </c>
      <c r="J447">
        <f>Start_Daten!J447</f>
        <v>0</v>
      </c>
      <c r="K447">
        <f>Start_Daten!K447</f>
        <v>0</v>
      </c>
      <c r="L447">
        <f>Start_Daten!L447</f>
        <v>0</v>
      </c>
      <c r="M447">
        <f>Start_Daten!M447</f>
        <v>0</v>
      </c>
      <c r="N447">
        <f>Start_Daten!N447</f>
        <v>0</v>
      </c>
      <c r="O447" s="4">
        <f>Start_Daten!O447</f>
        <v>0</v>
      </c>
    </row>
    <row r="448" spans="1:15">
      <c r="A448" s="1">
        <v>446</v>
      </c>
      <c r="B448">
        <f>Start_Daten!B448</f>
        <v>0</v>
      </c>
      <c r="C448" s="2">
        <f>Start_Daten!C448</f>
        <v>0</v>
      </c>
      <c r="E448" s="3" t="str">
        <f t="shared" si="6"/>
        <v/>
      </c>
      <c r="F448" s="1">
        <f>Start_Daten!F448</f>
        <v>0</v>
      </c>
      <c r="G448" s="1">
        <f>Start_Daten!G448</f>
        <v>0</v>
      </c>
      <c r="H448">
        <f>Start_Daten!H448</f>
        <v>0</v>
      </c>
      <c r="I448">
        <f>Start_Daten!I448</f>
        <v>0</v>
      </c>
      <c r="J448">
        <f>Start_Daten!J448</f>
        <v>0</v>
      </c>
      <c r="K448">
        <f>Start_Daten!K448</f>
        <v>0</v>
      </c>
      <c r="L448">
        <f>Start_Daten!L448</f>
        <v>0</v>
      </c>
      <c r="M448">
        <f>Start_Daten!M448</f>
        <v>0</v>
      </c>
      <c r="N448">
        <f>Start_Daten!N448</f>
        <v>0</v>
      </c>
      <c r="O448" s="4">
        <f>Start_Daten!O448</f>
        <v>0</v>
      </c>
    </row>
    <row r="449" spans="1:15">
      <c r="A449" s="1">
        <v>447</v>
      </c>
      <c r="B449">
        <f>Start_Daten!B449</f>
        <v>0</v>
      </c>
      <c r="C449" s="2">
        <f>Start_Daten!C449</f>
        <v>0</v>
      </c>
      <c r="E449" s="3" t="str">
        <f t="shared" si="6"/>
        <v/>
      </c>
      <c r="F449" s="1">
        <f>Start_Daten!F449</f>
        <v>0</v>
      </c>
      <c r="G449" s="1">
        <f>Start_Daten!G449</f>
        <v>0</v>
      </c>
      <c r="H449">
        <f>Start_Daten!H449</f>
        <v>0</v>
      </c>
      <c r="I449">
        <f>Start_Daten!I449</f>
        <v>0</v>
      </c>
      <c r="J449">
        <f>Start_Daten!J449</f>
        <v>0</v>
      </c>
      <c r="K449">
        <f>Start_Daten!K449</f>
        <v>0</v>
      </c>
      <c r="L449">
        <f>Start_Daten!L449</f>
        <v>0</v>
      </c>
      <c r="M449">
        <f>Start_Daten!M449</f>
        <v>0</v>
      </c>
      <c r="N449">
        <f>Start_Daten!N449</f>
        <v>0</v>
      </c>
      <c r="O449" s="4">
        <f>Start_Daten!O449</f>
        <v>0</v>
      </c>
    </row>
    <row r="450" spans="1:15">
      <c r="A450" s="1">
        <v>448</v>
      </c>
      <c r="B450">
        <f>Start_Daten!B450</f>
        <v>0</v>
      </c>
      <c r="C450" s="2">
        <f>Start_Daten!C450</f>
        <v>0</v>
      </c>
      <c r="E450" s="3" t="str">
        <f t="shared" si="6"/>
        <v/>
      </c>
      <c r="F450" s="1">
        <f>Start_Daten!F450</f>
        <v>0</v>
      </c>
      <c r="G450" s="1">
        <f>Start_Daten!G450</f>
        <v>0</v>
      </c>
      <c r="H450">
        <f>Start_Daten!H450</f>
        <v>0</v>
      </c>
      <c r="I450">
        <f>Start_Daten!I450</f>
        <v>0</v>
      </c>
      <c r="J450">
        <f>Start_Daten!J450</f>
        <v>0</v>
      </c>
      <c r="K450">
        <f>Start_Daten!K450</f>
        <v>0</v>
      </c>
      <c r="L450">
        <f>Start_Daten!L450</f>
        <v>0</v>
      </c>
      <c r="M450">
        <f>Start_Daten!M450</f>
        <v>0</v>
      </c>
      <c r="N450">
        <f>Start_Daten!N450</f>
        <v>0</v>
      </c>
      <c r="O450" s="4">
        <f>Start_Daten!O450</f>
        <v>0</v>
      </c>
    </row>
    <row r="451" spans="1:15">
      <c r="A451" s="1">
        <v>449</v>
      </c>
      <c r="B451">
        <f>Start_Daten!B451</f>
        <v>0</v>
      </c>
      <c r="C451" s="2">
        <f>Start_Daten!C451</f>
        <v>0</v>
      </c>
      <c r="E451" s="3" t="str">
        <f t="shared" si="6"/>
        <v/>
      </c>
      <c r="F451" s="1">
        <f>Start_Daten!F451</f>
        <v>0</v>
      </c>
      <c r="G451" s="1">
        <f>Start_Daten!G451</f>
        <v>0</v>
      </c>
      <c r="H451">
        <f>Start_Daten!H451</f>
        <v>0</v>
      </c>
      <c r="I451">
        <f>Start_Daten!I451</f>
        <v>0</v>
      </c>
      <c r="J451">
        <f>Start_Daten!J451</f>
        <v>0</v>
      </c>
      <c r="K451">
        <f>Start_Daten!K451</f>
        <v>0</v>
      </c>
      <c r="L451">
        <f>Start_Daten!L451</f>
        <v>0</v>
      </c>
      <c r="M451">
        <f>Start_Daten!M451</f>
        <v>0</v>
      </c>
      <c r="N451">
        <f>Start_Daten!N451</f>
        <v>0</v>
      </c>
      <c r="O451" s="4">
        <f>Start_Daten!O451</f>
        <v>0</v>
      </c>
    </row>
    <row r="452" spans="1:15">
      <c r="A452" s="1">
        <v>450</v>
      </c>
      <c r="B452">
        <f>Start_Daten!B452</f>
        <v>0</v>
      </c>
      <c r="C452" s="2">
        <f>Start_Daten!C452</f>
        <v>0</v>
      </c>
      <c r="E452" s="3" t="str">
        <f t="shared" ref="E452:E500" si="7">IF(C452&gt;0,D452/C452,"")</f>
        <v/>
      </c>
      <c r="F452" s="1">
        <f>Start_Daten!F452</f>
        <v>0</v>
      </c>
      <c r="G452" s="1">
        <f>Start_Daten!G452</f>
        <v>0</v>
      </c>
      <c r="H452">
        <f>Start_Daten!H452</f>
        <v>0</v>
      </c>
      <c r="I452">
        <f>Start_Daten!I452</f>
        <v>0</v>
      </c>
      <c r="J452">
        <f>Start_Daten!J452</f>
        <v>0</v>
      </c>
      <c r="K452">
        <f>Start_Daten!K452</f>
        <v>0</v>
      </c>
      <c r="L452">
        <f>Start_Daten!L452</f>
        <v>0</v>
      </c>
      <c r="M452">
        <f>Start_Daten!M452</f>
        <v>0</v>
      </c>
      <c r="N452">
        <f>Start_Daten!N452</f>
        <v>0</v>
      </c>
      <c r="O452" s="4">
        <f>Start_Daten!O452</f>
        <v>0</v>
      </c>
    </row>
    <row r="453" spans="1:15">
      <c r="A453" s="1">
        <v>451</v>
      </c>
      <c r="B453">
        <f>Start_Daten!B453</f>
        <v>0</v>
      </c>
      <c r="C453" s="2">
        <f>Start_Daten!C453</f>
        <v>0</v>
      </c>
      <c r="E453" s="3" t="str">
        <f t="shared" si="7"/>
        <v/>
      </c>
      <c r="F453" s="1">
        <f>Start_Daten!F453</f>
        <v>0</v>
      </c>
      <c r="G453" s="1">
        <f>Start_Daten!G453</f>
        <v>0</v>
      </c>
      <c r="H453">
        <f>Start_Daten!H453</f>
        <v>0</v>
      </c>
      <c r="I453">
        <f>Start_Daten!I453</f>
        <v>0</v>
      </c>
      <c r="J453">
        <f>Start_Daten!J453</f>
        <v>0</v>
      </c>
      <c r="K453">
        <f>Start_Daten!K453</f>
        <v>0</v>
      </c>
      <c r="L453">
        <f>Start_Daten!L453</f>
        <v>0</v>
      </c>
      <c r="M453">
        <f>Start_Daten!M453</f>
        <v>0</v>
      </c>
      <c r="N453">
        <f>Start_Daten!N453</f>
        <v>0</v>
      </c>
      <c r="O453" s="4">
        <f>Start_Daten!O453</f>
        <v>0</v>
      </c>
    </row>
    <row r="454" spans="1:15">
      <c r="A454" s="1">
        <v>452</v>
      </c>
      <c r="B454">
        <f>Start_Daten!B454</f>
        <v>0</v>
      </c>
      <c r="C454" s="2">
        <f>Start_Daten!C454</f>
        <v>0</v>
      </c>
      <c r="E454" s="3" t="str">
        <f t="shared" si="7"/>
        <v/>
      </c>
      <c r="F454" s="1">
        <f>Start_Daten!F454</f>
        <v>0</v>
      </c>
      <c r="G454" s="1">
        <f>Start_Daten!G454</f>
        <v>0</v>
      </c>
      <c r="H454">
        <f>Start_Daten!H454</f>
        <v>0</v>
      </c>
      <c r="I454">
        <f>Start_Daten!I454</f>
        <v>0</v>
      </c>
      <c r="J454">
        <f>Start_Daten!J454</f>
        <v>0</v>
      </c>
      <c r="K454">
        <f>Start_Daten!K454</f>
        <v>0</v>
      </c>
      <c r="L454">
        <f>Start_Daten!L454</f>
        <v>0</v>
      </c>
      <c r="M454">
        <f>Start_Daten!M454</f>
        <v>0</v>
      </c>
      <c r="N454">
        <f>Start_Daten!N454</f>
        <v>0</v>
      </c>
      <c r="O454" s="4">
        <f>Start_Daten!O454</f>
        <v>0</v>
      </c>
    </row>
    <row r="455" spans="1:15">
      <c r="A455" s="1">
        <v>453</v>
      </c>
      <c r="B455">
        <f>Start_Daten!B455</f>
        <v>0</v>
      </c>
      <c r="C455" s="2">
        <f>Start_Daten!C455</f>
        <v>0</v>
      </c>
      <c r="E455" s="3" t="str">
        <f t="shared" si="7"/>
        <v/>
      </c>
      <c r="F455" s="1">
        <f>Start_Daten!F455</f>
        <v>0</v>
      </c>
      <c r="G455" s="1">
        <f>Start_Daten!G455</f>
        <v>0</v>
      </c>
      <c r="H455">
        <f>Start_Daten!H455</f>
        <v>0</v>
      </c>
      <c r="I455">
        <f>Start_Daten!I455</f>
        <v>0</v>
      </c>
      <c r="J455">
        <f>Start_Daten!J455</f>
        <v>0</v>
      </c>
      <c r="K455">
        <f>Start_Daten!K455</f>
        <v>0</v>
      </c>
      <c r="L455">
        <f>Start_Daten!L455</f>
        <v>0</v>
      </c>
      <c r="M455">
        <f>Start_Daten!M455</f>
        <v>0</v>
      </c>
      <c r="N455">
        <f>Start_Daten!N455</f>
        <v>0</v>
      </c>
      <c r="O455" s="4">
        <f>Start_Daten!O455</f>
        <v>0</v>
      </c>
    </row>
    <row r="456" spans="1:15">
      <c r="A456" s="1">
        <v>454</v>
      </c>
      <c r="B456">
        <f>Start_Daten!B456</f>
        <v>0</v>
      </c>
      <c r="C456" s="2">
        <f>Start_Daten!C456</f>
        <v>0</v>
      </c>
      <c r="E456" s="3" t="str">
        <f t="shared" si="7"/>
        <v/>
      </c>
      <c r="F456" s="1">
        <f>Start_Daten!F456</f>
        <v>0</v>
      </c>
      <c r="G456" s="1">
        <f>Start_Daten!G456</f>
        <v>0</v>
      </c>
      <c r="H456">
        <f>Start_Daten!H456</f>
        <v>0</v>
      </c>
      <c r="I456">
        <f>Start_Daten!I456</f>
        <v>0</v>
      </c>
      <c r="J456">
        <f>Start_Daten!J456</f>
        <v>0</v>
      </c>
      <c r="K456">
        <f>Start_Daten!K456</f>
        <v>0</v>
      </c>
      <c r="L456">
        <f>Start_Daten!L456</f>
        <v>0</v>
      </c>
      <c r="M456">
        <f>Start_Daten!M456</f>
        <v>0</v>
      </c>
      <c r="N456">
        <f>Start_Daten!N456</f>
        <v>0</v>
      </c>
      <c r="O456" s="4">
        <f>Start_Daten!O456</f>
        <v>0</v>
      </c>
    </row>
    <row r="457" spans="1:15">
      <c r="A457" s="1">
        <v>455</v>
      </c>
      <c r="B457">
        <f>Start_Daten!B457</f>
        <v>0</v>
      </c>
      <c r="C457" s="2">
        <f>Start_Daten!C457</f>
        <v>0</v>
      </c>
      <c r="E457" s="3" t="str">
        <f t="shared" si="7"/>
        <v/>
      </c>
      <c r="F457" s="1">
        <f>Start_Daten!F457</f>
        <v>0</v>
      </c>
      <c r="G457" s="1">
        <f>Start_Daten!G457</f>
        <v>0</v>
      </c>
      <c r="H457">
        <f>Start_Daten!H457</f>
        <v>0</v>
      </c>
      <c r="I457">
        <f>Start_Daten!I457</f>
        <v>0</v>
      </c>
      <c r="J457">
        <f>Start_Daten!J457</f>
        <v>0</v>
      </c>
      <c r="K457">
        <f>Start_Daten!K457</f>
        <v>0</v>
      </c>
      <c r="L457">
        <f>Start_Daten!L457</f>
        <v>0</v>
      </c>
      <c r="M457">
        <f>Start_Daten!M457</f>
        <v>0</v>
      </c>
      <c r="N457">
        <f>Start_Daten!N457</f>
        <v>0</v>
      </c>
      <c r="O457" s="4">
        <f>Start_Daten!O457</f>
        <v>0</v>
      </c>
    </row>
    <row r="458" spans="1:15">
      <c r="A458" s="1">
        <v>456</v>
      </c>
      <c r="B458">
        <f>Start_Daten!B458</f>
        <v>0</v>
      </c>
      <c r="C458" s="2">
        <f>Start_Daten!C458</f>
        <v>0</v>
      </c>
      <c r="E458" s="3" t="str">
        <f t="shared" si="7"/>
        <v/>
      </c>
      <c r="F458" s="1">
        <f>Start_Daten!F458</f>
        <v>0</v>
      </c>
      <c r="G458" s="1">
        <f>Start_Daten!G458</f>
        <v>0</v>
      </c>
      <c r="H458">
        <f>Start_Daten!H458</f>
        <v>0</v>
      </c>
      <c r="I458">
        <f>Start_Daten!I458</f>
        <v>0</v>
      </c>
      <c r="J458">
        <f>Start_Daten!J458</f>
        <v>0</v>
      </c>
      <c r="K458">
        <f>Start_Daten!K458</f>
        <v>0</v>
      </c>
      <c r="L458">
        <f>Start_Daten!L458</f>
        <v>0</v>
      </c>
      <c r="M458">
        <f>Start_Daten!M458</f>
        <v>0</v>
      </c>
      <c r="N458">
        <f>Start_Daten!N458</f>
        <v>0</v>
      </c>
      <c r="O458" s="4">
        <f>Start_Daten!O458</f>
        <v>0</v>
      </c>
    </row>
    <row r="459" spans="1:15">
      <c r="A459" s="1">
        <v>457</v>
      </c>
      <c r="B459">
        <f>Start_Daten!B459</f>
        <v>0</v>
      </c>
      <c r="C459" s="2">
        <f>Start_Daten!C459</f>
        <v>0</v>
      </c>
      <c r="E459" s="3" t="str">
        <f t="shared" si="7"/>
        <v/>
      </c>
      <c r="F459" s="1">
        <f>Start_Daten!F459</f>
        <v>0</v>
      </c>
      <c r="G459" s="1">
        <f>Start_Daten!G459</f>
        <v>0</v>
      </c>
      <c r="H459">
        <f>Start_Daten!H459</f>
        <v>0</v>
      </c>
      <c r="I459">
        <f>Start_Daten!I459</f>
        <v>0</v>
      </c>
      <c r="J459">
        <f>Start_Daten!J459</f>
        <v>0</v>
      </c>
      <c r="K459">
        <f>Start_Daten!K459</f>
        <v>0</v>
      </c>
      <c r="L459">
        <f>Start_Daten!L459</f>
        <v>0</v>
      </c>
      <c r="M459">
        <f>Start_Daten!M459</f>
        <v>0</v>
      </c>
      <c r="N459">
        <f>Start_Daten!N459</f>
        <v>0</v>
      </c>
      <c r="O459" s="4">
        <f>Start_Daten!O459</f>
        <v>0</v>
      </c>
    </row>
    <row r="460" spans="1:15">
      <c r="A460" s="1">
        <v>458</v>
      </c>
      <c r="B460">
        <f>Start_Daten!B460</f>
        <v>0</v>
      </c>
      <c r="C460" s="2">
        <f>Start_Daten!C460</f>
        <v>0</v>
      </c>
      <c r="E460" s="3" t="str">
        <f t="shared" si="7"/>
        <v/>
      </c>
      <c r="F460" s="1">
        <f>Start_Daten!F460</f>
        <v>0</v>
      </c>
      <c r="G460" s="1">
        <f>Start_Daten!G460</f>
        <v>0</v>
      </c>
      <c r="H460">
        <f>Start_Daten!H460</f>
        <v>0</v>
      </c>
      <c r="I460">
        <f>Start_Daten!I460</f>
        <v>0</v>
      </c>
      <c r="J460">
        <f>Start_Daten!J460</f>
        <v>0</v>
      </c>
      <c r="K460">
        <f>Start_Daten!K460</f>
        <v>0</v>
      </c>
      <c r="L460">
        <f>Start_Daten!L460</f>
        <v>0</v>
      </c>
      <c r="M460">
        <f>Start_Daten!M460</f>
        <v>0</v>
      </c>
      <c r="N460">
        <f>Start_Daten!N460</f>
        <v>0</v>
      </c>
      <c r="O460" s="4">
        <f>Start_Daten!O460</f>
        <v>0</v>
      </c>
    </row>
    <row r="461" spans="1:15">
      <c r="A461" s="1">
        <v>459</v>
      </c>
      <c r="B461">
        <f>Start_Daten!B461</f>
        <v>0</v>
      </c>
      <c r="C461" s="2">
        <f>Start_Daten!C461</f>
        <v>0</v>
      </c>
      <c r="E461" s="3" t="str">
        <f t="shared" si="7"/>
        <v/>
      </c>
      <c r="F461" s="1">
        <f>Start_Daten!F461</f>
        <v>0</v>
      </c>
      <c r="G461" s="1">
        <f>Start_Daten!G461</f>
        <v>0</v>
      </c>
      <c r="H461">
        <f>Start_Daten!H461</f>
        <v>0</v>
      </c>
      <c r="I461">
        <f>Start_Daten!I461</f>
        <v>0</v>
      </c>
      <c r="J461">
        <f>Start_Daten!J461</f>
        <v>0</v>
      </c>
      <c r="K461">
        <f>Start_Daten!K461</f>
        <v>0</v>
      </c>
      <c r="L461">
        <f>Start_Daten!L461</f>
        <v>0</v>
      </c>
      <c r="M461">
        <f>Start_Daten!M461</f>
        <v>0</v>
      </c>
      <c r="N461">
        <f>Start_Daten!N461</f>
        <v>0</v>
      </c>
      <c r="O461" s="4">
        <f>Start_Daten!O461</f>
        <v>0</v>
      </c>
    </row>
    <row r="462" spans="1:15">
      <c r="A462" s="1">
        <v>460</v>
      </c>
      <c r="B462">
        <f>Start_Daten!B462</f>
        <v>0</v>
      </c>
      <c r="C462" s="2">
        <f>Start_Daten!C462</f>
        <v>0</v>
      </c>
      <c r="E462" s="3" t="str">
        <f t="shared" si="7"/>
        <v/>
      </c>
      <c r="F462" s="1">
        <f>Start_Daten!F462</f>
        <v>0</v>
      </c>
      <c r="G462" s="1">
        <f>Start_Daten!G462</f>
        <v>0</v>
      </c>
      <c r="H462">
        <f>Start_Daten!H462</f>
        <v>0</v>
      </c>
      <c r="I462">
        <f>Start_Daten!I462</f>
        <v>0</v>
      </c>
      <c r="J462">
        <f>Start_Daten!J462</f>
        <v>0</v>
      </c>
      <c r="K462">
        <f>Start_Daten!K462</f>
        <v>0</v>
      </c>
      <c r="L462">
        <f>Start_Daten!L462</f>
        <v>0</v>
      </c>
      <c r="M462">
        <f>Start_Daten!M462</f>
        <v>0</v>
      </c>
      <c r="N462">
        <f>Start_Daten!N462</f>
        <v>0</v>
      </c>
      <c r="O462" s="4">
        <f>Start_Daten!O462</f>
        <v>0</v>
      </c>
    </row>
    <row r="463" spans="1:15">
      <c r="A463" s="1">
        <v>461</v>
      </c>
      <c r="B463">
        <f>Start_Daten!B463</f>
        <v>0</v>
      </c>
      <c r="C463" s="2">
        <f>Start_Daten!C463</f>
        <v>0</v>
      </c>
      <c r="E463" s="3" t="str">
        <f t="shared" si="7"/>
        <v/>
      </c>
      <c r="F463" s="1">
        <f>Start_Daten!F463</f>
        <v>0</v>
      </c>
      <c r="G463" s="1">
        <f>Start_Daten!G463</f>
        <v>0</v>
      </c>
      <c r="H463">
        <f>Start_Daten!H463</f>
        <v>0</v>
      </c>
      <c r="I463">
        <f>Start_Daten!I463</f>
        <v>0</v>
      </c>
      <c r="J463">
        <f>Start_Daten!J463</f>
        <v>0</v>
      </c>
      <c r="K463">
        <f>Start_Daten!K463</f>
        <v>0</v>
      </c>
      <c r="L463">
        <f>Start_Daten!L463</f>
        <v>0</v>
      </c>
      <c r="M463">
        <f>Start_Daten!M463</f>
        <v>0</v>
      </c>
      <c r="N463">
        <f>Start_Daten!N463</f>
        <v>0</v>
      </c>
      <c r="O463" s="4">
        <f>Start_Daten!O463</f>
        <v>0</v>
      </c>
    </row>
    <row r="464" spans="1:15">
      <c r="A464" s="1">
        <v>462</v>
      </c>
      <c r="B464">
        <f>Start_Daten!B464</f>
        <v>0</v>
      </c>
      <c r="C464" s="2">
        <f>Start_Daten!C464</f>
        <v>0</v>
      </c>
      <c r="E464" s="3" t="str">
        <f t="shared" si="7"/>
        <v/>
      </c>
      <c r="F464" s="1">
        <f>Start_Daten!F464</f>
        <v>0</v>
      </c>
      <c r="G464" s="1">
        <f>Start_Daten!G464</f>
        <v>0</v>
      </c>
      <c r="H464">
        <f>Start_Daten!H464</f>
        <v>0</v>
      </c>
      <c r="I464">
        <f>Start_Daten!I464</f>
        <v>0</v>
      </c>
      <c r="J464">
        <f>Start_Daten!J464</f>
        <v>0</v>
      </c>
      <c r="K464">
        <f>Start_Daten!K464</f>
        <v>0</v>
      </c>
      <c r="L464">
        <f>Start_Daten!L464</f>
        <v>0</v>
      </c>
      <c r="M464">
        <f>Start_Daten!M464</f>
        <v>0</v>
      </c>
      <c r="N464">
        <f>Start_Daten!N464</f>
        <v>0</v>
      </c>
      <c r="O464" s="4">
        <f>Start_Daten!O464</f>
        <v>0</v>
      </c>
    </row>
    <row r="465" spans="1:15">
      <c r="A465" s="1">
        <v>463</v>
      </c>
      <c r="B465">
        <f>Start_Daten!B465</f>
        <v>0</v>
      </c>
      <c r="C465" s="2">
        <f>Start_Daten!C465</f>
        <v>0</v>
      </c>
      <c r="E465" s="3" t="str">
        <f t="shared" si="7"/>
        <v/>
      </c>
      <c r="F465" s="1">
        <f>Start_Daten!F465</f>
        <v>0</v>
      </c>
      <c r="G465" s="1">
        <f>Start_Daten!G465</f>
        <v>0</v>
      </c>
      <c r="H465">
        <f>Start_Daten!H465</f>
        <v>0</v>
      </c>
      <c r="I465">
        <f>Start_Daten!I465</f>
        <v>0</v>
      </c>
      <c r="J465">
        <f>Start_Daten!J465</f>
        <v>0</v>
      </c>
      <c r="K465">
        <f>Start_Daten!K465</f>
        <v>0</v>
      </c>
      <c r="L465">
        <f>Start_Daten!L465</f>
        <v>0</v>
      </c>
      <c r="M465">
        <f>Start_Daten!M465</f>
        <v>0</v>
      </c>
      <c r="N465">
        <f>Start_Daten!N465</f>
        <v>0</v>
      </c>
      <c r="O465" s="4">
        <f>Start_Daten!O465</f>
        <v>0</v>
      </c>
    </row>
    <row r="466" spans="1:15">
      <c r="A466" s="1">
        <v>464</v>
      </c>
      <c r="B466">
        <f>Start_Daten!B466</f>
        <v>0</v>
      </c>
      <c r="C466" s="2">
        <f>Start_Daten!C466</f>
        <v>0</v>
      </c>
      <c r="E466" s="3" t="str">
        <f t="shared" si="7"/>
        <v/>
      </c>
      <c r="F466" s="1">
        <f>Start_Daten!F466</f>
        <v>0</v>
      </c>
      <c r="G466" s="1">
        <f>Start_Daten!G466</f>
        <v>0</v>
      </c>
      <c r="H466">
        <f>Start_Daten!H466</f>
        <v>0</v>
      </c>
      <c r="I466">
        <f>Start_Daten!I466</f>
        <v>0</v>
      </c>
      <c r="J466">
        <f>Start_Daten!J466</f>
        <v>0</v>
      </c>
      <c r="K466">
        <f>Start_Daten!K466</f>
        <v>0</v>
      </c>
      <c r="L466">
        <f>Start_Daten!L466</f>
        <v>0</v>
      </c>
      <c r="M466">
        <f>Start_Daten!M466</f>
        <v>0</v>
      </c>
      <c r="N466">
        <f>Start_Daten!N466</f>
        <v>0</v>
      </c>
      <c r="O466" s="4">
        <f>Start_Daten!O466</f>
        <v>0</v>
      </c>
    </row>
    <row r="467" spans="1:15">
      <c r="A467" s="1">
        <v>465</v>
      </c>
      <c r="B467">
        <f>Start_Daten!B467</f>
        <v>0</v>
      </c>
      <c r="C467" s="2">
        <f>Start_Daten!C467</f>
        <v>0</v>
      </c>
      <c r="E467" s="3" t="str">
        <f t="shared" si="7"/>
        <v/>
      </c>
      <c r="F467" s="1">
        <f>Start_Daten!F467</f>
        <v>0</v>
      </c>
      <c r="G467" s="1">
        <f>Start_Daten!G467</f>
        <v>0</v>
      </c>
      <c r="H467">
        <f>Start_Daten!H467</f>
        <v>0</v>
      </c>
      <c r="I467">
        <f>Start_Daten!I467</f>
        <v>0</v>
      </c>
      <c r="J467">
        <f>Start_Daten!J467</f>
        <v>0</v>
      </c>
      <c r="K467">
        <f>Start_Daten!K467</f>
        <v>0</v>
      </c>
      <c r="L467">
        <f>Start_Daten!L467</f>
        <v>0</v>
      </c>
      <c r="M467">
        <f>Start_Daten!M467</f>
        <v>0</v>
      </c>
      <c r="N467">
        <f>Start_Daten!N467</f>
        <v>0</v>
      </c>
      <c r="O467" s="4">
        <f>Start_Daten!O467</f>
        <v>0</v>
      </c>
    </row>
    <row r="468" spans="1:15">
      <c r="A468" s="1">
        <v>466</v>
      </c>
      <c r="B468">
        <f>Start_Daten!B468</f>
        <v>0</v>
      </c>
      <c r="C468" s="2">
        <f>Start_Daten!C468</f>
        <v>0</v>
      </c>
      <c r="E468" s="3" t="str">
        <f t="shared" si="7"/>
        <v/>
      </c>
      <c r="F468" s="1">
        <f>Start_Daten!F468</f>
        <v>0</v>
      </c>
      <c r="G468" s="1">
        <f>Start_Daten!G468</f>
        <v>0</v>
      </c>
      <c r="H468">
        <f>Start_Daten!H468</f>
        <v>0</v>
      </c>
      <c r="I468">
        <f>Start_Daten!I468</f>
        <v>0</v>
      </c>
      <c r="J468">
        <f>Start_Daten!J468</f>
        <v>0</v>
      </c>
      <c r="K468">
        <f>Start_Daten!K468</f>
        <v>0</v>
      </c>
      <c r="L468">
        <f>Start_Daten!L468</f>
        <v>0</v>
      </c>
      <c r="M468">
        <f>Start_Daten!M468</f>
        <v>0</v>
      </c>
      <c r="N468">
        <f>Start_Daten!N468</f>
        <v>0</v>
      </c>
      <c r="O468" s="4">
        <f>Start_Daten!O468</f>
        <v>0</v>
      </c>
    </row>
    <row r="469" spans="1:15">
      <c r="A469" s="1">
        <v>467</v>
      </c>
      <c r="B469">
        <f>Start_Daten!B469</f>
        <v>0</v>
      </c>
      <c r="C469" s="2">
        <f>Start_Daten!C469</f>
        <v>0</v>
      </c>
      <c r="E469" s="3" t="str">
        <f t="shared" si="7"/>
        <v/>
      </c>
      <c r="F469" s="1">
        <f>Start_Daten!F469</f>
        <v>0</v>
      </c>
      <c r="G469" s="1">
        <f>Start_Daten!G469</f>
        <v>0</v>
      </c>
      <c r="H469">
        <f>Start_Daten!H469</f>
        <v>0</v>
      </c>
      <c r="I469">
        <f>Start_Daten!I469</f>
        <v>0</v>
      </c>
      <c r="J469">
        <f>Start_Daten!J469</f>
        <v>0</v>
      </c>
      <c r="K469">
        <f>Start_Daten!K469</f>
        <v>0</v>
      </c>
      <c r="L469">
        <f>Start_Daten!L469</f>
        <v>0</v>
      </c>
      <c r="M469">
        <f>Start_Daten!M469</f>
        <v>0</v>
      </c>
      <c r="N469">
        <f>Start_Daten!N469</f>
        <v>0</v>
      </c>
      <c r="O469" s="4">
        <f>Start_Daten!O469</f>
        <v>0</v>
      </c>
    </row>
    <row r="470" spans="1:15">
      <c r="A470" s="1">
        <v>468</v>
      </c>
      <c r="B470">
        <f>Start_Daten!B470</f>
        <v>0</v>
      </c>
      <c r="C470" s="2">
        <f>Start_Daten!C470</f>
        <v>0</v>
      </c>
      <c r="E470" s="3" t="str">
        <f t="shared" si="7"/>
        <v/>
      </c>
      <c r="F470" s="1">
        <f>Start_Daten!F470</f>
        <v>0</v>
      </c>
      <c r="G470" s="1">
        <f>Start_Daten!G470</f>
        <v>0</v>
      </c>
      <c r="H470">
        <f>Start_Daten!H470</f>
        <v>0</v>
      </c>
      <c r="I470">
        <f>Start_Daten!I470</f>
        <v>0</v>
      </c>
      <c r="J470">
        <f>Start_Daten!J470</f>
        <v>0</v>
      </c>
      <c r="K470">
        <f>Start_Daten!K470</f>
        <v>0</v>
      </c>
      <c r="L470">
        <f>Start_Daten!L470</f>
        <v>0</v>
      </c>
      <c r="M470">
        <f>Start_Daten!M470</f>
        <v>0</v>
      </c>
      <c r="N470">
        <f>Start_Daten!N470</f>
        <v>0</v>
      </c>
      <c r="O470" s="4">
        <f>Start_Daten!O470</f>
        <v>0</v>
      </c>
    </row>
    <row r="471" spans="1:15">
      <c r="A471" s="1">
        <v>469</v>
      </c>
      <c r="B471">
        <f>Start_Daten!B471</f>
        <v>0</v>
      </c>
      <c r="C471" s="2">
        <f>Start_Daten!C471</f>
        <v>0</v>
      </c>
      <c r="E471" s="3" t="str">
        <f t="shared" si="7"/>
        <v/>
      </c>
      <c r="F471" s="1">
        <f>Start_Daten!F471</f>
        <v>0</v>
      </c>
      <c r="G471" s="1">
        <f>Start_Daten!G471</f>
        <v>0</v>
      </c>
      <c r="H471">
        <f>Start_Daten!H471</f>
        <v>0</v>
      </c>
      <c r="I471">
        <f>Start_Daten!I471</f>
        <v>0</v>
      </c>
      <c r="J471">
        <f>Start_Daten!J471</f>
        <v>0</v>
      </c>
      <c r="K471">
        <f>Start_Daten!K471</f>
        <v>0</v>
      </c>
      <c r="L471">
        <f>Start_Daten!L471</f>
        <v>0</v>
      </c>
      <c r="M471">
        <f>Start_Daten!M471</f>
        <v>0</v>
      </c>
      <c r="N471">
        <f>Start_Daten!N471</f>
        <v>0</v>
      </c>
      <c r="O471" s="4">
        <f>Start_Daten!O471</f>
        <v>0</v>
      </c>
    </row>
    <row r="472" spans="1:15">
      <c r="A472" s="1">
        <v>470</v>
      </c>
      <c r="B472">
        <f>Start_Daten!B472</f>
        <v>0</v>
      </c>
      <c r="C472" s="2">
        <f>Start_Daten!C472</f>
        <v>0</v>
      </c>
      <c r="E472" s="3" t="str">
        <f t="shared" si="7"/>
        <v/>
      </c>
      <c r="F472" s="1">
        <f>Start_Daten!F472</f>
        <v>0</v>
      </c>
      <c r="G472" s="1">
        <f>Start_Daten!G472</f>
        <v>0</v>
      </c>
      <c r="H472">
        <f>Start_Daten!H472</f>
        <v>0</v>
      </c>
      <c r="I472">
        <f>Start_Daten!I472</f>
        <v>0</v>
      </c>
      <c r="J472">
        <f>Start_Daten!J472</f>
        <v>0</v>
      </c>
      <c r="K472">
        <f>Start_Daten!K472</f>
        <v>0</v>
      </c>
      <c r="L472">
        <f>Start_Daten!L472</f>
        <v>0</v>
      </c>
      <c r="M472">
        <f>Start_Daten!M472</f>
        <v>0</v>
      </c>
      <c r="N472">
        <f>Start_Daten!N472</f>
        <v>0</v>
      </c>
      <c r="O472" s="4">
        <f>Start_Daten!O472</f>
        <v>0</v>
      </c>
    </row>
    <row r="473" spans="1:15">
      <c r="A473" s="1">
        <v>471</v>
      </c>
      <c r="B473">
        <f>Start_Daten!B473</f>
        <v>0</v>
      </c>
      <c r="C473" s="2">
        <f>Start_Daten!C473</f>
        <v>0</v>
      </c>
      <c r="E473" s="3" t="str">
        <f t="shared" si="7"/>
        <v/>
      </c>
      <c r="F473" s="1">
        <f>Start_Daten!F473</f>
        <v>0</v>
      </c>
      <c r="G473" s="1">
        <f>Start_Daten!G473</f>
        <v>0</v>
      </c>
      <c r="H473">
        <f>Start_Daten!H473</f>
        <v>0</v>
      </c>
      <c r="I473">
        <f>Start_Daten!I473</f>
        <v>0</v>
      </c>
      <c r="J473">
        <f>Start_Daten!J473</f>
        <v>0</v>
      </c>
      <c r="K473">
        <f>Start_Daten!K473</f>
        <v>0</v>
      </c>
      <c r="L473">
        <f>Start_Daten!L473</f>
        <v>0</v>
      </c>
      <c r="M473">
        <f>Start_Daten!M473</f>
        <v>0</v>
      </c>
      <c r="N473">
        <f>Start_Daten!N473</f>
        <v>0</v>
      </c>
      <c r="O473" s="4">
        <f>Start_Daten!O473</f>
        <v>0</v>
      </c>
    </row>
    <row r="474" spans="1:15">
      <c r="A474" s="1">
        <v>472</v>
      </c>
      <c r="B474">
        <f>Start_Daten!B474</f>
        <v>0</v>
      </c>
      <c r="C474" s="2">
        <f>Start_Daten!C474</f>
        <v>0</v>
      </c>
      <c r="E474" s="3" t="str">
        <f t="shared" si="7"/>
        <v/>
      </c>
      <c r="F474" s="1">
        <f>Start_Daten!F474</f>
        <v>0</v>
      </c>
      <c r="G474" s="1">
        <f>Start_Daten!G474</f>
        <v>0</v>
      </c>
      <c r="H474">
        <f>Start_Daten!H474</f>
        <v>0</v>
      </c>
      <c r="I474">
        <f>Start_Daten!I474</f>
        <v>0</v>
      </c>
      <c r="J474">
        <f>Start_Daten!J474</f>
        <v>0</v>
      </c>
      <c r="K474">
        <f>Start_Daten!K474</f>
        <v>0</v>
      </c>
      <c r="L474">
        <f>Start_Daten!L474</f>
        <v>0</v>
      </c>
      <c r="M474">
        <f>Start_Daten!M474</f>
        <v>0</v>
      </c>
      <c r="N474">
        <f>Start_Daten!N474</f>
        <v>0</v>
      </c>
      <c r="O474" s="4">
        <f>Start_Daten!O474</f>
        <v>0</v>
      </c>
    </row>
    <row r="475" spans="1:15">
      <c r="A475" s="1">
        <v>473</v>
      </c>
      <c r="B475">
        <f>Start_Daten!B475</f>
        <v>0</v>
      </c>
      <c r="C475" s="2">
        <f>Start_Daten!C475</f>
        <v>0</v>
      </c>
      <c r="E475" s="3" t="str">
        <f t="shared" si="7"/>
        <v/>
      </c>
      <c r="F475" s="1">
        <f>Start_Daten!F475</f>
        <v>0</v>
      </c>
      <c r="G475" s="1">
        <f>Start_Daten!G475</f>
        <v>0</v>
      </c>
      <c r="H475">
        <f>Start_Daten!H475</f>
        <v>0</v>
      </c>
      <c r="I475">
        <f>Start_Daten!I475</f>
        <v>0</v>
      </c>
      <c r="J475">
        <f>Start_Daten!J475</f>
        <v>0</v>
      </c>
      <c r="K475">
        <f>Start_Daten!K475</f>
        <v>0</v>
      </c>
      <c r="L475">
        <f>Start_Daten!L475</f>
        <v>0</v>
      </c>
      <c r="M475">
        <f>Start_Daten!M475</f>
        <v>0</v>
      </c>
      <c r="N475">
        <f>Start_Daten!N475</f>
        <v>0</v>
      </c>
      <c r="O475" s="4">
        <f>Start_Daten!O475</f>
        <v>0</v>
      </c>
    </row>
    <row r="476" spans="1:15">
      <c r="A476" s="1">
        <v>474</v>
      </c>
      <c r="B476">
        <f>Start_Daten!B476</f>
        <v>0</v>
      </c>
      <c r="C476" s="2">
        <f>Start_Daten!C476</f>
        <v>0</v>
      </c>
      <c r="E476" s="3" t="str">
        <f t="shared" si="7"/>
        <v/>
      </c>
      <c r="F476" s="1">
        <f>Start_Daten!F476</f>
        <v>0</v>
      </c>
      <c r="G476" s="1">
        <f>Start_Daten!G476</f>
        <v>0</v>
      </c>
      <c r="H476">
        <f>Start_Daten!H476</f>
        <v>0</v>
      </c>
      <c r="I476">
        <f>Start_Daten!I476</f>
        <v>0</v>
      </c>
      <c r="J476">
        <f>Start_Daten!J476</f>
        <v>0</v>
      </c>
      <c r="K476">
        <f>Start_Daten!K476</f>
        <v>0</v>
      </c>
      <c r="L476">
        <f>Start_Daten!L476</f>
        <v>0</v>
      </c>
      <c r="M476">
        <f>Start_Daten!M476</f>
        <v>0</v>
      </c>
      <c r="N476">
        <f>Start_Daten!N476</f>
        <v>0</v>
      </c>
      <c r="O476" s="4">
        <f>Start_Daten!O476</f>
        <v>0</v>
      </c>
    </row>
    <row r="477" spans="1:15">
      <c r="A477" s="1">
        <v>475</v>
      </c>
      <c r="B477">
        <f>Start_Daten!B477</f>
        <v>0</v>
      </c>
      <c r="C477" s="2">
        <f>Start_Daten!C477</f>
        <v>0</v>
      </c>
      <c r="E477" s="3" t="str">
        <f t="shared" si="7"/>
        <v/>
      </c>
      <c r="F477" s="1">
        <f>Start_Daten!F477</f>
        <v>0</v>
      </c>
      <c r="G477" s="1">
        <f>Start_Daten!G477</f>
        <v>0</v>
      </c>
      <c r="H477">
        <f>Start_Daten!H477</f>
        <v>0</v>
      </c>
      <c r="I477">
        <f>Start_Daten!I477</f>
        <v>0</v>
      </c>
      <c r="J477">
        <f>Start_Daten!J477</f>
        <v>0</v>
      </c>
      <c r="K477">
        <f>Start_Daten!K477</f>
        <v>0</v>
      </c>
      <c r="L477">
        <f>Start_Daten!L477</f>
        <v>0</v>
      </c>
      <c r="M477">
        <f>Start_Daten!M477</f>
        <v>0</v>
      </c>
      <c r="N477">
        <f>Start_Daten!N477</f>
        <v>0</v>
      </c>
      <c r="O477" s="4">
        <f>Start_Daten!O477</f>
        <v>0</v>
      </c>
    </row>
    <row r="478" spans="1:15">
      <c r="A478" s="1">
        <v>476</v>
      </c>
      <c r="B478">
        <f>Start_Daten!B478</f>
        <v>0</v>
      </c>
      <c r="C478" s="2">
        <f>Start_Daten!C478</f>
        <v>0</v>
      </c>
      <c r="E478" s="3" t="str">
        <f t="shared" si="7"/>
        <v/>
      </c>
      <c r="F478" s="1">
        <f>Start_Daten!F478</f>
        <v>0</v>
      </c>
      <c r="G478" s="1">
        <f>Start_Daten!G478</f>
        <v>0</v>
      </c>
      <c r="H478">
        <f>Start_Daten!H478</f>
        <v>0</v>
      </c>
      <c r="I478">
        <f>Start_Daten!I478</f>
        <v>0</v>
      </c>
      <c r="J478">
        <f>Start_Daten!J478</f>
        <v>0</v>
      </c>
      <c r="K478">
        <f>Start_Daten!K478</f>
        <v>0</v>
      </c>
      <c r="L478">
        <f>Start_Daten!L478</f>
        <v>0</v>
      </c>
      <c r="M478">
        <f>Start_Daten!M478</f>
        <v>0</v>
      </c>
      <c r="N478">
        <f>Start_Daten!N478</f>
        <v>0</v>
      </c>
      <c r="O478" s="4">
        <f>Start_Daten!O478</f>
        <v>0</v>
      </c>
    </row>
    <row r="479" spans="1:15">
      <c r="A479" s="1">
        <v>477</v>
      </c>
      <c r="B479">
        <f>Start_Daten!B479</f>
        <v>0</v>
      </c>
      <c r="C479" s="2">
        <f>Start_Daten!C479</f>
        <v>0</v>
      </c>
      <c r="E479" s="3" t="str">
        <f t="shared" si="7"/>
        <v/>
      </c>
      <c r="F479" s="1">
        <f>Start_Daten!F479</f>
        <v>0</v>
      </c>
      <c r="G479" s="1">
        <f>Start_Daten!G479</f>
        <v>0</v>
      </c>
      <c r="H479">
        <f>Start_Daten!H479</f>
        <v>0</v>
      </c>
      <c r="I479">
        <f>Start_Daten!I479</f>
        <v>0</v>
      </c>
      <c r="J479">
        <f>Start_Daten!J479</f>
        <v>0</v>
      </c>
      <c r="K479">
        <f>Start_Daten!K479</f>
        <v>0</v>
      </c>
      <c r="L479">
        <f>Start_Daten!L479</f>
        <v>0</v>
      </c>
      <c r="M479">
        <f>Start_Daten!M479</f>
        <v>0</v>
      </c>
      <c r="N479">
        <f>Start_Daten!N479</f>
        <v>0</v>
      </c>
      <c r="O479" s="4">
        <f>Start_Daten!O479</f>
        <v>0</v>
      </c>
    </row>
    <row r="480" spans="1:15">
      <c r="A480" s="1">
        <v>478</v>
      </c>
      <c r="B480">
        <f>Start_Daten!B480</f>
        <v>0</v>
      </c>
      <c r="C480" s="2">
        <f>Start_Daten!C480</f>
        <v>0</v>
      </c>
      <c r="E480" s="3" t="str">
        <f t="shared" si="7"/>
        <v/>
      </c>
      <c r="F480" s="1">
        <f>Start_Daten!F480</f>
        <v>0</v>
      </c>
      <c r="G480" s="1">
        <f>Start_Daten!G480</f>
        <v>0</v>
      </c>
      <c r="H480">
        <f>Start_Daten!H480</f>
        <v>0</v>
      </c>
      <c r="I480">
        <f>Start_Daten!I480</f>
        <v>0</v>
      </c>
      <c r="J480">
        <f>Start_Daten!J480</f>
        <v>0</v>
      </c>
      <c r="K480">
        <f>Start_Daten!K480</f>
        <v>0</v>
      </c>
      <c r="L480">
        <f>Start_Daten!L480</f>
        <v>0</v>
      </c>
      <c r="M480">
        <f>Start_Daten!M480</f>
        <v>0</v>
      </c>
      <c r="N480">
        <f>Start_Daten!N480</f>
        <v>0</v>
      </c>
      <c r="O480" s="4">
        <f>Start_Daten!O480</f>
        <v>0</v>
      </c>
    </row>
    <row r="481" spans="1:15">
      <c r="A481" s="1">
        <v>479</v>
      </c>
      <c r="B481">
        <f>Start_Daten!B481</f>
        <v>0</v>
      </c>
      <c r="C481" s="2">
        <f>Start_Daten!C481</f>
        <v>0</v>
      </c>
      <c r="E481" s="3" t="str">
        <f t="shared" si="7"/>
        <v/>
      </c>
      <c r="F481" s="1">
        <f>Start_Daten!F481</f>
        <v>0</v>
      </c>
      <c r="G481" s="1">
        <f>Start_Daten!G481</f>
        <v>0</v>
      </c>
      <c r="H481">
        <f>Start_Daten!H481</f>
        <v>0</v>
      </c>
      <c r="I481">
        <f>Start_Daten!I481</f>
        <v>0</v>
      </c>
      <c r="J481">
        <f>Start_Daten!J481</f>
        <v>0</v>
      </c>
      <c r="K481">
        <f>Start_Daten!K481</f>
        <v>0</v>
      </c>
      <c r="L481">
        <f>Start_Daten!L481</f>
        <v>0</v>
      </c>
      <c r="M481">
        <f>Start_Daten!M481</f>
        <v>0</v>
      </c>
      <c r="N481">
        <f>Start_Daten!N481</f>
        <v>0</v>
      </c>
      <c r="O481" s="4">
        <f>Start_Daten!O481</f>
        <v>0</v>
      </c>
    </row>
    <row r="482" spans="1:15">
      <c r="A482" s="1">
        <v>480</v>
      </c>
      <c r="B482">
        <f>Start_Daten!B482</f>
        <v>0</v>
      </c>
      <c r="C482" s="2">
        <f>Start_Daten!C482</f>
        <v>0</v>
      </c>
      <c r="E482" s="3" t="str">
        <f t="shared" si="7"/>
        <v/>
      </c>
      <c r="F482" s="1">
        <f>Start_Daten!F482</f>
        <v>0</v>
      </c>
      <c r="G482" s="1">
        <f>Start_Daten!G482</f>
        <v>0</v>
      </c>
      <c r="H482">
        <f>Start_Daten!H482</f>
        <v>0</v>
      </c>
      <c r="I482">
        <f>Start_Daten!I482</f>
        <v>0</v>
      </c>
      <c r="J482">
        <f>Start_Daten!J482</f>
        <v>0</v>
      </c>
      <c r="K482">
        <f>Start_Daten!K482</f>
        <v>0</v>
      </c>
      <c r="L482">
        <f>Start_Daten!L482</f>
        <v>0</v>
      </c>
      <c r="M482">
        <f>Start_Daten!M482</f>
        <v>0</v>
      </c>
      <c r="N482">
        <f>Start_Daten!N482</f>
        <v>0</v>
      </c>
      <c r="O482" s="4">
        <f>Start_Daten!O482</f>
        <v>0</v>
      </c>
    </row>
    <row r="483" spans="1:15">
      <c r="A483" s="1">
        <v>481</v>
      </c>
      <c r="B483">
        <f>Start_Daten!B483</f>
        <v>0</v>
      </c>
      <c r="C483" s="2">
        <f>Start_Daten!C483</f>
        <v>0</v>
      </c>
      <c r="E483" s="3" t="str">
        <f t="shared" si="7"/>
        <v/>
      </c>
      <c r="F483" s="1">
        <f>Start_Daten!F483</f>
        <v>0</v>
      </c>
      <c r="G483" s="1">
        <f>Start_Daten!G483</f>
        <v>0</v>
      </c>
      <c r="H483">
        <f>Start_Daten!H483</f>
        <v>0</v>
      </c>
      <c r="I483">
        <f>Start_Daten!I483</f>
        <v>0</v>
      </c>
      <c r="J483">
        <f>Start_Daten!J483</f>
        <v>0</v>
      </c>
      <c r="K483">
        <f>Start_Daten!K483</f>
        <v>0</v>
      </c>
      <c r="L483">
        <f>Start_Daten!L483</f>
        <v>0</v>
      </c>
      <c r="M483">
        <f>Start_Daten!M483</f>
        <v>0</v>
      </c>
      <c r="N483">
        <f>Start_Daten!N483</f>
        <v>0</v>
      </c>
      <c r="O483" s="4">
        <f>Start_Daten!O483</f>
        <v>0</v>
      </c>
    </row>
    <row r="484" spans="1:15">
      <c r="A484" s="1">
        <v>482</v>
      </c>
      <c r="B484">
        <f>Start_Daten!B484</f>
        <v>0</v>
      </c>
      <c r="C484" s="2">
        <f>Start_Daten!C484</f>
        <v>0</v>
      </c>
      <c r="E484" s="3" t="str">
        <f t="shared" si="7"/>
        <v/>
      </c>
      <c r="F484" s="1">
        <f>Start_Daten!F484</f>
        <v>0</v>
      </c>
      <c r="G484" s="1">
        <f>Start_Daten!G484</f>
        <v>0</v>
      </c>
      <c r="H484">
        <f>Start_Daten!H484</f>
        <v>0</v>
      </c>
      <c r="I484">
        <f>Start_Daten!I484</f>
        <v>0</v>
      </c>
      <c r="J484">
        <f>Start_Daten!J484</f>
        <v>0</v>
      </c>
      <c r="K484">
        <f>Start_Daten!K484</f>
        <v>0</v>
      </c>
      <c r="L484">
        <f>Start_Daten!L484</f>
        <v>0</v>
      </c>
      <c r="M484">
        <f>Start_Daten!M484</f>
        <v>0</v>
      </c>
      <c r="N484">
        <f>Start_Daten!N484</f>
        <v>0</v>
      </c>
      <c r="O484" s="4">
        <f>Start_Daten!O484</f>
        <v>0</v>
      </c>
    </row>
    <row r="485" spans="1:15">
      <c r="A485" s="1">
        <v>483</v>
      </c>
      <c r="B485">
        <f>Start_Daten!B485</f>
        <v>0</v>
      </c>
      <c r="C485" s="2">
        <f>Start_Daten!C485</f>
        <v>0</v>
      </c>
      <c r="E485" s="3" t="str">
        <f t="shared" si="7"/>
        <v/>
      </c>
      <c r="F485" s="1">
        <f>Start_Daten!F485</f>
        <v>0</v>
      </c>
      <c r="G485" s="1">
        <f>Start_Daten!G485</f>
        <v>0</v>
      </c>
      <c r="H485">
        <f>Start_Daten!H485</f>
        <v>0</v>
      </c>
      <c r="I485">
        <f>Start_Daten!I485</f>
        <v>0</v>
      </c>
      <c r="J485">
        <f>Start_Daten!J485</f>
        <v>0</v>
      </c>
      <c r="K485">
        <f>Start_Daten!K485</f>
        <v>0</v>
      </c>
      <c r="L485">
        <f>Start_Daten!L485</f>
        <v>0</v>
      </c>
      <c r="M485">
        <f>Start_Daten!M485</f>
        <v>0</v>
      </c>
      <c r="N485">
        <f>Start_Daten!N485</f>
        <v>0</v>
      </c>
      <c r="O485" s="4">
        <f>Start_Daten!O485</f>
        <v>0</v>
      </c>
    </row>
    <row r="486" spans="1:15">
      <c r="A486" s="1">
        <v>484</v>
      </c>
      <c r="B486">
        <f>Start_Daten!B486</f>
        <v>0</v>
      </c>
      <c r="C486" s="2">
        <f>Start_Daten!C486</f>
        <v>0</v>
      </c>
      <c r="E486" s="3" t="str">
        <f t="shared" si="7"/>
        <v/>
      </c>
      <c r="F486" s="1">
        <f>Start_Daten!F486</f>
        <v>0</v>
      </c>
      <c r="G486" s="1">
        <f>Start_Daten!G486</f>
        <v>0</v>
      </c>
      <c r="H486">
        <f>Start_Daten!H486</f>
        <v>0</v>
      </c>
      <c r="I486">
        <f>Start_Daten!I486</f>
        <v>0</v>
      </c>
      <c r="J486">
        <f>Start_Daten!J486</f>
        <v>0</v>
      </c>
      <c r="K486">
        <f>Start_Daten!K486</f>
        <v>0</v>
      </c>
      <c r="L486">
        <f>Start_Daten!L486</f>
        <v>0</v>
      </c>
      <c r="M486">
        <f>Start_Daten!M486</f>
        <v>0</v>
      </c>
      <c r="N486">
        <f>Start_Daten!N486</f>
        <v>0</v>
      </c>
      <c r="O486" s="4">
        <f>Start_Daten!O486</f>
        <v>0</v>
      </c>
    </row>
    <row r="487" spans="1:15">
      <c r="A487" s="1">
        <v>485</v>
      </c>
      <c r="B487">
        <f>Start_Daten!B487</f>
        <v>0</v>
      </c>
      <c r="C487" s="2">
        <f>Start_Daten!C487</f>
        <v>0</v>
      </c>
      <c r="E487" s="3" t="str">
        <f t="shared" si="7"/>
        <v/>
      </c>
      <c r="F487" s="1">
        <f>Start_Daten!F487</f>
        <v>0</v>
      </c>
      <c r="G487" s="1">
        <f>Start_Daten!G487</f>
        <v>0</v>
      </c>
      <c r="H487">
        <f>Start_Daten!H487</f>
        <v>0</v>
      </c>
      <c r="I487">
        <f>Start_Daten!I487</f>
        <v>0</v>
      </c>
      <c r="J487">
        <f>Start_Daten!J487</f>
        <v>0</v>
      </c>
      <c r="K487">
        <f>Start_Daten!K487</f>
        <v>0</v>
      </c>
      <c r="L487">
        <f>Start_Daten!L487</f>
        <v>0</v>
      </c>
      <c r="M487">
        <f>Start_Daten!M487</f>
        <v>0</v>
      </c>
      <c r="N487">
        <f>Start_Daten!N487</f>
        <v>0</v>
      </c>
      <c r="O487" s="4">
        <f>Start_Daten!O487</f>
        <v>0</v>
      </c>
    </row>
    <row r="488" spans="1:15">
      <c r="A488" s="1">
        <v>486</v>
      </c>
      <c r="B488">
        <f>Start_Daten!B488</f>
        <v>0</v>
      </c>
      <c r="C488" s="2">
        <f>Start_Daten!C488</f>
        <v>0</v>
      </c>
      <c r="E488" s="3" t="str">
        <f t="shared" si="7"/>
        <v/>
      </c>
      <c r="F488" s="1">
        <f>Start_Daten!F488</f>
        <v>0</v>
      </c>
      <c r="G488" s="1">
        <f>Start_Daten!G488</f>
        <v>0</v>
      </c>
      <c r="H488">
        <f>Start_Daten!H488</f>
        <v>0</v>
      </c>
      <c r="I488">
        <f>Start_Daten!I488</f>
        <v>0</v>
      </c>
      <c r="J488">
        <f>Start_Daten!J488</f>
        <v>0</v>
      </c>
      <c r="K488">
        <f>Start_Daten!K488</f>
        <v>0</v>
      </c>
      <c r="L488">
        <f>Start_Daten!L488</f>
        <v>0</v>
      </c>
      <c r="M488">
        <f>Start_Daten!M488</f>
        <v>0</v>
      </c>
      <c r="N488">
        <f>Start_Daten!N488</f>
        <v>0</v>
      </c>
      <c r="O488" s="4">
        <f>Start_Daten!O488</f>
        <v>0</v>
      </c>
    </row>
    <row r="489" spans="1:15">
      <c r="A489" s="1">
        <v>487</v>
      </c>
      <c r="B489">
        <f>Start_Daten!B489</f>
        <v>0</v>
      </c>
      <c r="C489" s="2">
        <f>Start_Daten!C489</f>
        <v>0</v>
      </c>
      <c r="E489" s="3" t="str">
        <f t="shared" si="7"/>
        <v/>
      </c>
      <c r="F489" s="1">
        <f>Start_Daten!F489</f>
        <v>0</v>
      </c>
      <c r="G489" s="1">
        <f>Start_Daten!G489</f>
        <v>0</v>
      </c>
      <c r="H489">
        <f>Start_Daten!H489</f>
        <v>0</v>
      </c>
      <c r="I489">
        <f>Start_Daten!I489</f>
        <v>0</v>
      </c>
      <c r="J489">
        <f>Start_Daten!J489</f>
        <v>0</v>
      </c>
      <c r="K489">
        <f>Start_Daten!K489</f>
        <v>0</v>
      </c>
      <c r="L489">
        <f>Start_Daten!L489</f>
        <v>0</v>
      </c>
      <c r="M489">
        <f>Start_Daten!M489</f>
        <v>0</v>
      </c>
      <c r="N489">
        <f>Start_Daten!N489</f>
        <v>0</v>
      </c>
      <c r="O489" s="4">
        <f>Start_Daten!O489</f>
        <v>0</v>
      </c>
    </row>
    <row r="490" spans="1:15">
      <c r="A490" s="1">
        <v>488</v>
      </c>
      <c r="B490">
        <f>Start_Daten!B490</f>
        <v>0</v>
      </c>
      <c r="C490" s="2">
        <f>Start_Daten!C490</f>
        <v>0</v>
      </c>
      <c r="E490" s="3" t="str">
        <f t="shared" si="7"/>
        <v/>
      </c>
      <c r="F490" s="1">
        <f>Start_Daten!F490</f>
        <v>0</v>
      </c>
      <c r="G490" s="1">
        <f>Start_Daten!G490</f>
        <v>0</v>
      </c>
      <c r="H490">
        <f>Start_Daten!H490</f>
        <v>0</v>
      </c>
      <c r="I490">
        <f>Start_Daten!I490</f>
        <v>0</v>
      </c>
      <c r="J490">
        <f>Start_Daten!J490</f>
        <v>0</v>
      </c>
      <c r="K490">
        <f>Start_Daten!K490</f>
        <v>0</v>
      </c>
      <c r="L490">
        <f>Start_Daten!L490</f>
        <v>0</v>
      </c>
      <c r="M490">
        <f>Start_Daten!M490</f>
        <v>0</v>
      </c>
      <c r="N490">
        <f>Start_Daten!N490</f>
        <v>0</v>
      </c>
      <c r="O490" s="4">
        <f>Start_Daten!O490</f>
        <v>0</v>
      </c>
    </row>
    <row r="491" spans="1:15">
      <c r="A491" s="1">
        <v>489</v>
      </c>
      <c r="B491">
        <f>Start_Daten!B491</f>
        <v>0</v>
      </c>
      <c r="C491" s="2">
        <f>Start_Daten!C491</f>
        <v>0</v>
      </c>
      <c r="E491" s="3" t="str">
        <f t="shared" si="7"/>
        <v/>
      </c>
      <c r="F491" s="1">
        <f>Start_Daten!F491</f>
        <v>0</v>
      </c>
      <c r="G491" s="1">
        <f>Start_Daten!G491</f>
        <v>0</v>
      </c>
      <c r="H491">
        <f>Start_Daten!H491</f>
        <v>0</v>
      </c>
      <c r="I491">
        <f>Start_Daten!I491</f>
        <v>0</v>
      </c>
      <c r="J491">
        <f>Start_Daten!J491</f>
        <v>0</v>
      </c>
      <c r="K491">
        <f>Start_Daten!K491</f>
        <v>0</v>
      </c>
      <c r="L491">
        <f>Start_Daten!L491</f>
        <v>0</v>
      </c>
      <c r="M491">
        <f>Start_Daten!M491</f>
        <v>0</v>
      </c>
      <c r="N491">
        <f>Start_Daten!N491</f>
        <v>0</v>
      </c>
      <c r="O491" s="4">
        <f>Start_Daten!O491</f>
        <v>0</v>
      </c>
    </row>
    <row r="492" spans="1:15">
      <c r="A492" s="1">
        <v>490</v>
      </c>
      <c r="B492">
        <f>Start_Daten!B492</f>
        <v>0</v>
      </c>
      <c r="C492" s="2">
        <f>Start_Daten!C492</f>
        <v>0</v>
      </c>
      <c r="E492" s="3" t="str">
        <f t="shared" si="7"/>
        <v/>
      </c>
      <c r="F492" s="1">
        <f>Start_Daten!F492</f>
        <v>0</v>
      </c>
      <c r="G492" s="1">
        <f>Start_Daten!G492</f>
        <v>0</v>
      </c>
      <c r="H492">
        <f>Start_Daten!H492</f>
        <v>0</v>
      </c>
      <c r="I492">
        <f>Start_Daten!I492</f>
        <v>0</v>
      </c>
      <c r="J492">
        <f>Start_Daten!J492</f>
        <v>0</v>
      </c>
      <c r="K492">
        <f>Start_Daten!K492</f>
        <v>0</v>
      </c>
      <c r="L492">
        <f>Start_Daten!L492</f>
        <v>0</v>
      </c>
      <c r="M492">
        <f>Start_Daten!M492</f>
        <v>0</v>
      </c>
      <c r="N492">
        <f>Start_Daten!N492</f>
        <v>0</v>
      </c>
      <c r="O492" s="4">
        <f>Start_Daten!O492</f>
        <v>0</v>
      </c>
    </row>
    <row r="493" spans="1:15">
      <c r="A493" s="1">
        <v>491</v>
      </c>
      <c r="B493">
        <f>Start_Daten!B493</f>
        <v>0</v>
      </c>
      <c r="C493" s="2">
        <f>Start_Daten!C493</f>
        <v>0</v>
      </c>
      <c r="E493" s="3" t="str">
        <f t="shared" si="7"/>
        <v/>
      </c>
      <c r="F493" s="1">
        <f>Start_Daten!F493</f>
        <v>0</v>
      </c>
      <c r="G493" s="1">
        <f>Start_Daten!G493</f>
        <v>0</v>
      </c>
      <c r="H493">
        <f>Start_Daten!H493</f>
        <v>0</v>
      </c>
      <c r="I493">
        <f>Start_Daten!I493</f>
        <v>0</v>
      </c>
      <c r="J493">
        <f>Start_Daten!J493</f>
        <v>0</v>
      </c>
      <c r="K493">
        <f>Start_Daten!K493</f>
        <v>0</v>
      </c>
      <c r="L493">
        <f>Start_Daten!L493</f>
        <v>0</v>
      </c>
      <c r="M493">
        <f>Start_Daten!M493</f>
        <v>0</v>
      </c>
      <c r="N493">
        <f>Start_Daten!N493</f>
        <v>0</v>
      </c>
      <c r="O493" s="4">
        <f>Start_Daten!O493</f>
        <v>0</v>
      </c>
    </row>
    <row r="494" spans="1:15">
      <c r="A494" s="1">
        <v>492</v>
      </c>
      <c r="B494">
        <f>Start_Daten!B494</f>
        <v>0</v>
      </c>
      <c r="C494" s="2">
        <f>Start_Daten!C494</f>
        <v>0</v>
      </c>
      <c r="E494" s="3" t="str">
        <f t="shared" si="7"/>
        <v/>
      </c>
      <c r="F494" s="1">
        <f>Start_Daten!F494</f>
        <v>0</v>
      </c>
      <c r="G494" s="1">
        <f>Start_Daten!G494</f>
        <v>0</v>
      </c>
      <c r="H494">
        <f>Start_Daten!H494</f>
        <v>0</v>
      </c>
      <c r="I494">
        <f>Start_Daten!I494</f>
        <v>0</v>
      </c>
      <c r="J494">
        <f>Start_Daten!J494</f>
        <v>0</v>
      </c>
      <c r="K494">
        <f>Start_Daten!K494</f>
        <v>0</v>
      </c>
      <c r="L494">
        <f>Start_Daten!L494</f>
        <v>0</v>
      </c>
      <c r="M494">
        <f>Start_Daten!M494</f>
        <v>0</v>
      </c>
      <c r="N494">
        <f>Start_Daten!N494</f>
        <v>0</v>
      </c>
      <c r="O494" s="4">
        <f>Start_Daten!O494</f>
        <v>0</v>
      </c>
    </row>
    <row r="495" spans="1:15">
      <c r="A495" s="1">
        <v>493</v>
      </c>
      <c r="B495">
        <f>Start_Daten!B495</f>
        <v>0</v>
      </c>
      <c r="C495" s="2">
        <f>Start_Daten!C495</f>
        <v>0</v>
      </c>
      <c r="E495" s="3" t="str">
        <f t="shared" si="7"/>
        <v/>
      </c>
      <c r="F495" s="1">
        <f>Start_Daten!F495</f>
        <v>0</v>
      </c>
      <c r="G495" s="1">
        <f>Start_Daten!G495</f>
        <v>0</v>
      </c>
      <c r="H495">
        <f>Start_Daten!H495</f>
        <v>0</v>
      </c>
      <c r="I495">
        <f>Start_Daten!I495</f>
        <v>0</v>
      </c>
      <c r="J495">
        <f>Start_Daten!J495</f>
        <v>0</v>
      </c>
      <c r="K495">
        <f>Start_Daten!K495</f>
        <v>0</v>
      </c>
      <c r="L495">
        <f>Start_Daten!L495</f>
        <v>0</v>
      </c>
      <c r="M495">
        <f>Start_Daten!M495</f>
        <v>0</v>
      </c>
      <c r="N495">
        <f>Start_Daten!N495</f>
        <v>0</v>
      </c>
      <c r="O495" s="4">
        <f>Start_Daten!O495</f>
        <v>0</v>
      </c>
    </row>
    <row r="496" spans="1:15">
      <c r="A496" s="1">
        <v>494</v>
      </c>
      <c r="B496">
        <f>Start_Daten!B496</f>
        <v>0</v>
      </c>
      <c r="C496" s="2">
        <f>Start_Daten!C496</f>
        <v>0</v>
      </c>
      <c r="E496" s="3" t="str">
        <f t="shared" si="7"/>
        <v/>
      </c>
      <c r="F496" s="1">
        <f>Start_Daten!F496</f>
        <v>0</v>
      </c>
      <c r="G496" s="1">
        <f>Start_Daten!G496</f>
        <v>0</v>
      </c>
      <c r="H496">
        <f>Start_Daten!H496</f>
        <v>0</v>
      </c>
      <c r="I496">
        <f>Start_Daten!I496</f>
        <v>0</v>
      </c>
      <c r="J496">
        <f>Start_Daten!J496</f>
        <v>0</v>
      </c>
      <c r="K496">
        <f>Start_Daten!K496</f>
        <v>0</v>
      </c>
      <c r="L496">
        <f>Start_Daten!L496</f>
        <v>0</v>
      </c>
      <c r="M496">
        <f>Start_Daten!M496</f>
        <v>0</v>
      </c>
      <c r="N496">
        <f>Start_Daten!N496</f>
        <v>0</v>
      </c>
      <c r="O496" s="4">
        <f>Start_Daten!O496</f>
        <v>0</v>
      </c>
    </row>
    <row r="497" spans="1:15">
      <c r="A497" s="1">
        <v>495</v>
      </c>
      <c r="B497">
        <f>Start_Daten!B497</f>
        <v>0</v>
      </c>
      <c r="C497" s="2">
        <f>Start_Daten!C497</f>
        <v>0</v>
      </c>
      <c r="E497" s="3" t="str">
        <f t="shared" si="7"/>
        <v/>
      </c>
      <c r="F497" s="1">
        <f>Start_Daten!F497</f>
        <v>0</v>
      </c>
      <c r="G497" s="1">
        <f>Start_Daten!G497</f>
        <v>0</v>
      </c>
      <c r="H497">
        <f>Start_Daten!H497</f>
        <v>0</v>
      </c>
      <c r="I497">
        <f>Start_Daten!I497</f>
        <v>0</v>
      </c>
      <c r="J497">
        <f>Start_Daten!J497</f>
        <v>0</v>
      </c>
      <c r="K497">
        <f>Start_Daten!K497</f>
        <v>0</v>
      </c>
      <c r="L497">
        <f>Start_Daten!L497</f>
        <v>0</v>
      </c>
      <c r="M497">
        <f>Start_Daten!M497</f>
        <v>0</v>
      </c>
      <c r="N497">
        <f>Start_Daten!N497</f>
        <v>0</v>
      </c>
      <c r="O497" s="4">
        <f>Start_Daten!O497</f>
        <v>0</v>
      </c>
    </row>
    <row r="498" spans="1:15">
      <c r="A498" s="1">
        <v>496</v>
      </c>
      <c r="B498">
        <f>Start_Daten!B498</f>
        <v>0</v>
      </c>
      <c r="C498" s="2">
        <f>Start_Daten!C498</f>
        <v>0</v>
      </c>
      <c r="E498" s="3" t="str">
        <f t="shared" si="7"/>
        <v/>
      </c>
      <c r="F498" s="1">
        <f>Start_Daten!F498</f>
        <v>0</v>
      </c>
      <c r="G498" s="1">
        <f>Start_Daten!G498</f>
        <v>0</v>
      </c>
      <c r="H498">
        <f>Start_Daten!H498</f>
        <v>0</v>
      </c>
      <c r="I498">
        <f>Start_Daten!I498</f>
        <v>0</v>
      </c>
      <c r="J498">
        <f>Start_Daten!J498</f>
        <v>0</v>
      </c>
      <c r="K498">
        <f>Start_Daten!K498</f>
        <v>0</v>
      </c>
      <c r="L498">
        <f>Start_Daten!L498</f>
        <v>0</v>
      </c>
      <c r="M498">
        <f>Start_Daten!M498</f>
        <v>0</v>
      </c>
      <c r="N498">
        <f>Start_Daten!N498</f>
        <v>0</v>
      </c>
      <c r="O498" s="4">
        <f>Start_Daten!O498</f>
        <v>0</v>
      </c>
    </row>
    <row r="499" spans="1:15">
      <c r="A499" s="1">
        <v>497</v>
      </c>
      <c r="B499">
        <f>Start_Daten!B499</f>
        <v>0</v>
      </c>
      <c r="C499" s="2">
        <f>Start_Daten!C499</f>
        <v>0</v>
      </c>
      <c r="E499" s="3" t="str">
        <f t="shared" si="7"/>
        <v/>
      </c>
      <c r="F499" s="1">
        <f>Start_Daten!F499</f>
        <v>0</v>
      </c>
      <c r="G499" s="1">
        <f>Start_Daten!G499</f>
        <v>0</v>
      </c>
      <c r="H499">
        <f>Start_Daten!H499</f>
        <v>0</v>
      </c>
      <c r="I499">
        <f>Start_Daten!I499</f>
        <v>0</v>
      </c>
      <c r="J499">
        <f>Start_Daten!J499</f>
        <v>0</v>
      </c>
      <c r="K499">
        <f>Start_Daten!K499</f>
        <v>0</v>
      </c>
      <c r="L499">
        <f>Start_Daten!L499</f>
        <v>0</v>
      </c>
      <c r="M499">
        <f>Start_Daten!M499</f>
        <v>0</v>
      </c>
      <c r="N499">
        <f>Start_Daten!N499</f>
        <v>0</v>
      </c>
      <c r="O499" s="4">
        <f>Start_Daten!O499</f>
        <v>0</v>
      </c>
    </row>
    <row r="500" spans="1:15">
      <c r="A500" s="1">
        <v>498</v>
      </c>
      <c r="B500">
        <f>Start_Daten!B500</f>
        <v>0</v>
      </c>
      <c r="C500" s="2">
        <f>Start_Daten!C500</f>
        <v>0</v>
      </c>
      <c r="E500" s="3" t="str">
        <f t="shared" si="7"/>
        <v/>
      </c>
      <c r="F500" s="1">
        <f>Start_Daten!F500</f>
        <v>0</v>
      </c>
      <c r="G500" s="1">
        <f>Start_Daten!G500</f>
        <v>0</v>
      </c>
      <c r="H500">
        <f>Start_Daten!H500</f>
        <v>0</v>
      </c>
      <c r="I500">
        <f>Start_Daten!I500</f>
        <v>0</v>
      </c>
      <c r="J500">
        <f>Start_Daten!J500</f>
        <v>0</v>
      </c>
      <c r="K500">
        <f>Start_Daten!K500</f>
        <v>0</v>
      </c>
      <c r="L500">
        <f>Start_Daten!L500</f>
        <v>0</v>
      </c>
      <c r="M500">
        <f>Start_Daten!M500</f>
        <v>0</v>
      </c>
      <c r="N500">
        <f>Start_Daten!N500</f>
        <v>0</v>
      </c>
      <c r="O500" s="4">
        <f>Start_Daten!O500</f>
        <v>0</v>
      </c>
    </row>
  </sheetData>
  <customSheetViews>
    <customSheetView guid="{78B3A349-4A6A-4124-974B-C4B81C7019CD}" scale="75" showRuler="0">
      <selection activeCell="D7" sqref="D7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1"/>
      <headerFooter alignWithMargins="0"/>
    </customSheetView>
    <customSheetView guid="{F48999E8-45B5-4A7E-B3AF-FA7A59AA8144}" scale="75" showRuler="0">
      <selection activeCell="D7" sqref="D7"/>
      <rowBreaks count="1" manualBreakCount="1">
        <brk id="41" max="14" man="1"/>
      </rowBreaks>
      <colBreaks count="1" manualBreakCount="1">
        <brk id="6" max="1048575" man="1"/>
      </colBreaks>
      <pageMargins left="0.55118110236220474" right="0.55118110236220474" top="0.47244094488188981" bottom="0.51181102362204722" header="0.51181102362204722" footer="0.51181102362204722"/>
      <printOptions horizontalCentered="1" verticalCentered="1" gridLines="1"/>
      <pageSetup paperSize="9" scale="136" orientation="portrait" r:id="rId2"/>
      <headerFooter alignWithMargins="0"/>
    </customSheetView>
  </customSheetViews>
  <phoneticPr fontId="0" type="noConversion"/>
  <printOptions horizontalCentered="1" verticalCentered="1" gridLines="1"/>
  <pageMargins left="0.55118110236220474" right="0.55118110236220474" top="0.47244094488188981" bottom="0.51181102362204722" header="0.51181102362204722" footer="0.51181102362204722"/>
  <pageSetup paperSize="9" scale="136" orientation="portrait" r:id="rId3"/>
  <headerFooter alignWithMargins="0"/>
  <rowBreaks count="1" manualBreakCount="1">
    <brk id="41" max="14" man="1"/>
  </rowBreaks>
  <colBreaks count="1" manualBreakCount="1">
    <brk id="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L302"/>
  <sheetViews>
    <sheetView zoomScale="60" workbookViewId="0">
      <selection activeCell="F1" sqref="F1"/>
    </sheetView>
  </sheetViews>
  <sheetFormatPr baseColWidth="10" defaultRowHeight="12.75"/>
  <cols>
    <col min="1" max="1" width="6.140625" customWidth="1"/>
    <col min="2" max="2" width="21.85546875" customWidth="1"/>
    <col min="8" max="8" width="19" customWidth="1"/>
    <col min="10" max="10" width="24.85546875" style="20" customWidth="1"/>
    <col min="11" max="11" width="27.85546875" customWidth="1"/>
    <col min="12" max="12" width="27.5703125" customWidth="1"/>
  </cols>
  <sheetData>
    <row r="1" spans="1:12" s="16" customFormat="1" ht="15">
      <c r="A1" s="16" t="str">
        <f>all_data!A1</f>
        <v>Nr.</v>
      </c>
      <c r="B1" s="16" t="str">
        <f>all_data!B1</f>
        <v>SchiffsName</v>
      </c>
      <c r="C1" s="16" t="str">
        <f>all_data!C1</f>
        <v>mLS</v>
      </c>
      <c r="D1" s="16" t="str">
        <f>all_data!D1</f>
        <v>deadweight</v>
      </c>
      <c r="E1" s="16" t="str">
        <f>all_data!E1</f>
        <v>dw/mLS</v>
      </c>
      <c r="F1" s="16" t="str">
        <f>all_data!F1</f>
        <v>prediction</v>
      </c>
      <c r="H1" s="16" t="s">
        <v>8</v>
      </c>
      <c r="J1" s="19" t="s">
        <v>33</v>
      </c>
      <c r="K1" s="16" t="s">
        <v>34</v>
      </c>
      <c r="L1" s="16" t="s">
        <v>35</v>
      </c>
    </row>
    <row r="2" spans="1:12" s="16" customFormat="1" ht="15">
      <c r="C2" s="16" t="str">
        <f>all_data!C2</f>
        <v>[g]</v>
      </c>
      <c r="D2" s="16" t="str">
        <f>all_data!D2</f>
        <v>[g]</v>
      </c>
      <c r="E2" s="16" t="str">
        <f>all_data!E2</f>
        <v>[-]</v>
      </c>
      <c r="F2" s="16" t="str">
        <f>all_data!F2</f>
        <v>[g]</v>
      </c>
      <c r="J2" s="19"/>
    </row>
    <row r="3" spans="1:12">
      <c r="A3">
        <f>all_data!A58</f>
        <v>56</v>
      </c>
      <c r="B3" t="str">
        <f>IF(all_data!B58&gt;0,all_data!B58,"")</f>
        <v>Titanic II</v>
      </c>
      <c r="C3">
        <f>all_data!C58</f>
        <v>6.9</v>
      </c>
      <c r="D3">
        <f>all_data!D58</f>
        <v>9.9179999999999993</v>
      </c>
      <c r="E3">
        <f>all_data!E58</f>
        <v>1.4373913043478259</v>
      </c>
      <c r="F3">
        <f>all_data!F58</f>
        <v>500</v>
      </c>
      <c r="H3">
        <f t="shared" ref="H3:H66" si="0">IF(C3&lt;=10,D3,0)</f>
        <v>9.9179999999999993</v>
      </c>
      <c r="J3" s="20" t="str">
        <f t="shared" ref="J3:J66" si="1">IF(H3&gt;0,B3,"")</f>
        <v>Titanic II</v>
      </c>
      <c r="K3">
        <f t="shared" ref="K3:K66" si="2">IF(H3&gt;0,D3,"")</f>
        <v>9.9179999999999993</v>
      </c>
      <c r="L3">
        <f t="shared" ref="L3:L66" si="3">IF(H3&gt;0,F3,"")</f>
        <v>500</v>
      </c>
    </row>
    <row r="4" spans="1:12">
      <c r="A4">
        <f>all_data!A28</f>
        <v>26</v>
      </c>
      <c r="B4" t="str">
        <f>IF(all_data!B28&gt;0,all_data!B28,"")</f>
        <v>Little Nemo</v>
      </c>
      <c r="C4">
        <f>all_data!C28</f>
        <v>9.6999999999999993</v>
      </c>
      <c r="D4">
        <f>all_data!D28</f>
        <v>9.26</v>
      </c>
      <c r="E4">
        <f>all_data!E28</f>
        <v>0.95463917525773201</v>
      </c>
      <c r="F4">
        <f>all_data!F28</f>
        <v>1</v>
      </c>
      <c r="H4">
        <f t="shared" si="0"/>
        <v>9.26</v>
      </c>
      <c r="J4" s="20" t="str">
        <f t="shared" si="1"/>
        <v>Little Nemo</v>
      </c>
      <c r="K4">
        <f t="shared" si="2"/>
        <v>9.26</v>
      </c>
      <c r="L4">
        <f t="shared" si="3"/>
        <v>1</v>
      </c>
    </row>
    <row r="5" spans="1:12">
      <c r="A5">
        <f>all_data!A49</f>
        <v>47</v>
      </c>
      <c r="B5" t="str">
        <f>IF(all_data!B49&gt;0,all_data!B49,"")</f>
        <v>Hong Nga 1</v>
      </c>
      <c r="C5">
        <f>all_data!C49</f>
        <v>7</v>
      </c>
      <c r="D5">
        <f>all_data!D49</f>
        <v>6.165</v>
      </c>
      <c r="E5">
        <f>all_data!E49</f>
        <v>0.88071428571428567</v>
      </c>
      <c r="F5">
        <f>all_data!F49</f>
        <v>200</v>
      </c>
      <c r="H5">
        <f t="shared" si="0"/>
        <v>6.165</v>
      </c>
      <c r="J5" s="20" t="str">
        <f t="shared" si="1"/>
        <v>Hong Nga 1</v>
      </c>
      <c r="K5">
        <f t="shared" si="2"/>
        <v>6.165</v>
      </c>
      <c r="L5">
        <f t="shared" si="3"/>
        <v>200</v>
      </c>
    </row>
    <row r="6" spans="1:12">
      <c r="A6">
        <f>all_data!A55</f>
        <v>53</v>
      </c>
      <c r="B6" t="str">
        <f>IF(all_data!B55&gt;0,all_data!B55,"")</f>
        <v>Skipper</v>
      </c>
      <c r="C6">
        <f>all_data!C55</f>
        <v>9.1999999999999993</v>
      </c>
      <c r="D6">
        <f>all_data!D55</f>
        <v>3.5619999999999998</v>
      </c>
      <c r="E6">
        <f>all_data!E55</f>
        <v>0.38717391304347826</v>
      </c>
      <c r="F6">
        <f>all_data!F55</f>
        <v>350</v>
      </c>
      <c r="H6">
        <f t="shared" si="0"/>
        <v>3.5619999999999998</v>
      </c>
      <c r="J6" s="20" t="str">
        <f t="shared" si="1"/>
        <v>Skipper</v>
      </c>
      <c r="K6">
        <f t="shared" si="2"/>
        <v>3.5619999999999998</v>
      </c>
      <c r="L6">
        <f t="shared" si="3"/>
        <v>350</v>
      </c>
    </row>
    <row r="7" spans="1:12">
      <c r="A7">
        <f>all_data!A40</f>
        <v>38</v>
      </c>
      <c r="B7" t="str">
        <f>IF(all_data!B40&gt;0,all_data!B40,"")</f>
        <v>Solida</v>
      </c>
      <c r="C7">
        <f>all_data!C40</f>
        <v>9.9</v>
      </c>
      <c r="D7">
        <f>all_data!D40</f>
        <v>0</v>
      </c>
      <c r="E7">
        <f>all_data!E40</f>
        <v>0</v>
      </c>
      <c r="F7">
        <f>all_data!F40</f>
        <v>1</v>
      </c>
      <c r="H7">
        <f t="shared" si="0"/>
        <v>0</v>
      </c>
      <c r="J7" s="20" t="str">
        <f t="shared" si="1"/>
        <v/>
      </c>
      <c r="K7" t="str">
        <f t="shared" si="2"/>
        <v/>
      </c>
      <c r="L7" t="str">
        <f t="shared" si="3"/>
        <v/>
      </c>
    </row>
    <row r="8" spans="1:12">
      <c r="A8">
        <f>all_data!A118</f>
        <v>116</v>
      </c>
      <c r="B8" t="str">
        <f>IF(all_data!B118&gt;0,all_data!B118,"")</f>
        <v>Moritz</v>
      </c>
      <c r="C8">
        <f>all_data!C118</f>
        <v>10</v>
      </c>
      <c r="D8">
        <f>all_data!D118</f>
        <v>0</v>
      </c>
      <c r="E8">
        <f>all_data!E118</f>
        <v>0</v>
      </c>
      <c r="F8">
        <f>all_data!F118</f>
        <v>2000</v>
      </c>
      <c r="H8">
        <f t="shared" si="0"/>
        <v>0</v>
      </c>
      <c r="J8" s="20" t="str">
        <f t="shared" si="1"/>
        <v/>
      </c>
      <c r="K8" t="str">
        <f t="shared" si="2"/>
        <v/>
      </c>
      <c r="L8" t="str">
        <f t="shared" si="3"/>
        <v/>
      </c>
    </row>
    <row r="9" spans="1:12">
      <c r="A9">
        <f>all_data!A121</f>
        <v>119</v>
      </c>
      <c r="B9" t="str">
        <f>IF(all_data!B121&gt;0,all_data!B121,"")</f>
        <v>Top</v>
      </c>
      <c r="C9">
        <f>all_data!C121</f>
        <v>9.5</v>
      </c>
      <c r="D9">
        <f>all_data!D121</f>
        <v>0</v>
      </c>
      <c r="E9">
        <f>all_data!E121</f>
        <v>0</v>
      </c>
      <c r="F9">
        <f>all_data!F121</f>
        <v>2000</v>
      </c>
      <c r="H9">
        <f t="shared" si="0"/>
        <v>0</v>
      </c>
      <c r="J9" s="20" t="str">
        <f t="shared" si="1"/>
        <v/>
      </c>
      <c r="K9" t="str">
        <f t="shared" si="2"/>
        <v/>
      </c>
      <c r="L9" t="str">
        <f t="shared" si="3"/>
        <v/>
      </c>
    </row>
    <row r="10" spans="1:12">
      <c r="A10">
        <f>all_data!A117</f>
        <v>115</v>
      </c>
      <c r="B10" t="str">
        <f>IF(all_data!B117&gt;0,all_data!B117,"")</f>
        <v>Max</v>
      </c>
      <c r="C10">
        <f>all_data!C117</f>
        <v>8.6</v>
      </c>
      <c r="D10">
        <f>all_data!D117</f>
        <v>0</v>
      </c>
      <c r="E10">
        <f>all_data!E117</f>
        <v>0</v>
      </c>
      <c r="F10">
        <f>all_data!F117</f>
        <v>2000</v>
      </c>
      <c r="H10">
        <f t="shared" si="0"/>
        <v>0</v>
      </c>
      <c r="J10" s="20" t="str">
        <f t="shared" si="1"/>
        <v/>
      </c>
      <c r="K10" t="str">
        <f t="shared" si="2"/>
        <v/>
      </c>
      <c r="L10" t="str">
        <f t="shared" si="3"/>
        <v/>
      </c>
    </row>
    <row r="11" spans="1:12">
      <c r="A11">
        <f>all_data!A76</f>
        <v>74</v>
      </c>
      <c r="B11" t="str">
        <f>IF(all_data!B76&gt;0,all_data!B76,"")</f>
        <v>Bismarck I</v>
      </c>
      <c r="C11">
        <f>all_data!C76</f>
        <v>9.9</v>
      </c>
      <c r="D11">
        <f>all_data!D76</f>
        <v>0</v>
      </c>
      <c r="E11">
        <f>all_data!E76</f>
        <v>0</v>
      </c>
      <c r="F11">
        <f>all_data!F76</f>
        <v>1000</v>
      </c>
      <c r="H11">
        <f t="shared" si="0"/>
        <v>0</v>
      </c>
      <c r="J11" s="20" t="str">
        <f t="shared" si="1"/>
        <v/>
      </c>
      <c r="K11" t="str">
        <f t="shared" si="2"/>
        <v/>
      </c>
      <c r="L11" t="str">
        <f t="shared" si="3"/>
        <v/>
      </c>
    </row>
    <row r="12" spans="1:12">
      <c r="A12">
        <f>all_data!A125</f>
        <v>123</v>
      </c>
      <c r="B12" t="str">
        <f>IF(all_data!B125&gt;0,all_data!B125,"")</f>
        <v>Zum Schößchen</v>
      </c>
      <c r="C12">
        <f>all_data!C125</f>
        <v>8.6999999999999993</v>
      </c>
      <c r="D12">
        <f>all_data!D125</f>
        <v>0</v>
      </c>
      <c r="E12">
        <f>all_data!E125</f>
        <v>0</v>
      </c>
      <c r="F12">
        <f>all_data!F125</f>
        <v>2000</v>
      </c>
      <c r="H12">
        <f t="shared" si="0"/>
        <v>0</v>
      </c>
      <c r="J12" s="20" t="str">
        <f t="shared" si="1"/>
        <v/>
      </c>
      <c r="K12" t="str">
        <f t="shared" si="2"/>
        <v/>
      </c>
      <c r="L12" t="str">
        <f t="shared" si="3"/>
        <v/>
      </c>
    </row>
    <row r="13" spans="1:12">
      <c r="A13">
        <f>all_data!A126</f>
        <v>124</v>
      </c>
      <c r="B13" t="str">
        <f>IF(all_data!B126&gt;0,all_data!B126,"")</f>
        <v>Neptun</v>
      </c>
      <c r="C13">
        <f>all_data!C126</f>
        <v>10</v>
      </c>
      <c r="D13">
        <f>all_data!D126</f>
        <v>0</v>
      </c>
      <c r="E13">
        <f>all_data!E126</f>
        <v>0</v>
      </c>
      <c r="F13">
        <f>all_data!F126</f>
        <v>2100</v>
      </c>
      <c r="H13">
        <f t="shared" si="0"/>
        <v>0</v>
      </c>
      <c r="J13" s="20" t="str">
        <f t="shared" si="1"/>
        <v/>
      </c>
      <c r="K13" t="str">
        <f t="shared" si="2"/>
        <v/>
      </c>
      <c r="L13" t="str">
        <f t="shared" si="3"/>
        <v/>
      </c>
    </row>
    <row r="14" spans="1:12">
      <c r="A14">
        <f>all_data!A77</f>
        <v>75</v>
      </c>
      <c r="B14" t="str">
        <f>IF(all_data!B77&gt;0,all_data!B77,"")</f>
        <v>Bismark III</v>
      </c>
      <c r="C14">
        <f>all_data!C77</f>
        <v>9.5</v>
      </c>
      <c r="D14">
        <f>all_data!D77</f>
        <v>0</v>
      </c>
      <c r="E14">
        <f>all_data!E77</f>
        <v>0</v>
      </c>
      <c r="F14">
        <f>all_data!F77</f>
        <v>1000</v>
      </c>
      <c r="H14">
        <f t="shared" si="0"/>
        <v>0</v>
      </c>
      <c r="J14" s="20" t="str">
        <f t="shared" si="1"/>
        <v/>
      </c>
      <c r="K14" t="str">
        <f t="shared" si="2"/>
        <v/>
      </c>
      <c r="L14" t="str">
        <f t="shared" si="3"/>
        <v/>
      </c>
    </row>
    <row r="15" spans="1:12">
      <c r="A15">
        <f>all_data!A105</f>
        <v>103</v>
      </c>
      <c r="B15" t="str">
        <f>IF(all_data!B105&gt;0,all_data!B105,"")</f>
        <v>Octopussy</v>
      </c>
      <c r="C15">
        <f>all_data!C105</f>
        <v>9.8000000000000007</v>
      </c>
      <c r="D15">
        <f>all_data!D105</f>
        <v>0</v>
      </c>
      <c r="E15">
        <f>all_data!E105</f>
        <v>0</v>
      </c>
      <c r="F15">
        <f>all_data!F105</f>
        <v>1673</v>
      </c>
      <c r="H15">
        <f t="shared" si="0"/>
        <v>0</v>
      </c>
      <c r="J15" s="20" t="str">
        <f t="shared" si="1"/>
        <v/>
      </c>
      <c r="K15" t="str">
        <f t="shared" si="2"/>
        <v/>
      </c>
      <c r="L15" t="str">
        <f t="shared" si="3"/>
        <v/>
      </c>
    </row>
    <row r="16" spans="1:12">
      <c r="A16">
        <f>all_data!A113</f>
        <v>111</v>
      </c>
      <c r="B16" t="str">
        <f>IF(all_data!B113&gt;0,all_data!B113,"")</f>
        <v>Expendable</v>
      </c>
      <c r="C16">
        <f>all_data!C113</f>
        <v>9.6999999999999993</v>
      </c>
      <c r="D16">
        <f>all_data!D113</f>
        <v>0</v>
      </c>
      <c r="E16">
        <f>all_data!E113</f>
        <v>0</v>
      </c>
      <c r="F16">
        <f>all_data!F113</f>
        <v>2000</v>
      </c>
      <c r="H16">
        <f t="shared" si="0"/>
        <v>0</v>
      </c>
      <c r="J16" s="20" t="str">
        <f t="shared" si="1"/>
        <v/>
      </c>
      <c r="K16" t="str">
        <f t="shared" si="2"/>
        <v/>
      </c>
      <c r="L16" t="str">
        <f t="shared" si="3"/>
        <v/>
      </c>
    </row>
    <row r="17" spans="1:12">
      <c r="A17">
        <f>all_data!A102</f>
        <v>100</v>
      </c>
      <c r="B17" t="str">
        <f>IF(all_data!B102&gt;0,all_data!B102,"")</f>
        <v>Planktonium</v>
      </c>
      <c r="C17">
        <f>all_data!C102</f>
        <v>8.3000000000000007</v>
      </c>
      <c r="D17">
        <f>all_data!D102</f>
        <v>0</v>
      </c>
      <c r="E17">
        <f>all_data!E102</f>
        <v>0</v>
      </c>
      <c r="F17">
        <f>all_data!F102</f>
        <v>1500</v>
      </c>
      <c r="H17">
        <f t="shared" si="0"/>
        <v>0</v>
      </c>
      <c r="J17" s="20" t="str">
        <f t="shared" si="1"/>
        <v/>
      </c>
      <c r="K17" t="str">
        <f t="shared" si="2"/>
        <v/>
      </c>
      <c r="L17" t="str">
        <f t="shared" si="3"/>
        <v/>
      </c>
    </row>
    <row r="18" spans="1:12">
      <c r="A18">
        <f>all_data!A104</f>
        <v>102</v>
      </c>
      <c r="B18" t="str">
        <f>IF(all_data!B104&gt;0,all_data!B104,"")</f>
        <v>HMS Maretania</v>
      </c>
      <c r="C18">
        <f>all_data!C104</f>
        <v>9.9</v>
      </c>
      <c r="D18">
        <f>all_data!D104</f>
        <v>0</v>
      </c>
      <c r="E18">
        <f>all_data!E104</f>
        <v>0</v>
      </c>
      <c r="F18">
        <f>all_data!F104</f>
        <v>1600</v>
      </c>
      <c r="H18">
        <f t="shared" si="0"/>
        <v>0</v>
      </c>
      <c r="J18" s="20" t="str">
        <f t="shared" si="1"/>
        <v/>
      </c>
      <c r="K18" t="str">
        <f t="shared" si="2"/>
        <v/>
      </c>
      <c r="L18" t="str">
        <f t="shared" si="3"/>
        <v/>
      </c>
    </row>
    <row r="19" spans="1:12">
      <c r="A19">
        <f>all_data!A106</f>
        <v>104</v>
      </c>
      <c r="B19" t="str">
        <f>IF(all_data!B106&gt;0,all_data!B106,"")</f>
        <v>MS. Evalt</v>
      </c>
      <c r="C19">
        <f>all_data!C106</f>
        <v>9.6999999999999993</v>
      </c>
      <c r="D19">
        <f>all_data!D106</f>
        <v>0</v>
      </c>
      <c r="E19">
        <f>all_data!E106</f>
        <v>0</v>
      </c>
      <c r="F19">
        <f>all_data!F106</f>
        <v>1700</v>
      </c>
      <c r="H19">
        <f t="shared" si="0"/>
        <v>0</v>
      </c>
      <c r="J19" s="20" t="str">
        <f t="shared" si="1"/>
        <v/>
      </c>
      <c r="K19" t="str">
        <f t="shared" si="2"/>
        <v/>
      </c>
      <c r="L19" t="str">
        <f t="shared" si="3"/>
        <v/>
      </c>
    </row>
    <row r="20" spans="1:12">
      <c r="A20">
        <f>all_data!A124</f>
        <v>122</v>
      </c>
      <c r="B20" t="str">
        <f>IF(all_data!B124&gt;0,all_data!B124,"")</f>
        <v>Zum Schluss</v>
      </c>
      <c r="C20">
        <f>all_data!C124</f>
        <v>9.8000000000000007</v>
      </c>
      <c r="D20">
        <f>all_data!D124</f>
        <v>0</v>
      </c>
      <c r="E20">
        <f>all_data!E124</f>
        <v>0</v>
      </c>
      <c r="F20">
        <f>all_data!F124</f>
        <v>2000</v>
      </c>
      <c r="H20">
        <f t="shared" si="0"/>
        <v>0</v>
      </c>
      <c r="J20" s="20" t="str">
        <f t="shared" si="1"/>
        <v/>
      </c>
      <c r="K20" t="str">
        <f t="shared" si="2"/>
        <v/>
      </c>
      <c r="L20" t="str">
        <f t="shared" si="3"/>
        <v/>
      </c>
    </row>
    <row r="21" spans="1:12">
      <c r="A21">
        <f>all_data!A112</f>
        <v>110</v>
      </c>
      <c r="B21" t="str">
        <f>IF(all_data!B112&gt;0,all_data!B112,"")</f>
        <v>BINKS</v>
      </c>
      <c r="C21">
        <f>all_data!C112</f>
        <v>9.6</v>
      </c>
      <c r="D21">
        <f>all_data!D112</f>
        <v>0</v>
      </c>
      <c r="E21">
        <f>all_data!E112</f>
        <v>0</v>
      </c>
      <c r="F21">
        <f>all_data!F112</f>
        <v>2000</v>
      </c>
      <c r="H21">
        <f t="shared" si="0"/>
        <v>0</v>
      </c>
      <c r="J21" s="20" t="str">
        <f t="shared" si="1"/>
        <v/>
      </c>
      <c r="K21" t="str">
        <f t="shared" si="2"/>
        <v/>
      </c>
      <c r="L21" t="str">
        <f t="shared" si="3"/>
        <v/>
      </c>
    </row>
    <row r="22" spans="1:12">
      <c r="A22">
        <f>all_data!A131</f>
        <v>129</v>
      </c>
      <c r="B22" t="str">
        <f>IF(all_data!B131&gt;0,all_data!B131,"")</f>
        <v>Jonas</v>
      </c>
      <c r="C22">
        <f>all_data!C131</f>
        <v>9.4</v>
      </c>
      <c r="D22">
        <f>all_data!D131</f>
        <v>0</v>
      </c>
      <c r="E22">
        <f>all_data!E131</f>
        <v>0</v>
      </c>
      <c r="F22">
        <f>all_data!F131</f>
        <v>2700</v>
      </c>
      <c r="H22">
        <f t="shared" si="0"/>
        <v>0</v>
      </c>
      <c r="J22" s="20" t="str">
        <f t="shared" si="1"/>
        <v/>
      </c>
      <c r="K22" t="str">
        <f t="shared" si="2"/>
        <v/>
      </c>
      <c r="L22" t="str">
        <f t="shared" si="3"/>
        <v/>
      </c>
    </row>
    <row r="23" spans="1:12">
      <c r="A23">
        <f>all_data!A130</f>
        <v>128</v>
      </c>
      <c r="B23" t="str">
        <f>IF(all_data!B130&gt;0,all_data!B130,"")</f>
        <v>PB10</v>
      </c>
      <c r="C23">
        <f>all_data!C130</f>
        <v>9.8000000000000007</v>
      </c>
      <c r="D23">
        <f>all_data!D130</f>
        <v>0</v>
      </c>
      <c r="E23">
        <f>all_data!E130</f>
        <v>0</v>
      </c>
      <c r="F23">
        <f>all_data!F130</f>
        <v>2500</v>
      </c>
      <c r="H23">
        <f t="shared" si="0"/>
        <v>0</v>
      </c>
      <c r="J23" s="20" t="str">
        <f t="shared" si="1"/>
        <v/>
      </c>
      <c r="K23" t="str">
        <f t="shared" si="2"/>
        <v/>
      </c>
      <c r="L23" t="str">
        <f t="shared" si="3"/>
        <v/>
      </c>
    </row>
    <row r="24" spans="1:12">
      <c r="A24">
        <f>all_data!A134</f>
        <v>132</v>
      </c>
      <c r="B24" t="str">
        <f>IF(all_data!B134&gt;0,all_data!B134,"")</f>
        <v>PB02</v>
      </c>
      <c r="C24">
        <f>all_data!C134</f>
        <v>10</v>
      </c>
      <c r="D24">
        <f>all_data!D134</f>
        <v>0</v>
      </c>
      <c r="E24">
        <f>all_data!E134</f>
        <v>0</v>
      </c>
      <c r="F24">
        <f>all_data!F134</f>
        <v>3200</v>
      </c>
      <c r="H24">
        <f t="shared" si="0"/>
        <v>0</v>
      </c>
      <c r="J24" s="20" t="str">
        <f t="shared" si="1"/>
        <v/>
      </c>
      <c r="K24" t="str">
        <f t="shared" si="2"/>
        <v/>
      </c>
      <c r="L24" t="str">
        <f t="shared" si="3"/>
        <v/>
      </c>
    </row>
    <row r="25" spans="1:12">
      <c r="A25">
        <f>all_data!A107</f>
        <v>105</v>
      </c>
      <c r="B25" t="str">
        <f>IF(all_data!B107&gt;0,all_data!B107,"")</f>
        <v>Weisse Rose</v>
      </c>
      <c r="C25">
        <f>all_data!C107</f>
        <v>9.6999999999999993</v>
      </c>
      <c r="D25">
        <f>all_data!D107</f>
        <v>0</v>
      </c>
      <c r="E25">
        <f>all_data!E107</f>
        <v>0</v>
      </c>
      <c r="F25">
        <f>all_data!F107</f>
        <v>1700</v>
      </c>
      <c r="H25">
        <f t="shared" si="0"/>
        <v>0</v>
      </c>
      <c r="J25" s="20" t="str">
        <f t="shared" si="1"/>
        <v/>
      </c>
      <c r="K25" t="str">
        <f t="shared" si="2"/>
        <v/>
      </c>
      <c r="L25" t="str">
        <f t="shared" si="3"/>
        <v/>
      </c>
    </row>
    <row r="26" spans="1:12">
      <c r="A26">
        <f>all_data!A51</f>
        <v>49</v>
      </c>
      <c r="B26" t="str">
        <f>IF(all_data!B51&gt;0,all_data!B51,"")</f>
        <v>stabil</v>
      </c>
      <c r="C26">
        <f>all_data!C51</f>
        <v>8.9</v>
      </c>
      <c r="D26">
        <f>all_data!D51</f>
        <v>0</v>
      </c>
      <c r="E26">
        <f>all_data!E51</f>
        <v>0</v>
      </c>
      <c r="F26">
        <f>all_data!F51</f>
        <v>200</v>
      </c>
      <c r="H26">
        <f t="shared" si="0"/>
        <v>0</v>
      </c>
      <c r="J26" s="20" t="str">
        <f t="shared" si="1"/>
        <v/>
      </c>
      <c r="K26" t="str">
        <f t="shared" si="2"/>
        <v/>
      </c>
      <c r="L26" t="str">
        <f t="shared" si="3"/>
        <v/>
      </c>
    </row>
    <row r="27" spans="1:12">
      <c r="A27">
        <f>all_data!A100</f>
        <v>98</v>
      </c>
      <c r="B27" t="str">
        <f>IF(all_data!B100&gt;0,all_data!B100,"")</f>
        <v>You Oush</v>
      </c>
      <c r="C27">
        <f>all_data!C100</f>
        <v>9.5</v>
      </c>
      <c r="D27">
        <f>all_data!D100</f>
        <v>0</v>
      </c>
      <c r="E27">
        <f>all_data!E100</f>
        <v>0</v>
      </c>
      <c r="F27">
        <f>all_data!F100</f>
        <v>1400</v>
      </c>
      <c r="H27">
        <f t="shared" si="0"/>
        <v>0</v>
      </c>
      <c r="J27" s="20" t="str">
        <f t="shared" si="1"/>
        <v/>
      </c>
      <c r="K27" t="str">
        <f t="shared" si="2"/>
        <v/>
      </c>
      <c r="L27" t="str">
        <f t="shared" si="3"/>
        <v/>
      </c>
    </row>
    <row r="28" spans="1:12">
      <c r="A28">
        <f>all_data!A110</f>
        <v>108</v>
      </c>
      <c r="B28" t="str">
        <f>IF(all_data!B110&gt;0,all_data!B110,"")</f>
        <v>My Fair Lady</v>
      </c>
      <c r="C28">
        <f>all_data!C110</f>
        <v>9.8000000000000007</v>
      </c>
      <c r="D28">
        <f>all_data!D110</f>
        <v>0</v>
      </c>
      <c r="E28">
        <f>all_data!E110</f>
        <v>0</v>
      </c>
      <c r="F28">
        <f>all_data!F110</f>
        <v>1863</v>
      </c>
      <c r="H28">
        <f t="shared" si="0"/>
        <v>0</v>
      </c>
      <c r="J28" s="20" t="str">
        <f t="shared" si="1"/>
        <v/>
      </c>
      <c r="K28" t="str">
        <f t="shared" si="2"/>
        <v/>
      </c>
      <c r="L28" t="str">
        <f t="shared" si="3"/>
        <v/>
      </c>
    </row>
    <row r="29" spans="1:12">
      <c r="A29">
        <f>all_data!A93</f>
        <v>91</v>
      </c>
      <c r="B29" t="str">
        <f>IF(all_data!B93&gt;0,all_data!B93,"")</f>
        <v>MS Downstairs</v>
      </c>
      <c r="C29">
        <f>all_data!C93</f>
        <v>10</v>
      </c>
      <c r="D29">
        <f>all_data!D93</f>
        <v>0</v>
      </c>
      <c r="E29">
        <f>all_data!E93</f>
        <v>0</v>
      </c>
      <c r="F29">
        <f>all_data!F93</f>
        <v>1200</v>
      </c>
      <c r="H29">
        <f t="shared" si="0"/>
        <v>0</v>
      </c>
      <c r="J29" s="20" t="str">
        <f t="shared" si="1"/>
        <v/>
      </c>
      <c r="K29" t="str">
        <f t="shared" si="2"/>
        <v/>
      </c>
      <c r="L29" t="str">
        <f t="shared" si="3"/>
        <v/>
      </c>
    </row>
    <row r="30" spans="1:12">
      <c r="A30">
        <f>all_data!A80</f>
        <v>78</v>
      </c>
      <c r="B30" t="str">
        <f>IF(all_data!B80&gt;0,all_data!B80,"")</f>
        <v>Donauwörther Nussschale</v>
      </c>
      <c r="C30">
        <f>all_data!C80</f>
        <v>9.5</v>
      </c>
      <c r="D30">
        <f>all_data!D80</f>
        <v>0</v>
      </c>
      <c r="E30">
        <f>all_data!E80</f>
        <v>0</v>
      </c>
      <c r="F30">
        <f>all_data!F80</f>
        <v>1000</v>
      </c>
      <c r="H30">
        <f t="shared" si="0"/>
        <v>0</v>
      </c>
      <c r="J30" s="20" t="str">
        <f t="shared" si="1"/>
        <v/>
      </c>
      <c r="K30" t="str">
        <f t="shared" si="2"/>
        <v/>
      </c>
      <c r="L30" t="str">
        <f t="shared" si="3"/>
        <v/>
      </c>
    </row>
    <row r="31" spans="1:12">
      <c r="A31">
        <f>all_data!A129</f>
        <v>127</v>
      </c>
      <c r="B31" t="str">
        <f>IF(all_data!B129&gt;0,all_data!B129,"")</f>
        <v>MS Mississippi</v>
      </c>
      <c r="C31">
        <f>all_data!C129</f>
        <v>9.5</v>
      </c>
      <c r="D31">
        <f>all_data!D129</f>
        <v>0</v>
      </c>
      <c r="E31">
        <f>all_data!E129</f>
        <v>0</v>
      </c>
      <c r="F31">
        <f>all_data!F129</f>
        <v>2250</v>
      </c>
      <c r="H31">
        <f t="shared" si="0"/>
        <v>0</v>
      </c>
      <c r="J31" s="20" t="str">
        <f t="shared" si="1"/>
        <v/>
      </c>
      <c r="K31" t="str">
        <f t="shared" si="2"/>
        <v/>
      </c>
      <c r="L31" t="str">
        <f t="shared" si="3"/>
        <v/>
      </c>
    </row>
    <row r="32" spans="1:12">
      <c r="A32">
        <f>all_data!A115</f>
        <v>113</v>
      </c>
      <c r="B32" t="str">
        <f>IF(all_data!B115&gt;0,all_data!B115,"")</f>
        <v>H3H7</v>
      </c>
      <c r="C32">
        <f>all_data!C115</f>
        <v>8.1999999999999993</v>
      </c>
      <c r="D32">
        <f>all_data!D115</f>
        <v>0</v>
      </c>
      <c r="E32">
        <f>all_data!E115</f>
        <v>0</v>
      </c>
      <c r="F32">
        <f>all_data!F115</f>
        <v>2000</v>
      </c>
      <c r="H32">
        <f t="shared" si="0"/>
        <v>0</v>
      </c>
      <c r="J32" s="20" t="str">
        <f t="shared" si="1"/>
        <v/>
      </c>
      <c r="K32" t="str">
        <f t="shared" si="2"/>
        <v/>
      </c>
      <c r="L32" t="str">
        <f t="shared" si="3"/>
        <v/>
      </c>
    </row>
    <row r="33" spans="1:12">
      <c r="A33">
        <f>all_data!A128</f>
        <v>126</v>
      </c>
      <c r="B33" t="str">
        <f>IF(all_data!B128&gt;0,all_data!B128,"")</f>
        <v>LINKS</v>
      </c>
      <c r="C33">
        <f>all_data!C128</f>
        <v>9.4</v>
      </c>
      <c r="D33">
        <f>all_data!D128</f>
        <v>0</v>
      </c>
      <c r="E33">
        <f>all_data!E128</f>
        <v>0</v>
      </c>
      <c r="F33">
        <f>all_data!F128</f>
        <v>2225</v>
      </c>
      <c r="H33">
        <f t="shared" si="0"/>
        <v>0</v>
      </c>
      <c r="J33" s="20" t="str">
        <f t="shared" si="1"/>
        <v/>
      </c>
      <c r="K33" t="str">
        <f t="shared" si="2"/>
        <v/>
      </c>
      <c r="L33" t="str">
        <f t="shared" si="3"/>
        <v/>
      </c>
    </row>
    <row r="34" spans="1:12">
      <c r="A34">
        <f>all_data!A83</f>
        <v>81</v>
      </c>
      <c r="B34" t="str">
        <f>IF(all_data!B83&gt;0,all_data!B83,"")</f>
        <v>HAWK</v>
      </c>
      <c r="C34">
        <f>all_data!C83</f>
        <v>10</v>
      </c>
      <c r="D34">
        <f>all_data!D83</f>
        <v>0</v>
      </c>
      <c r="E34">
        <f>all_data!E83</f>
        <v>0</v>
      </c>
      <c r="F34">
        <f>all_data!F83</f>
        <v>1000</v>
      </c>
      <c r="H34">
        <f t="shared" si="0"/>
        <v>0</v>
      </c>
      <c r="J34" s="20" t="str">
        <f t="shared" si="1"/>
        <v/>
      </c>
      <c r="K34" t="str">
        <f t="shared" si="2"/>
        <v/>
      </c>
      <c r="L34" t="str">
        <f t="shared" si="3"/>
        <v/>
      </c>
    </row>
    <row r="35" spans="1:12">
      <c r="A35">
        <f>all_data!A109</f>
        <v>107</v>
      </c>
      <c r="B35" t="str">
        <f>IF(all_data!B109&gt;0,all_data!B109,"")</f>
        <v>MS Kargow</v>
      </c>
      <c r="C35">
        <f>all_data!C109</f>
        <v>9.4</v>
      </c>
      <c r="D35">
        <f>all_data!D109</f>
        <v>0</v>
      </c>
      <c r="E35">
        <f>all_data!E109</f>
        <v>0</v>
      </c>
      <c r="F35">
        <f>all_data!F109</f>
        <v>1800</v>
      </c>
      <c r="H35">
        <f t="shared" si="0"/>
        <v>0</v>
      </c>
      <c r="J35" s="20" t="str">
        <f t="shared" si="1"/>
        <v/>
      </c>
      <c r="K35" t="str">
        <f t="shared" si="2"/>
        <v/>
      </c>
      <c r="L35" t="str">
        <f t="shared" si="3"/>
        <v/>
      </c>
    </row>
    <row r="36" spans="1:12">
      <c r="A36">
        <f>all_data!A111</f>
        <v>109</v>
      </c>
      <c r="B36" t="str">
        <f>IF(all_data!B111&gt;0,all_data!B111,"")</f>
        <v>Ü-Boot</v>
      </c>
      <c r="C36">
        <f>all_data!C111</f>
        <v>9.8000000000000007</v>
      </c>
      <c r="D36">
        <f>all_data!D111</f>
        <v>0</v>
      </c>
      <c r="E36">
        <f>all_data!E111</f>
        <v>0</v>
      </c>
      <c r="F36">
        <f>all_data!F111</f>
        <v>1900</v>
      </c>
      <c r="H36">
        <f t="shared" si="0"/>
        <v>0</v>
      </c>
      <c r="J36" s="20" t="str">
        <f t="shared" si="1"/>
        <v/>
      </c>
      <c r="K36" t="str">
        <f t="shared" si="2"/>
        <v/>
      </c>
      <c r="L36" t="str">
        <f t="shared" si="3"/>
        <v/>
      </c>
    </row>
    <row r="37" spans="1:12">
      <c r="A37">
        <f>all_data!A79</f>
        <v>77</v>
      </c>
      <c r="B37" t="str">
        <f>IF(all_data!B79&gt;0,all_data!B79,"")</f>
        <v>Donau-Dampfer</v>
      </c>
      <c r="C37">
        <f>all_data!C79</f>
        <v>9.1999999999999993</v>
      </c>
      <c r="D37">
        <f>all_data!D79</f>
        <v>0</v>
      </c>
      <c r="E37">
        <f>all_data!E79</f>
        <v>0</v>
      </c>
      <c r="F37">
        <f>all_data!F79</f>
        <v>1000</v>
      </c>
      <c r="H37">
        <f t="shared" si="0"/>
        <v>0</v>
      </c>
      <c r="J37" s="20" t="str">
        <f t="shared" si="1"/>
        <v/>
      </c>
      <c r="K37" t="str">
        <f t="shared" si="2"/>
        <v/>
      </c>
      <c r="L37" t="str">
        <f t="shared" si="3"/>
        <v/>
      </c>
    </row>
    <row r="38" spans="1:12">
      <c r="A38">
        <f>all_data!A89</f>
        <v>87</v>
      </c>
      <c r="B38" t="str">
        <f>IF(all_data!B89&gt;0,all_data!B89,"")</f>
        <v>MS Unglaublich</v>
      </c>
      <c r="C38">
        <f>all_data!C89</f>
        <v>9.6999999999999993</v>
      </c>
      <c r="D38">
        <f>all_data!D89</f>
        <v>0</v>
      </c>
      <c r="E38">
        <f>all_data!E89</f>
        <v>0</v>
      </c>
      <c r="F38">
        <f>all_data!F89</f>
        <v>1000</v>
      </c>
      <c r="H38">
        <f t="shared" si="0"/>
        <v>0</v>
      </c>
      <c r="J38" s="20" t="str">
        <f t="shared" si="1"/>
        <v/>
      </c>
      <c r="K38" t="str">
        <f t="shared" si="2"/>
        <v/>
      </c>
      <c r="L38" t="str">
        <f t="shared" si="3"/>
        <v/>
      </c>
    </row>
    <row r="39" spans="1:12">
      <c r="A39">
        <f>all_data!A97</f>
        <v>95</v>
      </c>
      <c r="B39" t="str">
        <f>IF(all_data!B97&gt;0,all_data!B97,"")</f>
        <v>Puzzel 2</v>
      </c>
      <c r="C39">
        <f>all_data!C97</f>
        <v>9.1999999999999993</v>
      </c>
      <c r="D39">
        <f>all_data!D97</f>
        <v>0</v>
      </c>
      <c r="E39">
        <f>all_data!E97</f>
        <v>0</v>
      </c>
      <c r="F39">
        <f>all_data!F97</f>
        <v>1353</v>
      </c>
      <c r="H39">
        <f t="shared" si="0"/>
        <v>0</v>
      </c>
      <c r="J39" s="20" t="str">
        <f t="shared" si="1"/>
        <v/>
      </c>
      <c r="K39" t="str">
        <f t="shared" si="2"/>
        <v/>
      </c>
      <c r="L39" t="str">
        <f t="shared" si="3"/>
        <v/>
      </c>
    </row>
    <row r="40" spans="1:12">
      <c r="A40">
        <f>all_data!A116</f>
        <v>114</v>
      </c>
      <c r="B40" t="str">
        <f>IF(all_data!B116&gt;0,all_data!B116,"")</f>
        <v>Königswasser B1</v>
      </c>
      <c r="C40">
        <f>all_data!C116</f>
        <v>9.8000000000000007</v>
      </c>
      <c r="D40">
        <f>all_data!D116</f>
        <v>0</v>
      </c>
      <c r="E40">
        <f>all_data!E116</f>
        <v>0</v>
      </c>
      <c r="F40">
        <f>all_data!F116</f>
        <v>2000</v>
      </c>
      <c r="H40">
        <f t="shared" si="0"/>
        <v>0</v>
      </c>
      <c r="J40" s="20" t="str">
        <f t="shared" si="1"/>
        <v/>
      </c>
      <c r="K40" t="str">
        <f t="shared" si="2"/>
        <v/>
      </c>
      <c r="L40" t="str">
        <f t="shared" si="3"/>
        <v/>
      </c>
    </row>
    <row r="41" spans="1:12">
      <c r="A41">
        <f>all_data!A123</f>
        <v>121</v>
      </c>
      <c r="B41" t="str">
        <f>IF(all_data!B123&gt;0,all_data!B123,"")</f>
        <v>und weg</v>
      </c>
      <c r="C41">
        <f>all_data!C123</f>
        <v>8.1999999999999993</v>
      </c>
      <c r="D41">
        <f>all_data!D123</f>
        <v>0</v>
      </c>
      <c r="E41">
        <f>all_data!E123</f>
        <v>0</v>
      </c>
      <c r="F41">
        <f>all_data!F123</f>
        <v>2000</v>
      </c>
      <c r="H41">
        <f t="shared" si="0"/>
        <v>0</v>
      </c>
      <c r="J41" s="20" t="str">
        <f t="shared" si="1"/>
        <v/>
      </c>
      <c r="K41" t="str">
        <f t="shared" si="2"/>
        <v/>
      </c>
      <c r="L41" t="str">
        <f t="shared" si="3"/>
        <v/>
      </c>
    </row>
    <row r="42" spans="1:12">
      <c r="A42">
        <f>all_data!A99</f>
        <v>97</v>
      </c>
      <c r="B42" t="str">
        <f>IF(all_data!B99&gt;0,all_data!B99,"")</f>
        <v>Poseidon</v>
      </c>
      <c r="C42">
        <f>all_data!C99</f>
        <v>8.6999999999999993</v>
      </c>
      <c r="D42">
        <f>all_data!D99</f>
        <v>0</v>
      </c>
      <c r="E42">
        <f>all_data!E99</f>
        <v>0</v>
      </c>
      <c r="F42">
        <f>all_data!F99</f>
        <v>1400</v>
      </c>
      <c r="H42">
        <f t="shared" si="0"/>
        <v>0</v>
      </c>
      <c r="J42" s="20" t="str">
        <f t="shared" si="1"/>
        <v/>
      </c>
      <c r="K42" t="str">
        <f t="shared" si="2"/>
        <v/>
      </c>
      <c r="L42" t="str">
        <f t="shared" si="3"/>
        <v/>
      </c>
    </row>
    <row r="43" spans="1:12">
      <c r="A43">
        <f>all_data!A78</f>
        <v>76</v>
      </c>
      <c r="B43" t="str">
        <f>IF(all_data!B78&gt;0,all_data!B78,"")</f>
        <v>CHARON</v>
      </c>
      <c r="C43">
        <f>all_data!C78</f>
        <v>9.6999999999999993</v>
      </c>
      <c r="D43">
        <f>all_data!D78</f>
        <v>0</v>
      </c>
      <c r="E43">
        <f>all_data!E78</f>
        <v>0</v>
      </c>
      <c r="F43">
        <f>all_data!F78</f>
        <v>1000</v>
      </c>
      <c r="H43">
        <f t="shared" si="0"/>
        <v>0</v>
      </c>
      <c r="J43" s="20" t="str">
        <f t="shared" si="1"/>
        <v/>
      </c>
      <c r="K43" t="str">
        <f t="shared" si="2"/>
        <v/>
      </c>
      <c r="L43" t="str">
        <f t="shared" si="3"/>
        <v/>
      </c>
    </row>
    <row r="44" spans="1:12">
      <c r="A44">
        <f>all_data!A98</f>
        <v>96</v>
      </c>
      <c r="B44" t="str">
        <f>IF(all_data!B98&gt;0,all_data!B98,"")</f>
        <v>Smoking Hippo</v>
      </c>
      <c r="C44">
        <f>all_data!C98</f>
        <v>9.6</v>
      </c>
      <c r="D44">
        <f>all_data!D98</f>
        <v>0</v>
      </c>
      <c r="E44">
        <f>all_data!E98</f>
        <v>0</v>
      </c>
      <c r="F44">
        <f>all_data!F98</f>
        <v>1397</v>
      </c>
      <c r="H44">
        <f t="shared" si="0"/>
        <v>0</v>
      </c>
      <c r="J44" s="20" t="str">
        <f t="shared" si="1"/>
        <v/>
      </c>
      <c r="K44" t="str">
        <f t="shared" si="2"/>
        <v/>
      </c>
      <c r="L44" t="str">
        <f t="shared" si="3"/>
        <v/>
      </c>
    </row>
    <row r="45" spans="1:12">
      <c r="A45">
        <f>all_data!A119</f>
        <v>117</v>
      </c>
      <c r="B45" t="str">
        <f>IF(all_data!B119&gt;0,all_data!B119,"")</f>
        <v>N1H7</v>
      </c>
      <c r="C45">
        <f>all_data!C119</f>
        <v>8.6999999999999993</v>
      </c>
      <c r="D45">
        <f>all_data!D119</f>
        <v>0</v>
      </c>
      <c r="E45">
        <f>all_data!E119</f>
        <v>0</v>
      </c>
      <c r="F45">
        <f>all_data!F119</f>
        <v>2000</v>
      </c>
      <c r="H45">
        <f t="shared" si="0"/>
        <v>0</v>
      </c>
      <c r="J45" s="20" t="str">
        <f t="shared" si="1"/>
        <v/>
      </c>
      <c r="K45" t="str">
        <f t="shared" si="2"/>
        <v/>
      </c>
      <c r="L45" t="str">
        <f t="shared" si="3"/>
        <v/>
      </c>
    </row>
    <row r="46" spans="1:12">
      <c r="A46">
        <f>all_data!A90</f>
        <v>88</v>
      </c>
      <c r="B46" t="str">
        <f>IF(all_data!B90&gt;0,all_data!B90,"")</f>
        <v>S.S. Christofzik</v>
      </c>
      <c r="C46">
        <f>all_data!C90</f>
        <v>9.6999999999999993</v>
      </c>
      <c r="D46">
        <f>all_data!D90</f>
        <v>0</v>
      </c>
      <c r="E46">
        <f>all_data!E90</f>
        <v>0</v>
      </c>
      <c r="F46">
        <f>all_data!F90</f>
        <v>1000</v>
      </c>
      <c r="H46">
        <f t="shared" si="0"/>
        <v>0</v>
      </c>
      <c r="J46" s="20" t="str">
        <f t="shared" si="1"/>
        <v/>
      </c>
      <c r="K46" t="str">
        <f t="shared" si="2"/>
        <v/>
      </c>
      <c r="L46" t="str">
        <f t="shared" si="3"/>
        <v/>
      </c>
    </row>
    <row r="47" spans="1:12">
      <c r="A47">
        <f>all_data!A12</f>
        <v>10</v>
      </c>
      <c r="B47" t="str">
        <f>IF(all_data!B12&gt;0,all_data!B12,"")</f>
        <v>Black Beauty</v>
      </c>
      <c r="C47">
        <f>all_data!C12</f>
        <v>10</v>
      </c>
      <c r="D47">
        <f>all_data!D12</f>
        <v>0</v>
      </c>
      <c r="E47">
        <f>all_data!E12</f>
        <v>0</v>
      </c>
      <c r="F47">
        <f>all_data!F12</f>
        <v>1</v>
      </c>
      <c r="H47">
        <f t="shared" si="0"/>
        <v>0</v>
      </c>
      <c r="J47" s="20" t="str">
        <f t="shared" si="1"/>
        <v/>
      </c>
      <c r="K47" t="str">
        <f t="shared" si="2"/>
        <v/>
      </c>
      <c r="L47" t="str">
        <f t="shared" si="3"/>
        <v/>
      </c>
    </row>
    <row r="48" spans="1:12">
      <c r="A48">
        <f>all_data!A88</f>
        <v>86</v>
      </c>
      <c r="B48" t="str">
        <f>IF(all_data!B88&gt;0,all_data!B88,"")</f>
        <v>MEGGIE I</v>
      </c>
      <c r="C48">
        <f>all_data!C88</f>
        <v>8.9</v>
      </c>
      <c r="D48">
        <f>all_data!D88</f>
        <v>0</v>
      </c>
      <c r="E48">
        <f>all_data!E88</f>
        <v>0</v>
      </c>
      <c r="F48">
        <f>all_data!F88</f>
        <v>1000</v>
      </c>
      <c r="H48">
        <f t="shared" si="0"/>
        <v>0</v>
      </c>
      <c r="J48" s="20" t="str">
        <f t="shared" si="1"/>
        <v/>
      </c>
      <c r="K48" t="str">
        <f t="shared" si="2"/>
        <v/>
      </c>
      <c r="L48" t="str">
        <f t="shared" si="3"/>
        <v/>
      </c>
    </row>
    <row r="49" spans="1:12">
      <c r="A49">
        <f>all_data!A86</f>
        <v>84</v>
      </c>
      <c r="B49" t="str">
        <f>IF(all_data!B86&gt;0,all_data!B86,"")</f>
        <v>LKS</v>
      </c>
      <c r="C49">
        <f>all_data!C86</f>
        <v>10</v>
      </c>
      <c r="D49">
        <f>all_data!D86</f>
        <v>0</v>
      </c>
      <c r="E49">
        <f>all_data!E86</f>
        <v>0</v>
      </c>
      <c r="F49">
        <f>all_data!F86</f>
        <v>1000</v>
      </c>
      <c r="H49">
        <f t="shared" si="0"/>
        <v>0</v>
      </c>
      <c r="J49" s="20" t="str">
        <f t="shared" si="1"/>
        <v/>
      </c>
      <c r="K49" t="str">
        <f t="shared" si="2"/>
        <v/>
      </c>
      <c r="L49" t="str">
        <f t="shared" si="3"/>
        <v/>
      </c>
    </row>
    <row r="50" spans="1:12">
      <c r="A50">
        <f>all_data!A37</f>
        <v>35</v>
      </c>
      <c r="B50" t="str">
        <f>IF(all_data!B37&gt;0,all_data!B37,"")</f>
        <v>Romba</v>
      </c>
      <c r="C50">
        <f>all_data!C37</f>
        <v>9.4</v>
      </c>
      <c r="D50">
        <f>all_data!D37</f>
        <v>0</v>
      </c>
      <c r="E50">
        <f>all_data!E37</f>
        <v>0</v>
      </c>
      <c r="F50">
        <f>all_data!F37</f>
        <v>1</v>
      </c>
      <c r="H50">
        <f t="shared" si="0"/>
        <v>0</v>
      </c>
      <c r="J50" s="20" t="str">
        <f t="shared" si="1"/>
        <v/>
      </c>
      <c r="K50" t="str">
        <f t="shared" si="2"/>
        <v/>
      </c>
      <c r="L50" t="str">
        <f t="shared" si="3"/>
        <v/>
      </c>
    </row>
    <row r="51" spans="1:12">
      <c r="A51">
        <f>all_data!A103</f>
        <v>101</v>
      </c>
      <c r="B51" t="str">
        <f>IF(all_data!B103&gt;0,all_data!B103,"")</f>
        <v>Argo II</v>
      </c>
      <c r="C51">
        <f>all_data!C103</f>
        <v>9.6999999999999993</v>
      </c>
      <c r="D51">
        <f>all_data!D103</f>
        <v>0</v>
      </c>
      <c r="E51">
        <f>all_data!E103</f>
        <v>0</v>
      </c>
      <c r="F51">
        <f>all_data!F103</f>
        <v>1600</v>
      </c>
      <c r="H51">
        <f t="shared" si="0"/>
        <v>0</v>
      </c>
      <c r="J51" s="20" t="str">
        <f t="shared" si="1"/>
        <v/>
      </c>
      <c r="K51" t="str">
        <f t="shared" si="2"/>
        <v/>
      </c>
      <c r="L51" t="str">
        <f t="shared" si="3"/>
        <v/>
      </c>
    </row>
    <row r="52" spans="1:12">
      <c r="A52">
        <f>all_data!A101</f>
        <v>99</v>
      </c>
      <c r="B52" t="str">
        <f>IF(all_data!B101&gt;0,all_data!B101,"")</f>
        <v>MS. Langeweile</v>
      </c>
      <c r="C52">
        <f>all_data!C101</f>
        <v>9.8000000000000007</v>
      </c>
      <c r="D52">
        <f>all_data!D101</f>
        <v>0</v>
      </c>
      <c r="E52">
        <f>all_data!E101</f>
        <v>0</v>
      </c>
      <c r="F52">
        <f>all_data!F101</f>
        <v>1500</v>
      </c>
      <c r="H52">
        <f t="shared" si="0"/>
        <v>0</v>
      </c>
      <c r="J52" s="20" t="str">
        <f t="shared" si="1"/>
        <v/>
      </c>
      <c r="K52" t="str">
        <f t="shared" si="2"/>
        <v/>
      </c>
      <c r="L52" t="str">
        <f t="shared" si="3"/>
        <v/>
      </c>
    </row>
    <row r="53" spans="1:12">
      <c r="A53">
        <f>all_data!A68</f>
        <v>66</v>
      </c>
      <c r="B53" t="str">
        <f>IF(all_data!B68&gt;0,all_data!B68,"")</f>
        <v>Las Americas</v>
      </c>
      <c r="C53">
        <f>all_data!C68</f>
        <v>9.9</v>
      </c>
      <c r="D53">
        <f>all_data!D68</f>
        <v>0</v>
      </c>
      <c r="E53">
        <f>all_data!E68</f>
        <v>0</v>
      </c>
      <c r="F53">
        <f>all_data!F68</f>
        <v>800</v>
      </c>
      <c r="H53">
        <f t="shared" si="0"/>
        <v>0</v>
      </c>
      <c r="J53" s="20" t="str">
        <f t="shared" si="1"/>
        <v/>
      </c>
      <c r="K53" t="str">
        <f t="shared" si="2"/>
        <v/>
      </c>
      <c r="L53" t="str">
        <f t="shared" si="3"/>
        <v/>
      </c>
    </row>
    <row r="54" spans="1:12">
      <c r="A54">
        <f>all_data!A81</f>
        <v>79</v>
      </c>
      <c r="B54" t="str">
        <f>IF(all_data!B81&gt;0,all_data!B81,"")</f>
        <v>Hägars Galeere</v>
      </c>
      <c r="C54">
        <f>all_data!C81</f>
        <v>7.4</v>
      </c>
      <c r="D54">
        <f>all_data!D81</f>
        <v>0</v>
      </c>
      <c r="E54">
        <f>all_data!E81</f>
        <v>0</v>
      </c>
      <c r="F54">
        <f>all_data!F81</f>
        <v>1000</v>
      </c>
      <c r="H54">
        <f t="shared" si="0"/>
        <v>0</v>
      </c>
      <c r="J54" s="20" t="str">
        <f t="shared" si="1"/>
        <v/>
      </c>
      <c r="K54" t="str">
        <f t="shared" si="2"/>
        <v/>
      </c>
      <c r="L54" t="str">
        <f t="shared" si="3"/>
        <v/>
      </c>
    </row>
    <row r="55" spans="1:12">
      <c r="A55">
        <f>all_data!A70</f>
        <v>68</v>
      </c>
      <c r="B55" t="str">
        <f>IF(all_data!B70&gt;0,all_data!B70,"")</f>
        <v>Dunkelroter Oktober</v>
      </c>
      <c r="C55">
        <f>all_data!C70</f>
        <v>10</v>
      </c>
      <c r="D55">
        <f>all_data!D70</f>
        <v>0</v>
      </c>
      <c r="E55">
        <f>all_data!E70</f>
        <v>0</v>
      </c>
      <c r="F55">
        <f>all_data!F70</f>
        <v>900</v>
      </c>
      <c r="H55">
        <f t="shared" si="0"/>
        <v>0</v>
      </c>
      <c r="J55" s="20" t="str">
        <f t="shared" si="1"/>
        <v/>
      </c>
      <c r="K55" t="str">
        <f t="shared" si="2"/>
        <v/>
      </c>
      <c r="L55" t="str">
        <f t="shared" si="3"/>
        <v/>
      </c>
    </row>
    <row r="56" spans="1:12">
      <c r="A56">
        <f>all_data!A26</f>
        <v>24</v>
      </c>
      <c r="B56" t="str">
        <f>IF(all_data!B26&gt;0,all_data!B26,"")</f>
        <v>L&amp;L</v>
      </c>
      <c r="C56">
        <f>all_data!C26</f>
        <v>8.9</v>
      </c>
      <c r="D56">
        <f>all_data!D26</f>
        <v>0</v>
      </c>
      <c r="E56">
        <f>all_data!E26</f>
        <v>0</v>
      </c>
      <c r="F56">
        <f>all_data!F26</f>
        <v>1</v>
      </c>
      <c r="H56">
        <f t="shared" si="0"/>
        <v>0</v>
      </c>
      <c r="J56" s="20" t="str">
        <f t="shared" si="1"/>
        <v/>
      </c>
      <c r="K56" t="str">
        <f t="shared" si="2"/>
        <v/>
      </c>
      <c r="L56" t="str">
        <f t="shared" si="3"/>
        <v/>
      </c>
    </row>
    <row r="57" spans="1:12">
      <c r="A57">
        <f>all_data!A62</f>
        <v>60</v>
      </c>
      <c r="B57" t="str">
        <f>IF(all_data!B62&gt;0,all_data!B62,"")</f>
        <v>BLUB</v>
      </c>
      <c r="C57">
        <f>all_data!C62</f>
        <v>5.3</v>
      </c>
      <c r="D57">
        <f>all_data!D62</f>
        <v>0</v>
      </c>
      <c r="E57">
        <f>all_data!E62</f>
        <v>0</v>
      </c>
      <c r="F57">
        <f>all_data!F62</f>
        <v>660</v>
      </c>
      <c r="H57">
        <f t="shared" si="0"/>
        <v>0</v>
      </c>
      <c r="J57" s="20" t="str">
        <f t="shared" si="1"/>
        <v/>
      </c>
      <c r="K57" t="str">
        <f t="shared" si="2"/>
        <v/>
      </c>
      <c r="L57" t="str">
        <f t="shared" si="3"/>
        <v/>
      </c>
    </row>
    <row r="58" spans="1:12">
      <c r="A58">
        <f>all_data!A73</f>
        <v>71</v>
      </c>
      <c r="B58" t="str">
        <f>IF(all_data!B73&gt;0,all_data!B73,"")</f>
        <v>Black Ops III</v>
      </c>
      <c r="C58">
        <f>all_data!C73</f>
        <v>5.0999999999999996</v>
      </c>
      <c r="D58">
        <f>all_data!D73</f>
        <v>0</v>
      </c>
      <c r="E58">
        <f>all_data!E73</f>
        <v>0</v>
      </c>
      <c r="F58">
        <f>all_data!F73</f>
        <v>950</v>
      </c>
      <c r="H58">
        <f t="shared" si="0"/>
        <v>0</v>
      </c>
      <c r="J58" s="20" t="str">
        <f t="shared" si="1"/>
        <v/>
      </c>
      <c r="K58" t="str">
        <f t="shared" si="2"/>
        <v/>
      </c>
      <c r="L58" t="str">
        <f t="shared" si="3"/>
        <v/>
      </c>
    </row>
    <row r="59" spans="1:12">
      <c r="A59">
        <f>all_data!A122</f>
        <v>120</v>
      </c>
      <c r="B59" t="str">
        <f>IF(all_data!B122&gt;0,all_data!B122,"")</f>
        <v>und da</v>
      </c>
      <c r="C59">
        <f>all_data!C122</f>
        <v>8.3000000000000007</v>
      </c>
      <c r="D59">
        <f>all_data!D122</f>
        <v>0</v>
      </c>
      <c r="E59">
        <f>all_data!E122</f>
        <v>0</v>
      </c>
      <c r="F59">
        <f>all_data!F122</f>
        <v>2000</v>
      </c>
      <c r="H59">
        <f t="shared" si="0"/>
        <v>0</v>
      </c>
      <c r="J59" s="20" t="str">
        <f t="shared" si="1"/>
        <v/>
      </c>
      <c r="K59" t="str">
        <f t="shared" si="2"/>
        <v/>
      </c>
      <c r="L59" t="str">
        <f t="shared" si="3"/>
        <v/>
      </c>
    </row>
    <row r="60" spans="1:12">
      <c r="A60">
        <f>all_data!A71</f>
        <v>69</v>
      </c>
      <c r="B60" t="str">
        <f>IF(all_data!B71&gt;0,all_data!B71,"")</f>
        <v>YOLO I</v>
      </c>
      <c r="C60">
        <f>all_data!C71</f>
        <v>9.5</v>
      </c>
      <c r="D60">
        <f>all_data!D71</f>
        <v>0</v>
      </c>
      <c r="E60">
        <f>all_data!E71</f>
        <v>0</v>
      </c>
      <c r="F60">
        <f>all_data!F71</f>
        <v>900</v>
      </c>
      <c r="H60">
        <f t="shared" si="0"/>
        <v>0</v>
      </c>
      <c r="J60" s="20" t="str">
        <f t="shared" si="1"/>
        <v/>
      </c>
      <c r="K60" t="str">
        <f t="shared" si="2"/>
        <v/>
      </c>
      <c r="L60" t="str">
        <f t="shared" si="3"/>
        <v/>
      </c>
    </row>
    <row r="61" spans="1:12">
      <c r="A61">
        <f>all_data!A87</f>
        <v>85</v>
      </c>
      <c r="B61" t="str">
        <f>IF(all_data!B87&gt;0,all_data!B87,"")</f>
        <v>Marco Polo</v>
      </c>
      <c r="C61">
        <f>all_data!C87</f>
        <v>8.3000000000000007</v>
      </c>
      <c r="D61">
        <f>all_data!D87</f>
        <v>0</v>
      </c>
      <c r="E61">
        <f>all_data!E87</f>
        <v>0</v>
      </c>
      <c r="F61">
        <f>all_data!F87</f>
        <v>1000</v>
      </c>
      <c r="H61">
        <f t="shared" si="0"/>
        <v>0</v>
      </c>
      <c r="J61" s="20" t="str">
        <f t="shared" si="1"/>
        <v/>
      </c>
      <c r="K61" t="str">
        <f t="shared" si="2"/>
        <v/>
      </c>
      <c r="L61" t="str">
        <f t="shared" si="3"/>
        <v/>
      </c>
    </row>
    <row r="62" spans="1:12">
      <c r="A62">
        <f>all_data!A56</f>
        <v>54</v>
      </c>
      <c r="B62" t="str">
        <f>IF(all_data!B56&gt;0,all_data!B56,"")</f>
        <v>1002</v>
      </c>
      <c r="C62">
        <f>all_data!C56</f>
        <v>10</v>
      </c>
      <c r="D62">
        <f>all_data!D56</f>
        <v>0</v>
      </c>
      <c r="E62">
        <f>all_data!E56</f>
        <v>0</v>
      </c>
      <c r="F62">
        <f>all_data!F56</f>
        <v>500</v>
      </c>
      <c r="H62">
        <f t="shared" si="0"/>
        <v>0</v>
      </c>
      <c r="J62" s="20" t="str">
        <f t="shared" si="1"/>
        <v/>
      </c>
      <c r="K62" t="str">
        <f t="shared" si="2"/>
        <v/>
      </c>
      <c r="L62" t="str">
        <f t="shared" si="3"/>
        <v/>
      </c>
    </row>
    <row r="63" spans="1:12">
      <c r="A63">
        <f>all_data!A72</f>
        <v>70</v>
      </c>
      <c r="B63" t="str">
        <f>IF(all_data!B72&gt;0,all_data!B72,"")</f>
        <v>YOLO II</v>
      </c>
      <c r="C63">
        <f>all_data!C72</f>
        <v>6</v>
      </c>
      <c r="D63">
        <f>all_data!D72</f>
        <v>0</v>
      </c>
      <c r="E63">
        <f>all_data!E72</f>
        <v>0</v>
      </c>
      <c r="F63">
        <f>all_data!F72</f>
        <v>900</v>
      </c>
      <c r="H63">
        <f t="shared" si="0"/>
        <v>0</v>
      </c>
      <c r="J63" s="20" t="str">
        <f t="shared" si="1"/>
        <v/>
      </c>
      <c r="K63" t="str">
        <f t="shared" si="2"/>
        <v/>
      </c>
      <c r="L63" t="str">
        <f t="shared" si="3"/>
        <v/>
      </c>
    </row>
    <row r="64" spans="1:12">
      <c r="A64">
        <f>all_data!A132</f>
        <v>130</v>
      </c>
      <c r="B64" t="str">
        <f>IF(all_data!B132&gt;0,all_data!B132,"")</f>
        <v>Silberhauch</v>
      </c>
      <c r="C64">
        <f>all_data!C132</f>
        <v>10</v>
      </c>
      <c r="D64">
        <f>all_data!D132</f>
        <v>0</v>
      </c>
      <c r="E64">
        <f>all_data!E132</f>
        <v>0</v>
      </c>
      <c r="F64">
        <f>all_data!F132</f>
        <v>2800</v>
      </c>
      <c r="H64">
        <f t="shared" si="0"/>
        <v>0</v>
      </c>
      <c r="J64" s="20" t="str">
        <f t="shared" si="1"/>
        <v/>
      </c>
      <c r="K64" t="str">
        <f t="shared" si="2"/>
        <v/>
      </c>
      <c r="L64" t="str">
        <f t="shared" si="3"/>
        <v/>
      </c>
    </row>
    <row r="65" spans="1:12">
      <c r="A65">
        <f>all_data!A25</f>
        <v>23</v>
      </c>
      <c r="B65" t="str">
        <f>IF(all_data!B25&gt;0,all_data!B25,"")</f>
        <v>Jolo</v>
      </c>
      <c r="C65">
        <f>all_data!C25</f>
        <v>9.4</v>
      </c>
      <c r="D65">
        <f>all_data!D25</f>
        <v>0</v>
      </c>
      <c r="E65">
        <f>all_data!E25</f>
        <v>0</v>
      </c>
      <c r="F65">
        <f>all_data!F25</f>
        <v>1</v>
      </c>
      <c r="H65">
        <f t="shared" si="0"/>
        <v>0</v>
      </c>
      <c r="J65" s="20" t="str">
        <f t="shared" si="1"/>
        <v/>
      </c>
      <c r="K65" t="str">
        <f t="shared" si="2"/>
        <v/>
      </c>
      <c r="L65" t="str">
        <f t="shared" si="3"/>
        <v/>
      </c>
    </row>
    <row r="66" spans="1:12">
      <c r="A66">
        <f>all_data!A8</f>
        <v>6</v>
      </c>
      <c r="B66" t="str">
        <f>IF(all_data!B8&gt;0,all_data!B8,"")</f>
        <v>AIDA Hannes</v>
      </c>
      <c r="C66">
        <f>all_data!C8</f>
        <v>9.4</v>
      </c>
      <c r="D66">
        <f>all_data!D8</f>
        <v>0</v>
      </c>
      <c r="E66">
        <f>all_data!E8</f>
        <v>0</v>
      </c>
      <c r="F66">
        <f>all_data!F8</f>
        <v>1</v>
      </c>
      <c r="H66">
        <f t="shared" si="0"/>
        <v>0</v>
      </c>
      <c r="J66" s="20" t="str">
        <f t="shared" si="1"/>
        <v/>
      </c>
      <c r="K66" t="str">
        <f t="shared" si="2"/>
        <v/>
      </c>
      <c r="L66" t="str">
        <f t="shared" si="3"/>
        <v/>
      </c>
    </row>
    <row r="67" spans="1:12">
      <c r="A67">
        <f>all_data!A85</f>
        <v>83</v>
      </c>
      <c r="B67" t="str">
        <f>IF(all_data!B85&gt;0,all_data!B85,"")</f>
        <v>Le boat de Hannes</v>
      </c>
      <c r="C67">
        <f>all_data!C85</f>
        <v>9.1999999999999993</v>
      </c>
      <c r="D67">
        <f>all_data!D85</f>
        <v>0</v>
      </c>
      <c r="E67">
        <f>all_data!E85</f>
        <v>0</v>
      </c>
      <c r="F67">
        <f>all_data!F85</f>
        <v>1000</v>
      </c>
      <c r="H67">
        <f t="shared" ref="H67:H130" si="4">IF(C67&lt;=10,D67,0)</f>
        <v>0</v>
      </c>
      <c r="J67" s="20" t="str">
        <f t="shared" ref="J67:J130" si="5">IF(H67&gt;0,B67,"")</f>
        <v/>
      </c>
      <c r="K67" t="str">
        <f t="shared" ref="K67:K130" si="6">IF(H67&gt;0,D67,"")</f>
        <v/>
      </c>
      <c r="L67" t="str">
        <f t="shared" ref="L67:L130" si="7">IF(H67&gt;0,F67,"")</f>
        <v/>
      </c>
    </row>
    <row r="68" spans="1:12">
      <c r="A68">
        <f>all_data!A75</f>
        <v>73</v>
      </c>
      <c r="B68" t="str">
        <f>IF(all_data!B75&gt;0,all_data!B75,"")</f>
        <v>Bennet</v>
      </c>
      <c r="C68">
        <f>all_data!C75</f>
        <v>9.5</v>
      </c>
      <c r="D68">
        <f>all_data!D75</f>
        <v>0</v>
      </c>
      <c r="E68">
        <f>all_data!E75</f>
        <v>0</v>
      </c>
      <c r="F68">
        <f>all_data!F75</f>
        <v>1000</v>
      </c>
      <c r="H68">
        <f t="shared" si="4"/>
        <v>0</v>
      </c>
      <c r="J68" s="20" t="str">
        <f t="shared" si="5"/>
        <v/>
      </c>
      <c r="K68" t="str">
        <f t="shared" si="6"/>
        <v/>
      </c>
      <c r="L68" t="str">
        <f t="shared" si="7"/>
        <v/>
      </c>
    </row>
    <row r="69" spans="1:12">
      <c r="A69">
        <f>all_data!A74</f>
        <v>72</v>
      </c>
      <c r="B69" t="str">
        <f>IF(all_data!B74&gt;0,all_data!B74,"")</f>
        <v>Dornauge</v>
      </c>
      <c r="C69">
        <f>all_data!C74</f>
        <v>8.6999999999999993</v>
      </c>
      <c r="D69">
        <f>all_data!D74</f>
        <v>0</v>
      </c>
      <c r="E69">
        <f>all_data!E74</f>
        <v>0</v>
      </c>
      <c r="F69">
        <f>all_data!F74</f>
        <v>964</v>
      </c>
      <c r="H69">
        <f t="shared" si="4"/>
        <v>0</v>
      </c>
      <c r="J69" s="20" t="str">
        <f t="shared" si="5"/>
        <v/>
      </c>
      <c r="K69" t="str">
        <f t="shared" si="6"/>
        <v/>
      </c>
      <c r="L69" t="str">
        <f t="shared" si="7"/>
        <v/>
      </c>
    </row>
    <row r="70" spans="1:12">
      <c r="A70">
        <f>all_data!A18</f>
        <v>16</v>
      </c>
      <c r="B70" t="str">
        <f>IF(all_data!B18&gt;0,all_data!B18,"")</f>
        <v>Die rote Rose</v>
      </c>
      <c r="C70">
        <f>all_data!C18</f>
        <v>9.5</v>
      </c>
      <c r="D70">
        <f>all_data!D18</f>
        <v>0</v>
      </c>
      <c r="E70">
        <f>all_data!E18</f>
        <v>0</v>
      </c>
      <c r="F70">
        <f>all_data!F18</f>
        <v>1</v>
      </c>
      <c r="H70">
        <f t="shared" si="4"/>
        <v>0</v>
      </c>
      <c r="J70" s="20" t="str">
        <f t="shared" si="5"/>
        <v/>
      </c>
      <c r="K70" t="str">
        <f t="shared" si="6"/>
        <v/>
      </c>
      <c r="L70" t="str">
        <f t="shared" si="7"/>
        <v/>
      </c>
    </row>
    <row r="71" spans="1:12">
      <c r="A71">
        <f>all_data!A95</f>
        <v>93</v>
      </c>
      <c r="B71" t="str">
        <f>IF(all_data!B95&gt;0,all_data!B95,"")</f>
        <v>Padnoaktnbhoct!</v>
      </c>
      <c r="C71">
        <f>all_data!C95</f>
        <v>5.3</v>
      </c>
      <c r="D71">
        <f>all_data!D95</f>
        <v>0</v>
      </c>
      <c r="E71">
        <f>all_data!E95</f>
        <v>0</v>
      </c>
      <c r="F71">
        <f>all_data!F95</f>
        <v>1300</v>
      </c>
      <c r="H71">
        <f t="shared" si="4"/>
        <v>0</v>
      </c>
      <c r="J71" s="20" t="str">
        <f t="shared" si="5"/>
        <v/>
      </c>
      <c r="K71" t="str">
        <f t="shared" si="6"/>
        <v/>
      </c>
      <c r="L71" t="str">
        <f t="shared" si="7"/>
        <v/>
      </c>
    </row>
    <row r="72" spans="1:12">
      <c r="A72">
        <f>all_data!A23</f>
        <v>21</v>
      </c>
      <c r="B72" t="str">
        <f>IF(all_data!B23&gt;0,all_data!B23,"")</f>
        <v>HMS Unsinkbar</v>
      </c>
      <c r="C72">
        <f>all_data!C23</f>
        <v>8.1999999999999993</v>
      </c>
      <c r="D72">
        <f>all_data!D23</f>
        <v>0</v>
      </c>
      <c r="E72">
        <f>all_data!E23</f>
        <v>0</v>
      </c>
      <c r="F72">
        <f>all_data!F23</f>
        <v>1</v>
      </c>
      <c r="H72">
        <f t="shared" si="4"/>
        <v>0</v>
      </c>
      <c r="J72" s="20" t="str">
        <f t="shared" si="5"/>
        <v/>
      </c>
      <c r="K72" t="str">
        <f t="shared" si="6"/>
        <v/>
      </c>
      <c r="L72" t="str">
        <f t="shared" si="7"/>
        <v/>
      </c>
    </row>
    <row r="73" spans="1:12">
      <c r="A73">
        <f>all_data!A52</f>
        <v>50</v>
      </c>
      <c r="B73" t="str">
        <f>IF(all_data!B52&gt;0,all_data!B52,"")</f>
        <v>Pinky</v>
      </c>
      <c r="C73">
        <f>all_data!C52</f>
        <v>10</v>
      </c>
      <c r="D73">
        <f>all_data!D52</f>
        <v>0</v>
      </c>
      <c r="E73">
        <f>all_data!E52</f>
        <v>0</v>
      </c>
      <c r="F73">
        <f>all_data!F52</f>
        <v>220</v>
      </c>
      <c r="H73">
        <f t="shared" si="4"/>
        <v>0</v>
      </c>
      <c r="J73" s="20" t="str">
        <f t="shared" si="5"/>
        <v/>
      </c>
      <c r="K73" t="str">
        <f t="shared" si="6"/>
        <v/>
      </c>
      <c r="L73" t="str">
        <f t="shared" si="7"/>
        <v/>
      </c>
    </row>
    <row r="74" spans="1:12">
      <c r="A74">
        <f>all_data!A82</f>
        <v>80</v>
      </c>
      <c r="B74" t="str">
        <f>IF(all_data!B82&gt;0,all_data!B82,"")</f>
        <v>Hannes</v>
      </c>
      <c r="C74">
        <f>all_data!C82</f>
        <v>4.0999999999999996</v>
      </c>
      <c r="D74">
        <f>all_data!D82</f>
        <v>0</v>
      </c>
      <c r="E74">
        <f>all_data!E82</f>
        <v>0</v>
      </c>
      <c r="F74">
        <f>all_data!F82</f>
        <v>1000</v>
      </c>
      <c r="H74">
        <f t="shared" si="4"/>
        <v>0</v>
      </c>
      <c r="J74" s="20" t="str">
        <f t="shared" si="5"/>
        <v/>
      </c>
      <c r="K74" t="str">
        <f t="shared" si="6"/>
        <v/>
      </c>
      <c r="L74" t="str">
        <f t="shared" si="7"/>
        <v/>
      </c>
    </row>
    <row r="75" spans="1:12">
      <c r="A75">
        <f>all_data!A34</f>
        <v>32</v>
      </c>
      <c r="B75" t="str">
        <f>IF(all_data!B34&gt;0,all_data!B34,"")</f>
        <v>Plus</v>
      </c>
      <c r="C75">
        <f>all_data!C34</f>
        <v>9.1999999999999993</v>
      </c>
      <c r="D75">
        <f>all_data!D34</f>
        <v>0</v>
      </c>
      <c r="E75">
        <f>all_data!E34</f>
        <v>0</v>
      </c>
      <c r="F75">
        <f>all_data!F34</f>
        <v>1</v>
      </c>
      <c r="H75">
        <f t="shared" si="4"/>
        <v>0</v>
      </c>
      <c r="J75" s="20" t="str">
        <f t="shared" si="5"/>
        <v/>
      </c>
      <c r="K75" t="str">
        <f t="shared" si="6"/>
        <v/>
      </c>
      <c r="L75" t="str">
        <f t="shared" si="7"/>
        <v/>
      </c>
    </row>
    <row r="76" spans="1:12">
      <c r="A76">
        <f>all_data!A69</f>
        <v>67</v>
      </c>
      <c r="B76" t="str">
        <f>IF(all_data!B69&gt;0,all_data!B69,"")</f>
        <v>Kyleyb</v>
      </c>
      <c r="C76">
        <f>all_data!C69</f>
        <v>9.8000000000000007</v>
      </c>
      <c r="D76">
        <f>all_data!D69</f>
        <v>0</v>
      </c>
      <c r="E76">
        <f>all_data!E69</f>
        <v>0</v>
      </c>
      <c r="F76">
        <f>all_data!F69</f>
        <v>876</v>
      </c>
      <c r="H76">
        <f t="shared" si="4"/>
        <v>0</v>
      </c>
      <c r="J76" s="20" t="str">
        <f t="shared" si="5"/>
        <v/>
      </c>
      <c r="K76" t="str">
        <f t="shared" si="6"/>
        <v/>
      </c>
      <c r="L76" t="str">
        <f t="shared" si="7"/>
        <v/>
      </c>
    </row>
    <row r="77" spans="1:12">
      <c r="A77">
        <f>all_data!A66</f>
        <v>64</v>
      </c>
      <c r="B77" t="str">
        <f>IF(all_data!B66&gt;0,all_data!B66,"")</f>
        <v>Derp-Boot!</v>
      </c>
      <c r="C77">
        <f>all_data!C66</f>
        <v>6.8</v>
      </c>
      <c r="D77">
        <f>all_data!D66</f>
        <v>0</v>
      </c>
      <c r="E77">
        <f>all_data!E66</f>
        <v>0</v>
      </c>
      <c r="F77">
        <f>all_data!F66</f>
        <v>800</v>
      </c>
      <c r="H77">
        <f t="shared" si="4"/>
        <v>0</v>
      </c>
      <c r="J77" s="20" t="str">
        <f t="shared" si="5"/>
        <v/>
      </c>
      <c r="K77" t="str">
        <f t="shared" si="6"/>
        <v/>
      </c>
      <c r="L77" t="str">
        <f t="shared" si="7"/>
        <v/>
      </c>
    </row>
    <row r="78" spans="1:12">
      <c r="A78">
        <f>all_data!A9</f>
        <v>7</v>
      </c>
      <c r="B78" t="str">
        <f>IF(all_data!B9&gt;0,all_data!B9,"")</f>
        <v>Allegro</v>
      </c>
      <c r="C78">
        <f>all_data!C9</f>
        <v>9.4</v>
      </c>
      <c r="D78">
        <f>all_data!D9</f>
        <v>0</v>
      </c>
      <c r="E78">
        <f>all_data!E9</f>
        <v>0</v>
      </c>
      <c r="F78">
        <f>all_data!F9</f>
        <v>1</v>
      </c>
      <c r="H78">
        <f t="shared" si="4"/>
        <v>0</v>
      </c>
      <c r="J78" s="20" t="str">
        <f t="shared" si="5"/>
        <v/>
      </c>
      <c r="K78" t="str">
        <f t="shared" si="6"/>
        <v/>
      </c>
      <c r="L78" t="str">
        <f t="shared" si="7"/>
        <v/>
      </c>
    </row>
    <row r="79" spans="1:12">
      <c r="A79">
        <f>all_data!A61</f>
        <v>59</v>
      </c>
      <c r="B79" t="str">
        <f>IF(all_data!B61&gt;0,all_data!B61,"")</f>
        <v>Junior</v>
      </c>
      <c r="C79">
        <f>all_data!C61</f>
        <v>6.4</v>
      </c>
      <c r="D79">
        <f>all_data!D61</f>
        <v>0</v>
      </c>
      <c r="E79">
        <f>all_data!E61</f>
        <v>0</v>
      </c>
      <c r="F79">
        <f>all_data!F61</f>
        <v>648</v>
      </c>
      <c r="H79">
        <f t="shared" si="4"/>
        <v>0</v>
      </c>
      <c r="J79" s="20" t="str">
        <f t="shared" si="5"/>
        <v/>
      </c>
      <c r="K79" t="str">
        <f t="shared" si="6"/>
        <v/>
      </c>
      <c r="L79" t="str">
        <f t="shared" si="7"/>
        <v/>
      </c>
    </row>
    <row r="80" spans="1:12">
      <c r="A80">
        <f>all_data!A22</f>
        <v>20</v>
      </c>
      <c r="B80" t="str">
        <f>IF(all_data!B22&gt;0,all_data!B22,"")</f>
        <v>Herzchen</v>
      </c>
      <c r="C80">
        <f>all_data!C22</f>
        <v>6.9</v>
      </c>
      <c r="D80">
        <f>all_data!D22</f>
        <v>0</v>
      </c>
      <c r="E80">
        <f>all_data!E22</f>
        <v>0</v>
      </c>
      <c r="F80">
        <f>all_data!F22</f>
        <v>1</v>
      </c>
      <c r="H80">
        <f t="shared" si="4"/>
        <v>0</v>
      </c>
      <c r="J80" s="20" t="str">
        <f t="shared" si="5"/>
        <v/>
      </c>
      <c r="K80" t="str">
        <f t="shared" si="6"/>
        <v/>
      </c>
      <c r="L80" t="str">
        <f t="shared" si="7"/>
        <v/>
      </c>
    </row>
    <row r="81" spans="1:12">
      <c r="A81">
        <f>all_data!A4</f>
        <v>2</v>
      </c>
      <c r="B81" t="str">
        <f>IF(all_data!B4&gt;0,all_data!B4,"")</f>
        <v>1108</v>
      </c>
      <c r="C81">
        <f>all_data!C4</f>
        <v>8.5</v>
      </c>
      <c r="D81">
        <f>all_data!D4</f>
        <v>0</v>
      </c>
      <c r="E81">
        <f>all_data!E4</f>
        <v>0</v>
      </c>
      <c r="F81">
        <f>all_data!F4</f>
        <v>1</v>
      </c>
      <c r="H81">
        <f t="shared" si="4"/>
        <v>0</v>
      </c>
      <c r="J81" s="20" t="str">
        <f t="shared" si="5"/>
        <v/>
      </c>
      <c r="K81" t="str">
        <f t="shared" si="6"/>
        <v/>
      </c>
      <c r="L81" t="str">
        <f t="shared" si="7"/>
        <v/>
      </c>
    </row>
    <row r="82" spans="1:12">
      <c r="A82">
        <f>all_data!A11</f>
        <v>9</v>
      </c>
      <c r="B82" t="str">
        <f>IF(all_data!B11&gt;0,all_data!B11,"")</f>
        <v>Backpapier</v>
      </c>
      <c r="C82">
        <f>all_data!C11</f>
        <v>9.3000000000000007</v>
      </c>
      <c r="D82">
        <f>all_data!D11</f>
        <v>0</v>
      </c>
      <c r="E82">
        <f>all_data!E11</f>
        <v>0</v>
      </c>
      <c r="F82">
        <f>all_data!F11</f>
        <v>1</v>
      </c>
      <c r="H82">
        <f t="shared" si="4"/>
        <v>0</v>
      </c>
      <c r="J82" s="20" t="str">
        <f t="shared" si="5"/>
        <v/>
      </c>
      <c r="K82" t="str">
        <f t="shared" si="6"/>
        <v/>
      </c>
      <c r="L82" t="str">
        <f t="shared" si="7"/>
        <v/>
      </c>
    </row>
    <row r="83" spans="1:12">
      <c r="A83">
        <f>all_data!A96</f>
        <v>94</v>
      </c>
      <c r="B83" t="str">
        <f>IF(all_data!B96&gt;0,all_data!B96,"")</f>
        <v>MS Raid</v>
      </c>
      <c r="C83">
        <f>all_data!C96</f>
        <v>8.4</v>
      </c>
      <c r="D83">
        <f>all_data!D96</f>
        <v>0</v>
      </c>
      <c r="E83">
        <f>all_data!E96</f>
        <v>0</v>
      </c>
      <c r="F83">
        <f>all_data!F96</f>
        <v>1350</v>
      </c>
      <c r="H83">
        <f t="shared" si="4"/>
        <v>0</v>
      </c>
      <c r="J83" s="20" t="str">
        <f t="shared" si="5"/>
        <v/>
      </c>
      <c r="K83" t="str">
        <f t="shared" si="6"/>
        <v/>
      </c>
      <c r="L83" t="str">
        <f t="shared" si="7"/>
        <v/>
      </c>
    </row>
    <row r="84" spans="1:12">
      <c r="A84">
        <f>all_data!A24</f>
        <v>22</v>
      </c>
      <c r="B84" t="str">
        <f>IF(all_data!B24&gt;0,all_data!B24,"")</f>
        <v>Hummelchen</v>
      </c>
      <c r="C84">
        <f>all_data!C24</f>
        <v>5.3</v>
      </c>
      <c r="D84">
        <f>all_data!D24</f>
        <v>0</v>
      </c>
      <c r="E84">
        <f>all_data!E24</f>
        <v>0</v>
      </c>
      <c r="F84">
        <f>all_data!F24</f>
        <v>1</v>
      </c>
      <c r="H84">
        <f t="shared" si="4"/>
        <v>0</v>
      </c>
      <c r="J84" s="20" t="str">
        <f t="shared" si="5"/>
        <v/>
      </c>
      <c r="K84" t="str">
        <f t="shared" si="6"/>
        <v/>
      </c>
      <c r="L84" t="str">
        <f t="shared" si="7"/>
        <v/>
      </c>
    </row>
    <row r="85" spans="1:12">
      <c r="A85">
        <f>all_data!A20</f>
        <v>18</v>
      </c>
      <c r="B85" t="str">
        <f>IF(all_data!B20&gt;0,all_data!B20,"")</f>
        <v>Fritzinchen</v>
      </c>
      <c r="C85">
        <f>all_data!C20</f>
        <v>7.8</v>
      </c>
      <c r="D85">
        <f>all_data!D20</f>
        <v>0</v>
      </c>
      <c r="E85">
        <f>all_data!E20</f>
        <v>0</v>
      </c>
      <c r="F85">
        <f>all_data!F20</f>
        <v>1</v>
      </c>
      <c r="H85">
        <f t="shared" si="4"/>
        <v>0</v>
      </c>
      <c r="J85" s="20" t="str">
        <f t="shared" si="5"/>
        <v/>
      </c>
      <c r="K85" t="str">
        <f t="shared" si="6"/>
        <v/>
      </c>
      <c r="L85" t="str">
        <f t="shared" si="7"/>
        <v/>
      </c>
    </row>
    <row r="86" spans="1:12">
      <c r="A86">
        <f>all_data!A35</f>
        <v>33</v>
      </c>
      <c r="B86" t="str">
        <f>IF(all_data!B35&gt;0,all_data!B35,"")</f>
        <v>Powerschiff 13</v>
      </c>
      <c r="C86">
        <f>all_data!C35</f>
        <v>9.1999999999999993</v>
      </c>
      <c r="D86">
        <f>all_data!D35</f>
        <v>0</v>
      </c>
      <c r="E86">
        <f>all_data!E35</f>
        <v>0</v>
      </c>
      <c r="F86">
        <f>all_data!F35</f>
        <v>1</v>
      </c>
      <c r="H86">
        <f t="shared" si="4"/>
        <v>0</v>
      </c>
      <c r="J86" s="20" t="str">
        <f t="shared" si="5"/>
        <v/>
      </c>
      <c r="K86" t="str">
        <f t="shared" si="6"/>
        <v/>
      </c>
      <c r="L86" t="str">
        <f t="shared" si="7"/>
        <v/>
      </c>
    </row>
    <row r="87" spans="1:12">
      <c r="A87">
        <f>all_data!A7</f>
        <v>5</v>
      </c>
      <c r="B87" t="str">
        <f>IF(all_data!B7&gt;0,all_data!B7,"")</f>
        <v>Ahoi</v>
      </c>
      <c r="C87">
        <f>all_data!C7</f>
        <v>9</v>
      </c>
      <c r="D87">
        <f>all_data!D7</f>
        <v>0</v>
      </c>
      <c r="E87">
        <f>all_data!E7</f>
        <v>0</v>
      </c>
      <c r="F87">
        <f>all_data!F7</f>
        <v>1</v>
      </c>
      <c r="H87">
        <f t="shared" si="4"/>
        <v>0</v>
      </c>
      <c r="J87" s="20" t="str">
        <f t="shared" si="5"/>
        <v/>
      </c>
      <c r="K87" t="str">
        <f t="shared" si="6"/>
        <v/>
      </c>
      <c r="L87" t="str">
        <f t="shared" si="7"/>
        <v/>
      </c>
    </row>
    <row r="88" spans="1:12">
      <c r="A88">
        <f>all_data!A60</f>
        <v>58</v>
      </c>
      <c r="B88" t="str">
        <f>IF(all_data!B60&gt;0,all_data!B60,"")</f>
        <v>Mein Boot</v>
      </c>
      <c r="C88">
        <f>all_data!C60</f>
        <v>9.8000000000000007</v>
      </c>
      <c r="D88">
        <f>all_data!D60</f>
        <v>0</v>
      </c>
      <c r="E88">
        <f>all_data!E60</f>
        <v>0</v>
      </c>
      <c r="F88">
        <f>all_data!F60</f>
        <v>600</v>
      </c>
      <c r="H88">
        <f t="shared" si="4"/>
        <v>0</v>
      </c>
      <c r="J88" s="20" t="str">
        <f t="shared" si="5"/>
        <v/>
      </c>
      <c r="K88" t="str">
        <f t="shared" si="6"/>
        <v/>
      </c>
      <c r="L88" t="str">
        <f t="shared" si="7"/>
        <v/>
      </c>
    </row>
    <row r="89" spans="1:12">
      <c r="A89">
        <f>all_data!A65</f>
        <v>63</v>
      </c>
      <c r="B89" t="str">
        <f>IF(all_data!B65&gt;0,all_data!B65,"")</f>
        <v>MS. Schachtel</v>
      </c>
      <c r="C89">
        <f>all_data!C65</f>
        <v>9.8000000000000007</v>
      </c>
      <c r="D89">
        <f>all_data!D65</f>
        <v>0</v>
      </c>
      <c r="E89">
        <f>all_data!E65</f>
        <v>0</v>
      </c>
      <c r="F89">
        <f>all_data!F65</f>
        <v>752</v>
      </c>
      <c r="H89">
        <f t="shared" si="4"/>
        <v>0</v>
      </c>
      <c r="J89" s="20" t="str">
        <f t="shared" si="5"/>
        <v/>
      </c>
      <c r="K89" t="str">
        <f t="shared" si="6"/>
        <v/>
      </c>
      <c r="L89" t="str">
        <f t="shared" si="7"/>
        <v/>
      </c>
    </row>
    <row r="90" spans="1:12">
      <c r="A90">
        <f>all_data!A57</f>
        <v>55</v>
      </c>
      <c r="B90" t="str">
        <f>IF(all_data!B57&gt;0,all_data!B57,"")</f>
        <v>Gummibärchen</v>
      </c>
      <c r="C90">
        <f>all_data!C57</f>
        <v>10</v>
      </c>
      <c r="D90">
        <f>all_data!D57</f>
        <v>0</v>
      </c>
      <c r="E90">
        <f>all_data!E57</f>
        <v>0</v>
      </c>
      <c r="F90">
        <f>all_data!F57</f>
        <v>500</v>
      </c>
      <c r="H90">
        <f t="shared" si="4"/>
        <v>0</v>
      </c>
      <c r="J90" s="20" t="str">
        <f t="shared" si="5"/>
        <v/>
      </c>
      <c r="K90" t="str">
        <f t="shared" si="6"/>
        <v/>
      </c>
      <c r="L90" t="str">
        <f t="shared" si="7"/>
        <v/>
      </c>
    </row>
    <row r="91" spans="1:12">
      <c r="A91">
        <f>all_data!A27</f>
        <v>25</v>
      </c>
      <c r="B91" t="str">
        <f>IF(all_data!B27&gt;0,all_data!B27,"")</f>
        <v>Lasse</v>
      </c>
      <c r="C91">
        <f>all_data!C27</f>
        <v>7.5</v>
      </c>
      <c r="D91">
        <f>all_data!D27</f>
        <v>0</v>
      </c>
      <c r="E91">
        <f>all_data!E27</f>
        <v>0</v>
      </c>
      <c r="F91">
        <f>all_data!F27</f>
        <v>1</v>
      </c>
      <c r="H91">
        <f t="shared" si="4"/>
        <v>0</v>
      </c>
      <c r="J91" s="20" t="str">
        <f t="shared" si="5"/>
        <v/>
      </c>
      <c r="K91" t="str">
        <f t="shared" si="6"/>
        <v/>
      </c>
      <c r="L91" t="str">
        <f t="shared" si="7"/>
        <v/>
      </c>
    </row>
    <row r="92" spans="1:12">
      <c r="A92">
        <f>all_data!A6</f>
        <v>4</v>
      </c>
      <c r="B92" t="str">
        <f>IF(all_data!B6&gt;0,all_data!B6,"")</f>
        <v>253</v>
      </c>
      <c r="C92">
        <f>all_data!C6</f>
        <v>8.5</v>
      </c>
      <c r="D92">
        <f>all_data!D6</f>
        <v>0</v>
      </c>
      <c r="E92">
        <f>all_data!E6</f>
        <v>0</v>
      </c>
      <c r="F92">
        <f>all_data!F6</f>
        <v>1</v>
      </c>
      <c r="H92">
        <f t="shared" si="4"/>
        <v>0</v>
      </c>
      <c r="J92" s="20" t="str">
        <f t="shared" si="5"/>
        <v/>
      </c>
      <c r="K92" t="str">
        <f t="shared" si="6"/>
        <v/>
      </c>
      <c r="L92" t="str">
        <f t="shared" si="7"/>
        <v/>
      </c>
    </row>
    <row r="93" spans="1:12">
      <c r="A93">
        <f>all_data!A43</f>
        <v>41</v>
      </c>
      <c r="B93" t="str">
        <f>IF(all_data!B43&gt;0,all_data!B43,"")</f>
        <v>THW Kiel</v>
      </c>
      <c r="C93">
        <f>all_data!C43</f>
        <v>4.9000000000000004</v>
      </c>
      <c r="D93">
        <f>all_data!D43</f>
        <v>0</v>
      </c>
      <c r="E93">
        <f>all_data!E43</f>
        <v>0</v>
      </c>
      <c r="F93">
        <f>all_data!F43</f>
        <v>1</v>
      </c>
      <c r="H93">
        <f t="shared" si="4"/>
        <v>0</v>
      </c>
      <c r="J93" s="20" t="str">
        <f t="shared" si="5"/>
        <v/>
      </c>
      <c r="K93" t="str">
        <f t="shared" si="6"/>
        <v/>
      </c>
      <c r="L93" t="str">
        <f t="shared" si="7"/>
        <v/>
      </c>
    </row>
    <row r="94" spans="1:12">
      <c r="A94">
        <f>all_data!A38</f>
        <v>36</v>
      </c>
      <c r="B94" t="str">
        <f>IF(all_data!B38&gt;0,all_data!B38,"")</f>
        <v>Romba 2500</v>
      </c>
      <c r="C94">
        <f>all_data!C38</f>
        <v>10</v>
      </c>
      <c r="D94">
        <f>all_data!D38</f>
        <v>0</v>
      </c>
      <c r="E94">
        <f>all_data!E38</f>
        <v>0</v>
      </c>
      <c r="F94">
        <f>all_data!F38</f>
        <v>1</v>
      </c>
      <c r="H94">
        <f t="shared" si="4"/>
        <v>0</v>
      </c>
      <c r="J94" s="20" t="str">
        <f t="shared" si="5"/>
        <v/>
      </c>
      <c r="K94" t="str">
        <f t="shared" si="6"/>
        <v/>
      </c>
      <c r="L94" t="str">
        <f t="shared" si="7"/>
        <v/>
      </c>
    </row>
    <row r="95" spans="1:12">
      <c r="A95">
        <f>all_data!A59</f>
        <v>57</v>
      </c>
      <c r="B95" t="str">
        <f>IF(all_data!B59&gt;0,all_data!B59,"")</f>
        <v>Brjamota</v>
      </c>
      <c r="C95">
        <f>all_data!C59</f>
        <v>5.9</v>
      </c>
      <c r="D95">
        <f>all_data!D59</f>
        <v>0</v>
      </c>
      <c r="E95">
        <f>all_data!E59</f>
        <v>0</v>
      </c>
      <c r="F95">
        <f>all_data!F59</f>
        <v>600</v>
      </c>
      <c r="H95">
        <f t="shared" si="4"/>
        <v>0</v>
      </c>
      <c r="J95" s="20" t="str">
        <f t="shared" si="5"/>
        <v/>
      </c>
      <c r="K95" t="str">
        <f t="shared" si="6"/>
        <v/>
      </c>
      <c r="L95" t="str">
        <f t="shared" si="7"/>
        <v/>
      </c>
    </row>
    <row r="96" spans="1:12">
      <c r="A96">
        <f>all_data!A14</f>
        <v>12</v>
      </c>
      <c r="B96" t="str">
        <f>IF(all_data!B14&gt;0,all_data!B14,"")</f>
        <v>Blue Latern</v>
      </c>
      <c r="C96">
        <f>all_data!C14</f>
        <v>8.5</v>
      </c>
      <c r="D96">
        <f>all_data!D14</f>
        <v>0</v>
      </c>
      <c r="E96">
        <f>all_data!E14</f>
        <v>0</v>
      </c>
      <c r="F96">
        <f>all_data!F14</f>
        <v>1</v>
      </c>
      <c r="H96">
        <f t="shared" si="4"/>
        <v>0</v>
      </c>
      <c r="J96" s="20" t="str">
        <f t="shared" si="5"/>
        <v/>
      </c>
      <c r="K96" t="str">
        <f t="shared" si="6"/>
        <v/>
      </c>
      <c r="L96" t="str">
        <f t="shared" si="7"/>
        <v/>
      </c>
    </row>
    <row r="97" spans="1:12">
      <c r="A97">
        <f>all_data!A33</f>
        <v>31</v>
      </c>
      <c r="B97" t="str">
        <f>IF(all_data!B33&gt;0,all_data!B33,"")</f>
        <v>NICHRALRYSCHHA</v>
      </c>
      <c r="C97">
        <f>all_data!C33</f>
        <v>9.6999999999999993</v>
      </c>
      <c r="D97">
        <f>all_data!D33</f>
        <v>0</v>
      </c>
      <c r="E97">
        <f>all_data!E33</f>
        <v>0</v>
      </c>
      <c r="F97">
        <f>all_data!F33</f>
        <v>1</v>
      </c>
      <c r="H97">
        <f t="shared" si="4"/>
        <v>0</v>
      </c>
      <c r="J97" s="20" t="str">
        <f t="shared" si="5"/>
        <v/>
      </c>
      <c r="K97" t="str">
        <f t="shared" si="6"/>
        <v/>
      </c>
      <c r="L97" t="str">
        <f t="shared" si="7"/>
        <v/>
      </c>
    </row>
    <row r="98" spans="1:12">
      <c r="A98">
        <f>all_data!A13</f>
        <v>11</v>
      </c>
      <c r="B98" t="str">
        <f>IF(all_data!B13&gt;0,all_data!B13,"")</f>
        <v>Black Pearl II</v>
      </c>
      <c r="C98">
        <f>all_data!C13</f>
        <v>9.6</v>
      </c>
      <c r="D98">
        <f>all_data!D13</f>
        <v>0</v>
      </c>
      <c r="E98">
        <f>all_data!E13</f>
        <v>0</v>
      </c>
      <c r="F98">
        <f>all_data!F13</f>
        <v>1</v>
      </c>
      <c r="H98">
        <f t="shared" si="4"/>
        <v>0</v>
      </c>
      <c r="J98" s="20" t="str">
        <f t="shared" si="5"/>
        <v/>
      </c>
      <c r="K98" t="str">
        <f t="shared" si="6"/>
        <v/>
      </c>
      <c r="L98" t="str">
        <f t="shared" si="7"/>
        <v/>
      </c>
    </row>
    <row r="99" spans="1:12">
      <c r="A99">
        <f>all_data!A67</f>
        <v>65</v>
      </c>
      <c r="B99" t="str">
        <f>IF(all_data!B67&gt;0,all_data!B67,"")</f>
        <v>Drachenboot</v>
      </c>
      <c r="C99">
        <f>all_data!C67</f>
        <v>7.2</v>
      </c>
      <c r="D99">
        <f>all_data!D67</f>
        <v>0</v>
      </c>
      <c r="E99">
        <f>all_data!E67</f>
        <v>0</v>
      </c>
      <c r="F99">
        <f>all_data!F67</f>
        <v>800</v>
      </c>
      <c r="H99">
        <f t="shared" si="4"/>
        <v>0</v>
      </c>
      <c r="J99" s="20" t="str">
        <f t="shared" si="5"/>
        <v/>
      </c>
      <c r="K99" t="str">
        <f t="shared" si="6"/>
        <v/>
      </c>
      <c r="L99" t="str">
        <f t="shared" si="7"/>
        <v/>
      </c>
    </row>
    <row r="100" spans="1:12">
      <c r="A100">
        <f>all_data!A48</f>
        <v>46</v>
      </c>
      <c r="B100" t="str">
        <f>IF(all_data!B48&gt;0,all_data!B48,"")</f>
        <v>Bloody Marry</v>
      </c>
      <c r="C100">
        <f>all_data!C48</f>
        <v>9.3000000000000007</v>
      </c>
      <c r="D100">
        <f>all_data!D48</f>
        <v>0</v>
      </c>
      <c r="E100">
        <f>all_data!E48</f>
        <v>0</v>
      </c>
      <c r="F100">
        <f>all_data!F48</f>
        <v>200</v>
      </c>
      <c r="H100">
        <f t="shared" si="4"/>
        <v>0</v>
      </c>
      <c r="J100" s="20" t="str">
        <f t="shared" si="5"/>
        <v/>
      </c>
      <c r="K100" t="str">
        <f t="shared" si="6"/>
        <v/>
      </c>
      <c r="L100" t="str">
        <f t="shared" si="7"/>
        <v/>
      </c>
    </row>
    <row r="101" spans="1:12">
      <c r="A101">
        <f>all_data!A136</f>
        <v>134</v>
      </c>
      <c r="B101" t="str">
        <f>IF(all_data!B136&gt;0,all_data!B136,"")</f>
        <v>Nuestra Senora de las Mercedes</v>
      </c>
      <c r="C101">
        <f>all_data!C136</f>
        <v>7.7</v>
      </c>
      <c r="D101">
        <f>all_data!D136</f>
        <v>0</v>
      </c>
      <c r="E101">
        <f>all_data!E136</f>
        <v>0</v>
      </c>
      <c r="F101">
        <f>all_data!F136</f>
        <v>4000</v>
      </c>
      <c r="H101">
        <f t="shared" si="4"/>
        <v>0</v>
      </c>
      <c r="J101" s="20" t="str">
        <f t="shared" si="5"/>
        <v/>
      </c>
      <c r="K101" t="str">
        <f t="shared" si="6"/>
        <v/>
      </c>
      <c r="L101" t="str">
        <f t="shared" si="7"/>
        <v/>
      </c>
    </row>
    <row r="102" spans="1:12">
      <c r="A102">
        <f>all_data!A17</f>
        <v>15</v>
      </c>
      <c r="B102" t="str">
        <f>IF(all_data!B17&gt;0,all_data!B17,"")</f>
        <v>Der Boot</v>
      </c>
      <c r="C102">
        <f>all_data!C17</f>
        <v>6.5</v>
      </c>
      <c r="D102">
        <f>all_data!D17</f>
        <v>0</v>
      </c>
      <c r="E102">
        <f>all_data!E17</f>
        <v>0</v>
      </c>
      <c r="F102">
        <f>all_data!F17</f>
        <v>1</v>
      </c>
      <c r="H102">
        <f t="shared" si="4"/>
        <v>0</v>
      </c>
      <c r="J102" s="20" t="str">
        <f t="shared" si="5"/>
        <v/>
      </c>
      <c r="K102" t="str">
        <f t="shared" si="6"/>
        <v/>
      </c>
      <c r="L102" t="str">
        <f t="shared" si="7"/>
        <v/>
      </c>
    </row>
    <row r="103" spans="1:12">
      <c r="A103">
        <f>all_data!A42</f>
        <v>40</v>
      </c>
      <c r="B103" t="str">
        <f>IF(all_data!B42&gt;0,all_data!B42,"")</f>
        <v>Temerer</v>
      </c>
      <c r="C103">
        <f>all_data!C42</f>
        <v>8.4</v>
      </c>
      <c r="D103">
        <f>all_data!D42</f>
        <v>0</v>
      </c>
      <c r="E103">
        <f>all_data!E42</f>
        <v>0</v>
      </c>
      <c r="F103">
        <f>all_data!F42</f>
        <v>1</v>
      </c>
      <c r="H103">
        <f t="shared" si="4"/>
        <v>0</v>
      </c>
      <c r="J103" s="20" t="str">
        <f t="shared" si="5"/>
        <v/>
      </c>
      <c r="K103" t="str">
        <f t="shared" si="6"/>
        <v/>
      </c>
      <c r="L103" t="str">
        <f t="shared" si="7"/>
        <v/>
      </c>
    </row>
    <row r="104" spans="1:12">
      <c r="A104">
        <f>all_data!A135</f>
        <v>133</v>
      </c>
      <c r="B104" t="str">
        <f>IF(all_data!B135&gt;0,all_data!B135,"")</f>
        <v>Corny 2013</v>
      </c>
      <c r="C104">
        <f>all_data!C135</f>
        <v>7.5</v>
      </c>
      <c r="D104">
        <f>all_data!D135</f>
        <v>0</v>
      </c>
      <c r="E104">
        <f>all_data!E135</f>
        <v>0</v>
      </c>
      <c r="F104">
        <f>all_data!F135</f>
        <v>3500</v>
      </c>
      <c r="H104">
        <f t="shared" si="4"/>
        <v>0</v>
      </c>
      <c r="J104" s="20" t="str">
        <f t="shared" si="5"/>
        <v/>
      </c>
      <c r="K104" t="str">
        <f t="shared" si="6"/>
        <v/>
      </c>
      <c r="L104" t="str">
        <f t="shared" si="7"/>
        <v/>
      </c>
    </row>
    <row r="105" spans="1:12">
      <c r="A105">
        <f>all_data!A16</f>
        <v>14</v>
      </c>
      <c r="B105" t="str">
        <f>IF(all_data!B16&gt;0,all_data!B16,"")</f>
        <v>Daniel</v>
      </c>
      <c r="C105">
        <f>all_data!C16</f>
        <v>9.1</v>
      </c>
      <c r="D105">
        <f>all_data!D16</f>
        <v>0</v>
      </c>
      <c r="E105">
        <f>all_data!E16</f>
        <v>0</v>
      </c>
      <c r="F105">
        <f>all_data!F16</f>
        <v>1</v>
      </c>
      <c r="H105">
        <f t="shared" si="4"/>
        <v>0</v>
      </c>
      <c r="J105" s="20" t="str">
        <f t="shared" si="5"/>
        <v/>
      </c>
      <c r="K105" t="str">
        <f t="shared" si="6"/>
        <v/>
      </c>
      <c r="L105" t="str">
        <f t="shared" si="7"/>
        <v/>
      </c>
    </row>
    <row r="106" spans="1:12">
      <c r="A106">
        <f>all_data!A30</f>
        <v>28</v>
      </c>
      <c r="B106" t="str">
        <f>IF(all_data!B30&gt;0,all_data!B30,"")</f>
        <v>MS . B.J.</v>
      </c>
      <c r="C106">
        <f>all_data!C30</f>
        <v>9.6999999999999993</v>
      </c>
      <c r="D106">
        <f>all_data!D30</f>
        <v>0</v>
      </c>
      <c r="E106">
        <f>all_data!E30</f>
        <v>0</v>
      </c>
      <c r="F106">
        <f>all_data!F30</f>
        <v>1</v>
      </c>
      <c r="H106">
        <f t="shared" si="4"/>
        <v>0</v>
      </c>
      <c r="J106" s="20" t="str">
        <f t="shared" si="5"/>
        <v/>
      </c>
      <c r="K106" t="str">
        <f t="shared" si="6"/>
        <v/>
      </c>
      <c r="L106" t="str">
        <f t="shared" si="7"/>
        <v/>
      </c>
    </row>
    <row r="107" spans="1:12">
      <c r="A107">
        <f>all_data!A21</f>
        <v>19</v>
      </c>
      <c r="B107" t="str">
        <f>IF(all_data!B21&gt;0,all_data!B21,"")</f>
        <v>HCO</v>
      </c>
      <c r="C107">
        <f>all_data!C21</f>
        <v>9.9</v>
      </c>
      <c r="D107">
        <f>all_data!D21</f>
        <v>0</v>
      </c>
      <c r="E107">
        <f>all_data!E21</f>
        <v>0</v>
      </c>
      <c r="F107">
        <f>all_data!F21</f>
        <v>1</v>
      </c>
      <c r="H107">
        <f t="shared" si="4"/>
        <v>0</v>
      </c>
      <c r="J107" s="20" t="str">
        <f t="shared" si="5"/>
        <v/>
      </c>
      <c r="K107" t="str">
        <f t="shared" si="6"/>
        <v/>
      </c>
      <c r="L107" t="str">
        <f t="shared" si="7"/>
        <v/>
      </c>
    </row>
    <row r="108" spans="1:12">
      <c r="A108">
        <f>all_data!A5</f>
        <v>3</v>
      </c>
      <c r="B108" t="str">
        <f>IF(all_data!B5&gt;0,all_data!B5,"")</f>
        <v>22</v>
      </c>
      <c r="C108">
        <f>all_data!C5</f>
        <v>8.8000000000000007</v>
      </c>
      <c r="D108">
        <f>all_data!D5</f>
        <v>0</v>
      </c>
      <c r="E108">
        <f>all_data!E5</f>
        <v>0</v>
      </c>
      <c r="F108">
        <f>all_data!F5</f>
        <v>1</v>
      </c>
      <c r="H108">
        <f t="shared" si="4"/>
        <v>0</v>
      </c>
      <c r="J108" s="20" t="str">
        <f t="shared" si="5"/>
        <v/>
      </c>
      <c r="K108" t="str">
        <f t="shared" si="6"/>
        <v/>
      </c>
      <c r="L108" t="str">
        <f t="shared" si="7"/>
        <v/>
      </c>
    </row>
    <row r="109" spans="1:12">
      <c r="A109">
        <f>all_data!A91</f>
        <v>89</v>
      </c>
      <c r="B109" t="str">
        <f>IF(all_data!B91&gt;0,all_data!B91,"")</f>
        <v>Titan 4</v>
      </c>
      <c r="C109">
        <f>all_data!C91</f>
        <v>8.1999999999999993</v>
      </c>
      <c r="D109">
        <f>all_data!D91</f>
        <v>0</v>
      </c>
      <c r="E109">
        <f>all_data!E91</f>
        <v>0</v>
      </c>
      <c r="F109">
        <f>all_data!F91</f>
        <v>1000</v>
      </c>
      <c r="H109">
        <f t="shared" si="4"/>
        <v>0</v>
      </c>
      <c r="J109" s="20" t="str">
        <f t="shared" si="5"/>
        <v/>
      </c>
      <c r="K109" t="str">
        <f t="shared" si="6"/>
        <v/>
      </c>
      <c r="L109" t="str">
        <f t="shared" si="7"/>
        <v/>
      </c>
    </row>
    <row r="110" spans="1:12">
      <c r="A110">
        <f>all_data!A19</f>
        <v>17</v>
      </c>
      <c r="B110" t="str">
        <f>IF(all_data!B19&gt;0,all_data!B19,"")</f>
        <v>Exxon Valdez</v>
      </c>
      <c r="C110">
        <f>all_data!C19</f>
        <v>4.5</v>
      </c>
      <c r="D110">
        <f>all_data!D19</f>
        <v>0</v>
      </c>
      <c r="E110">
        <f>all_data!E19</f>
        <v>0</v>
      </c>
      <c r="F110">
        <f>all_data!F19</f>
        <v>1</v>
      </c>
      <c r="H110">
        <f t="shared" si="4"/>
        <v>0</v>
      </c>
      <c r="J110" s="20" t="str">
        <f t="shared" si="5"/>
        <v/>
      </c>
      <c r="K110" t="str">
        <f t="shared" si="6"/>
        <v/>
      </c>
      <c r="L110" t="str">
        <f t="shared" si="7"/>
        <v/>
      </c>
    </row>
    <row r="111" spans="1:12">
      <c r="A111">
        <f>all_data!A46</f>
        <v>44</v>
      </c>
      <c r="B111" t="str">
        <f>IF(all_data!B46&gt;0,all_data!B46,"")</f>
        <v>Yolo</v>
      </c>
      <c r="C111">
        <f>all_data!C46</f>
        <v>9.5</v>
      </c>
      <c r="D111">
        <f>all_data!D46</f>
        <v>0</v>
      </c>
      <c r="E111">
        <f>all_data!E46</f>
        <v>0</v>
      </c>
      <c r="F111">
        <f>all_data!F46</f>
        <v>1</v>
      </c>
      <c r="H111">
        <f t="shared" si="4"/>
        <v>0</v>
      </c>
      <c r="J111" s="20" t="str">
        <f t="shared" si="5"/>
        <v/>
      </c>
      <c r="K111" t="str">
        <f t="shared" si="6"/>
        <v/>
      </c>
      <c r="L111" t="str">
        <f t="shared" si="7"/>
        <v/>
      </c>
    </row>
    <row r="112" spans="1:12">
      <c r="A112">
        <f>all_data!A50</f>
        <v>48</v>
      </c>
      <c r="B112" t="str">
        <f>IF(all_data!B50&gt;0,all_data!B50,"")</f>
        <v>Hong Nga 2</v>
      </c>
      <c r="C112">
        <f>all_data!C50</f>
        <v>7.1</v>
      </c>
      <c r="D112">
        <f>all_data!D50</f>
        <v>0</v>
      </c>
      <c r="E112">
        <f>all_data!E50</f>
        <v>0</v>
      </c>
      <c r="F112">
        <f>all_data!F50</f>
        <v>200</v>
      </c>
      <c r="H112">
        <f t="shared" si="4"/>
        <v>0</v>
      </c>
      <c r="J112" s="20" t="str">
        <f t="shared" si="5"/>
        <v/>
      </c>
      <c r="K112" t="str">
        <f t="shared" si="6"/>
        <v/>
      </c>
      <c r="L112" t="str">
        <f t="shared" si="7"/>
        <v/>
      </c>
    </row>
    <row r="113" spans="1:12">
      <c r="A113">
        <f>all_data!A3</f>
        <v>1</v>
      </c>
      <c r="B113" t="str">
        <f>IF(all_data!B3&gt;0,all_data!B3,"")</f>
        <v>0910</v>
      </c>
      <c r="C113">
        <f>all_data!C3</f>
        <v>8.1</v>
      </c>
      <c r="D113">
        <f>all_data!D3</f>
        <v>0</v>
      </c>
      <c r="E113">
        <f>all_data!E3</f>
        <v>0</v>
      </c>
      <c r="F113">
        <f>all_data!F3</f>
        <v>1</v>
      </c>
      <c r="H113">
        <f t="shared" si="4"/>
        <v>0</v>
      </c>
      <c r="J113" s="20" t="str">
        <f t="shared" si="5"/>
        <v/>
      </c>
      <c r="K113" t="str">
        <f t="shared" si="6"/>
        <v/>
      </c>
      <c r="L113" t="str">
        <f t="shared" si="7"/>
        <v/>
      </c>
    </row>
    <row r="114" spans="1:12">
      <c r="A114">
        <f>all_data!A47</f>
        <v>45</v>
      </c>
      <c r="B114" t="str">
        <f>IF(all_data!B47&gt;0,all_data!B47,"")</f>
        <v>TITANIK 2.0</v>
      </c>
      <c r="C114">
        <f>all_data!C47</f>
        <v>1.4</v>
      </c>
      <c r="D114">
        <f>all_data!D47</f>
        <v>0</v>
      </c>
      <c r="E114">
        <f>all_data!E47</f>
        <v>0</v>
      </c>
      <c r="F114">
        <f>all_data!F47</f>
        <v>8</v>
      </c>
      <c r="H114">
        <f t="shared" si="4"/>
        <v>0</v>
      </c>
      <c r="J114" s="20" t="str">
        <f t="shared" si="5"/>
        <v/>
      </c>
      <c r="K114" t="str">
        <f t="shared" si="6"/>
        <v/>
      </c>
      <c r="L114" t="str">
        <f t="shared" si="7"/>
        <v/>
      </c>
    </row>
    <row r="115" spans="1:12">
      <c r="A115">
        <f>all_data!A63</f>
        <v>61</v>
      </c>
      <c r="B115" t="str">
        <f>IF(all_data!B63&gt;0,all_data!B63,"")</f>
        <v>CostaConcordia</v>
      </c>
      <c r="C115">
        <f>all_data!C63</f>
        <v>5.4</v>
      </c>
      <c r="D115">
        <f>all_data!D63</f>
        <v>0</v>
      </c>
      <c r="E115">
        <f>all_data!E63</f>
        <v>0</v>
      </c>
      <c r="F115">
        <f>all_data!F63</f>
        <v>700</v>
      </c>
      <c r="H115">
        <f t="shared" si="4"/>
        <v>0</v>
      </c>
      <c r="J115" s="20" t="str">
        <f t="shared" si="5"/>
        <v/>
      </c>
      <c r="K115" t="str">
        <f t="shared" si="6"/>
        <v/>
      </c>
      <c r="L115" t="str">
        <f t="shared" si="7"/>
        <v/>
      </c>
    </row>
    <row r="116" spans="1:12">
      <c r="A116">
        <f>all_data!A36</f>
        <v>34</v>
      </c>
      <c r="B116" t="str">
        <f>IF(all_data!B36&gt;0,all_data!B36,"")</f>
        <v>Prototyp</v>
      </c>
      <c r="C116">
        <f>all_data!C36</f>
        <v>5.6</v>
      </c>
      <c r="D116">
        <f>all_data!D36</f>
        <v>0</v>
      </c>
      <c r="E116">
        <f>all_data!E36</f>
        <v>0</v>
      </c>
      <c r="F116">
        <f>all_data!F36</f>
        <v>1</v>
      </c>
      <c r="H116">
        <f t="shared" si="4"/>
        <v>0</v>
      </c>
      <c r="J116" s="20" t="str">
        <f t="shared" si="5"/>
        <v/>
      </c>
      <c r="K116" t="str">
        <f t="shared" si="6"/>
        <v/>
      </c>
      <c r="L116" t="str">
        <f t="shared" si="7"/>
        <v/>
      </c>
    </row>
    <row r="117" spans="1:12">
      <c r="A117">
        <f>all_data!A31</f>
        <v>29</v>
      </c>
      <c r="B117" t="str">
        <f>IF(all_data!B31&gt;0,all_data!B31,"")</f>
        <v>MS Leonoli</v>
      </c>
      <c r="C117">
        <f>all_data!C31</f>
        <v>7.9</v>
      </c>
      <c r="D117">
        <f>all_data!D31</f>
        <v>0</v>
      </c>
      <c r="E117">
        <f>all_data!E31</f>
        <v>0</v>
      </c>
      <c r="F117">
        <f>all_data!F31</f>
        <v>1</v>
      </c>
      <c r="H117">
        <f t="shared" si="4"/>
        <v>0</v>
      </c>
      <c r="J117" s="20" t="str">
        <f t="shared" si="5"/>
        <v/>
      </c>
      <c r="K117" t="str">
        <f t="shared" si="6"/>
        <v/>
      </c>
      <c r="L117" t="str">
        <f t="shared" si="7"/>
        <v/>
      </c>
    </row>
    <row r="118" spans="1:12">
      <c r="A118">
        <f>all_data!A10</f>
        <v>8</v>
      </c>
      <c r="B118" t="str">
        <f>IF(all_data!B10&gt;0,all_data!B10,"")</f>
        <v>Avalon</v>
      </c>
      <c r="C118">
        <f>all_data!C10</f>
        <v>12</v>
      </c>
      <c r="D118">
        <f>all_data!D10</f>
        <v>0</v>
      </c>
      <c r="E118">
        <f>all_data!E10</f>
        <v>0</v>
      </c>
      <c r="F118">
        <f>all_data!F10</f>
        <v>1</v>
      </c>
      <c r="H118">
        <f t="shared" si="4"/>
        <v>0</v>
      </c>
      <c r="J118" s="20" t="str">
        <f t="shared" si="5"/>
        <v/>
      </c>
      <c r="K118" t="str">
        <f t="shared" si="6"/>
        <v/>
      </c>
      <c r="L118" t="str">
        <f t="shared" si="7"/>
        <v/>
      </c>
    </row>
    <row r="119" spans="1:12">
      <c r="A119">
        <f>all_data!A15</f>
        <v>13</v>
      </c>
      <c r="B119" t="str">
        <f>IF(all_data!B15&gt;0,all_data!B15,"")</f>
        <v>Boot 1</v>
      </c>
      <c r="C119">
        <f>all_data!C15</f>
        <v>10.1</v>
      </c>
      <c r="D119">
        <f>all_data!D15</f>
        <v>0</v>
      </c>
      <c r="E119">
        <f>all_data!E15</f>
        <v>0</v>
      </c>
      <c r="F119">
        <f>all_data!F15</f>
        <v>1</v>
      </c>
      <c r="H119">
        <f t="shared" si="4"/>
        <v>0</v>
      </c>
      <c r="J119" s="20" t="str">
        <f t="shared" si="5"/>
        <v/>
      </c>
      <c r="K119" t="str">
        <f t="shared" si="6"/>
        <v/>
      </c>
      <c r="L119" t="str">
        <f t="shared" si="7"/>
        <v/>
      </c>
    </row>
    <row r="120" spans="1:12">
      <c r="A120">
        <f>all_data!A29</f>
        <v>27</v>
      </c>
      <c r="B120" t="str">
        <f>IF(all_data!B29&gt;0,all_data!B29,"")</f>
        <v>Marken Discount</v>
      </c>
      <c r="C120">
        <f>all_data!C29</f>
        <v>14.8</v>
      </c>
      <c r="D120">
        <f>all_data!D29</f>
        <v>0</v>
      </c>
      <c r="E120">
        <f>all_data!E29</f>
        <v>0</v>
      </c>
      <c r="F120">
        <f>all_data!F29</f>
        <v>1</v>
      </c>
      <c r="H120">
        <f t="shared" si="4"/>
        <v>0</v>
      </c>
      <c r="J120" s="20" t="str">
        <f t="shared" si="5"/>
        <v/>
      </c>
      <c r="K120" t="str">
        <f t="shared" si="6"/>
        <v/>
      </c>
      <c r="L120" t="str">
        <f t="shared" si="7"/>
        <v/>
      </c>
    </row>
    <row r="121" spans="1:12">
      <c r="A121">
        <f>all_data!A32</f>
        <v>30</v>
      </c>
      <c r="B121" t="str">
        <f>IF(all_data!B32&gt;0,all_data!B32,"")</f>
        <v>Mumie</v>
      </c>
      <c r="C121">
        <f>all_data!C32</f>
        <v>11.1</v>
      </c>
      <c r="D121">
        <f>all_data!D32</f>
        <v>3.669</v>
      </c>
      <c r="E121">
        <f>all_data!E32</f>
        <v>0.33054054054054055</v>
      </c>
      <c r="F121">
        <f>all_data!F32</f>
        <v>1</v>
      </c>
      <c r="H121">
        <f t="shared" si="4"/>
        <v>0</v>
      </c>
      <c r="J121" s="20" t="str">
        <f t="shared" si="5"/>
        <v/>
      </c>
      <c r="K121" t="str">
        <f t="shared" si="6"/>
        <v/>
      </c>
      <c r="L121" t="str">
        <f t="shared" si="7"/>
        <v/>
      </c>
    </row>
    <row r="122" spans="1:12">
      <c r="A122">
        <f>all_data!A39</f>
        <v>37</v>
      </c>
      <c r="B122" t="str">
        <f>IF(all_data!B39&gt;0,all_data!B39,"")</f>
        <v>sensor 2013</v>
      </c>
      <c r="C122">
        <f>all_data!C39</f>
        <v>10.1</v>
      </c>
      <c r="D122">
        <f>all_data!D39</f>
        <v>3.8</v>
      </c>
      <c r="E122">
        <f>all_data!E39</f>
        <v>0.37623762376237624</v>
      </c>
      <c r="F122">
        <f>all_data!F39</f>
        <v>1</v>
      </c>
      <c r="H122">
        <f t="shared" si="4"/>
        <v>0</v>
      </c>
      <c r="J122" s="20" t="str">
        <f t="shared" si="5"/>
        <v/>
      </c>
      <c r="K122" t="str">
        <f t="shared" si="6"/>
        <v/>
      </c>
      <c r="L122" t="str">
        <f t="shared" si="7"/>
        <v/>
      </c>
    </row>
    <row r="123" spans="1:12">
      <c r="A123">
        <f>all_data!A41</f>
        <v>39</v>
      </c>
      <c r="B123" t="str">
        <f>IF(all_data!B41&gt;0,all_data!B41,"")</f>
        <v>Susi</v>
      </c>
      <c r="C123">
        <f>all_data!C41</f>
        <v>18.600000000000001</v>
      </c>
      <c r="D123">
        <f>all_data!D41</f>
        <v>0</v>
      </c>
      <c r="E123">
        <f>all_data!E41</f>
        <v>0</v>
      </c>
      <c r="F123">
        <f>all_data!F41</f>
        <v>1</v>
      </c>
      <c r="H123">
        <f t="shared" si="4"/>
        <v>0</v>
      </c>
      <c r="J123" s="20" t="str">
        <f t="shared" si="5"/>
        <v/>
      </c>
      <c r="K123" t="str">
        <f t="shared" si="6"/>
        <v/>
      </c>
      <c r="L123" t="str">
        <f t="shared" si="7"/>
        <v/>
      </c>
    </row>
    <row r="124" spans="1:12">
      <c r="A124">
        <f>all_data!A44</f>
        <v>42</v>
      </c>
      <c r="B124" t="str">
        <f>IF(all_data!B44&gt;0,all_data!B44,"")</f>
        <v>Titanic</v>
      </c>
      <c r="C124">
        <f>all_data!C44</f>
        <v>10.6</v>
      </c>
      <c r="D124">
        <f>all_data!D44</f>
        <v>0</v>
      </c>
      <c r="E124">
        <f>all_data!E44</f>
        <v>0</v>
      </c>
      <c r="F124">
        <f>all_data!F44</f>
        <v>1</v>
      </c>
      <c r="H124">
        <f t="shared" si="4"/>
        <v>0</v>
      </c>
      <c r="J124" s="20" t="str">
        <f t="shared" si="5"/>
        <v/>
      </c>
      <c r="K124" t="str">
        <f t="shared" si="6"/>
        <v/>
      </c>
      <c r="L124" t="str">
        <f t="shared" si="7"/>
        <v/>
      </c>
    </row>
    <row r="125" spans="1:12">
      <c r="A125">
        <f>all_data!A45</f>
        <v>43</v>
      </c>
      <c r="B125" t="str">
        <f>IF(all_data!B45&gt;0,all_data!B45,"")</f>
        <v>Under Water</v>
      </c>
      <c r="C125">
        <f>all_data!C45</f>
        <v>10.8</v>
      </c>
      <c r="D125">
        <f>all_data!D45</f>
        <v>7.2779999999999996</v>
      </c>
      <c r="E125">
        <f>all_data!E45</f>
        <v>0.67388888888888876</v>
      </c>
      <c r="F125">
        <f>all_data!F45</f>
        <v>1</v>
      </c>
      <c r="H125">
        <f t="shared" si="4"/>
        <v>0</v>
      </c>
      <c r="J125" s="20" t="str">
        <f t="shared" si="5"/>
        <v/>
      </c>
      <c r="K125" t="str">
        <f t="shared" si="6"/>
        <v/>
      </c>
      <c r="L125" t="str">
        <f t="shared" si="7"/>
        <v/>
      </c>
    </row>
    <row r="126" spans="1:12">
      <c r="A126">
        <f>all_data!A53</f>
        <v>51</v>
      </c>
      <c r="B126" t="str">
        <f>IF(all_data!B53&gt;0,all_data!B53,"")</f>
        <v>Falti der Historyfreak</v>
      </c>
      <c r="C126">
        <f>all_data!C53</f>
        <v>10.3</v>
      </c>
      <c r="D126">
        <f>all_data!D53</f>
        <v>0</v>
      </c>
      <c r="E126">
        <f>all_data!E53</f>
        <v>0</v>
      </c>
      <c r="F126">
        <f>all_data!F53</f>
        <v>300</v>
      </c>
      <c r="H126">
        <f t="shared" si="4"/>
        <v>0</v>
      </c>
      <c r="J126" s="20" t="str">
        <f t="shared" si="5"/>
        <v/>
      </c>
      <c r="K126" t="str">
        <f t="shared" si="6"/>
        <v/>
      </c>
      <c r="L126" t="str">
        <f t="shared" si="7"/>
        <v/>
      </c>
    </row>
    <row r="127" spans="1:12">
      <c r="A127">
        <f>all_data!A54</f>
        <v>52</v>
      </c>
      <c r="B127" t="str">
        <f>IF(all_data!B54&gt;0,all_data!B54,"")</f>
        <v>zig-zag</v>
      </c>
      <c r="C127">
        <f>all_data!C54</f>
        <v>10.1</v>
      </c>
      <c r="D127">
        <f>all_data!D54</f>
        <v>0</v>
      </c>
      <c r="E127">
        <f>all_data!E54</f>
        <v>0</v>
      </c>
      <c r="F127">
        <f>all_data!F54</f>
        <v>300</v>
      </c>
      <c r="H127">
        <f t="shared" si="4"/>
        <v>0</v>
      </c>
      <c r="J127" s="20" t="str">
        <f t="shared" si="5"/>
        <v/>
      </c>
      <c r="K127" t="str">
        <f t="shared" si="6"/>
        <v/>
      </c>
      <c r="L127" t="str">
        <f t="shared" si="7"/>
        <v/>
      </c>
    </row>
    <row r="128" spans="1:12">
      <c r="A128">
        <f>all_data!A64</f>
        <v>62</v>
      </c>
      <c r="B128" t="str">
        <f>IF(all_data!B64&gt;0,all_data!B64,"")</f>
        <v>MS Oscar</v>
      </c>
      <c r="C128">
        <f>all_data!C64</f>
        <v>10.5</v>
      </c>
      <c r="D128">
        <f>all_data!D64</f>
        <v>0</v>
      </c>
      <c r="E128">
        <f>all_data!E64</f>
        <v>0</v>
      </c>
      <c r="F128">
        <f>all_data!F64</f>
        <v>750</v>
      </c>
      <c r="H128">
        <f t="shared" si="4"/>
        <v>0</v>
      </c>
      <c r="J128" s="20" t="str">
        <f t="shared" si="5"/>
        <v/>
      </c>
      <c r="K128" t="str">
        <f t="shared" si="6"/>
        <v/>
      </c>
      <c r="L128" t="str">
        <f t="shared" si="7"/>
        <v/>
      </c>
    </row>
    <row r="129" spans="1:12">
      <c r="A129">
        <f>all_data!A84</f>
        <v>82</v>
      </c>
      <c r="B129" t="str">
        <f>IF(all_data!B84&gt;0,all_data!B84,"")</f>
        <v>JSM-XXL</v>
      </c>
      <c r="C129">
        <f>all_data!C84</f>
        <v>10.7</v>
      </c>
      <c r="D129">
        <f>all_data!D84</f>
        <v>0</v>
      </c>
      <c r="E129">
        <f>all_data!E84</f>
        <v>0</v>
      </c>
      <c r="F129">
        <f>all_data!F84</f>
        <v>1000</v>
      </c>
      <c r="H129">
        <f t="shared" si="4"/>
        <v>0</v>
      </c>
      <c r="J129" s="20" t="str">
        <f t="shared" si="5"/>
        <v/>
      </c>
      <c r="K129" t="str">
        <f t="shared" si="6"/>
        <v/>
      </c>
      <c r="L129" t="str">
        <f t="shared" si="7"/>
        <v/>
      </c>
    </row>
    <row r="130" spans="1:12">
      <c r="A130">
        <f>all_data!A92</f>
        <v>90</v>
      </c>
      <c r="B130" t="str">
        <f>IF(all_data!B92&gt;0,all_data!B92,"")</f>
        <v>Das sichere Schiff</v>
      </c>
      <c r="C130">
        <f>all_data!C92</f>
        <v>14</v>
      </c>
      <c r="D130">
        <f>all_data!D92</f>
        <v>0</v>
      </c>
      <c r="E130">
        <f>all_data!E92</f>
        <v>0</v>
      </c>
      <c r="F130">
        <f>all_data!F92</f>
        <v>1200</v>
      </c>
      <c r="H130">
        <f t="shared" si="4"/>
        <v>0</v>
      </c>
      <c r="J130" s="20" t="str">
        <f t="shared" si="5"/>
        <v/>
      </c>
      <c r="K130" t="str">
        <f t="shared" si="6"/>
        <v/>
      </c>
      <c r="L130" t="str">
        <f t="shared" si="7"/>
        <v/>
      </c>
    </row>
    <row r="131" spans="1:12">
      <c r="A131">
        <f>all_data!A94</f>
        <v>92</v>
      </c>
      <c r="B131" t="str">
        <f>IF(all_data!B94&gt;0,all_data!B94,"")</f>
        <v>Black Pearl</v>
      </c>
      <c r="C131">
        <f>all_data!C94</f>
        <v>10.5</v>
      </c>
      <c r="D131">
        <f>all_data!D94</f>
        <v>0</v>
      </c>
      <c r="E131">
        <f>all_data!E94</f>
        <v>0</v>
      </c>
      <c r="F131">
        <f>all_data!F94</f>
        <v>1300</v>
      </c>
      <c r="H131">
        <f t="shared" ref="H131:H194" si="8">IF(C131&lt;=10,D131,0)</f>
        <v>0</v>
      </c>
      <c r="J131" s="20" t="str">
        <f t="shared" ref="J131:J194" si="9">IF(H131&gt;0,B131,"")</f>
        <v/>
      </c>
      <c r="K131" t="str">
        <f t="shared" ref="K131:K194" si="10">IF(H131&gt;0,D131,"")</f>
        <v/>
      </c>
      <c r="L131" t="str">
        <f t="shared" ref="L131:L194" si="11">IF(H131&gt;0,F131,"")</f>
        <v/>
      </c>
    </row>
    <row r="132" spans="1:12">
      <c r="A132">
        <f>all_data!A108</f>
        <v>106</v>
      </c>
      <c r="B132" t="str">
        <f>IF(all_data!B108&gt;0,all_data!B108,"")</f>
        <v>DAT</v>
      </c>
      <c r="C132">
        <f>all_data!C108</f>
        <v>10.199999999999999</v>
      </c>
      <c r="D132">
        <f>all_data!D108</f>
        <v>0</v>
      </c>
      <c r="E132">
        <f>all_data!E108</f>
        <v>0</v>
      </c>
      <c r="F132">
        <f>all_data!F108</f>
        <v>1800</v>
      </c>
      <c r="H132">
        <f t="shared" si="8"/>
        <v>0</v>
      </c>
      <c r="J132" s="20" t="str">
        <f t="shared" si="9"/>
        <v/>
      </c>
      <c r="K132" t="str">
        <f t="shared" si="10"/>
        <v/>
      </c>
      <c r="L132" t="str">
        <f t="shared" si="11"/>
        <v/>
      </c>
    </row>
    <row r="133" spans="1:12">
      <c r="A133">
        <f>all_data!A114</f>
        <v>112</v>
      </c>
      <c r="B133" t="str">
        <f>IF(all_data!B114&gt;0,all_data!B114,"")</f>
        <v>Falter</v>
      </c>
      <c r="C133">
        <f>all_data!C114</f>
        <v>10.5</v>
      </c>
      <c r="D133">
        <f>all_data!D114</f>
        <v>0</v>
      </c>
      <c r="E133">
        <f>all_data!E114</f>
        <v>0</v>
      </c>
      <c r="F133">
        <f>all_data!F114</f>
        <v>2000</v>
      </c>
      <c r="H133">
        <f t="shared" si="8"/>
        <v>0</v>
      </c>
      <c r="J133" s="20" t="str">
        <f t="shared" si="9"/>
        <v/>
      </c>
      <c r="K133" t="str">
        <f t="shared" si="10"/>
        <v/>
      </c>
      <c r="L133" t="str">
        <f t="shared" si="11"/>
        <v/>
      </c>
    </row>
    <row r="134" spans="1:12">
      <c r="A134">
        <f>all_data!A120</f>
        <v>118</v>
      </c>
      <c r="B134" t="str">
        <f>IF(all_data!B120&gt;0,all_data!B120,"")</f>
        <v>Taifun</v>
      </c>
      <c r="C134">
        <f>all_data!C120</f>
        <v>10.199999999999999</v>
      </c>
      <c r="D134">
        <f>all_data!D120</f>
        <v>0</v>
      </c>
      <c r="E134">
        <f>all_data!E120</f>
        <v>0</v>
      </c>
      <c r="F134">
        <f>all_data!F120</f>
        <v>2000</v>
      </c>
      <c r="H134">
        <f t="shared" si="8"/>
        <v>0</v>
      </c>
      <c r="J134" s="20" t="str">
        <f t="shared" si="9"/>
        <v/>
      </c>
      <c r="K134" t="str">
        <f t="shared" si="10"/>
        <v/>
      </c>
      <c r="L134" t="str">
        <f t="shared" si="11"/>
        <v/>
      </c>
    </row>
    <row r="135" spans="1:12">
      <c r="A135">
        <f>all_data!A127</f>
        <v>125</v>
      </c>
      <c r="B135" t="str">
        <f>IF(all_data!B127&gt;0,all_data!B127,"")</f>
        <v>Elfenblüte</v>
      </c>
      <c r="C135">
        <f>all_data!C127</f>
        <v>10.4</v>
      </c>
      <c r="D135">
        <f>all_data!D127</f>
        <v>0</v>
      </c>
      <c r="E135">
        <f>all_data!E127</f>
        <v>0</v>
      </c>
      <c r="F135">
        <f>all_data!F127</f>
        <v>2200</v>
      </c>
      <c r="H135">
        <f t="shared" si="8"/>
        <v>0</v>
      </c>
      <c r="J135" s="20" t="str">
        <f t="shared" si="9"/>
        <v/>
      </c>
      <c r="K135" t="str">
        <f t="shared" si="10"/>
        <v/>
      </c>
      <c r="L135" t="str">
        <f t="shared" si="11"/>
        <v/>
      </c>
    </row>
    <row r="136" spans="1:12">
      <c r="A136">
        <f>all_data!A133</f>
        <v>131</v>
      </c>
      <c r="B136" t="str">
        <f>IF(all_data!B133&gt;0,all_data!B133,"")</f>
        <v>Revolutio</v>
      </c>
      <c r="C136">
        <f>all_data!C133</f>
        <v>11.2</v>
      </c>
      <c r="D136">
        <f>all_data!D133</f>
        <v>0</v>
      </c>
      <c r="E136">
        <f>all_data!E133</f>
        <v>0</v>
      </c>
      <c r="F136">
        <f>all_data!F133</f>
        <v>2900</v>
      </c>
      <c r="H136">
        <f t="shared" si="8"/>
        <v>0</v>
      </c>
      <c r="J136" s="20" t="str">
        <f t="shared" si="9"/>
        <v/>
      </c>
      <c r="K136" t="str">
        <f t="shared" si="10"/>
        <v/>
      </c>
      <c r="L136" t="str">
        <f t="shared" si="11"/>
        <v/>
      </c>
    </row>
    <row r="137" spans="1:12">
      <c r="A137">
        <f>all_data!A137</f>
        <v>135</v>
      </c>
      <c r="B137" t="str">
        <f>IF(all_data!B137&gt;0,all_data!B137,"")</f>
        <v>Bodo</v>
      </c>
      <c r="C137">
        <f>all_data!C137</f>
        <v>11</v>
      </c>
      <c r="D137">
        <f>all_data!D137</f>
        <v>0</v>
      </c>
      <c r="E137">
        <f>all_data!E137</f>
        <v>0</v>
      </c>
      <c r="F137">
        <f>all_data!F137</f>
        <v>4500</v>
      </c>
      <c r="H137">
        <f t="shared" si="8"/>
        <v>0</v>
      </c>
      <c r="J137" s="20" t="str">
        <f t="shared" si="9"/>
        <v/>
      </c>
      <c r="K137" t="str">
        <f t="shared" si="10"/>
        <v/>
      </c>
      <c r="L137" t="str">
        <f t="shared" si="11"/>
        <v/>
      </c>
    </row>
    <row r="138" spans="1:12">
      <c r="A138">
        <f>all_data!A138</f>
        <v>136</v>
      </c>
      <c r="B138" t="str">
        <f>IF(all_data!B138&gt;0,all_data!B138,"")</f>
        <v>Corny II 2013</v>
      </c>
      <c r="C138">
        <f>all_data!C138</f>
        <v>11.3</v>
      </c>
      <c r="D138">
        <f>all_data!D138</f>
        <v>0</v>
      </c>
      <c r="E138">
        <f>all_data!E138</f>
        <v>0</v>
      </c>
      <c r="F138">
        <f>all_data!F138</f>
        <v>4500</v>
      </c>
      <c r="H138">
        <f t="shared" si="8"/>
        <v>0</v>
      </c>
      <c r="J138" s="20" t="str">
        <f t="shared" si="9"/>
        <v/>
      </c>
      <c r="K138" t="str">
        <f t="shared" si="10"/>
        <v/>
      </c>
      <c r="L138" t="str">
        <f t="shared" si="11"/>
        <v/>
      </c>
    </row>
    <row r="139" spans="1:12">
      <c r="A139">
        <f>all_data!A139</f>
        <v>137</v>
      </c>
      <c r="B139" t="str">
        <f>IF(all_data!B139&gt;0,all_data!B139,"")</f>
        <v/>
      </c>
      <c r="C139">
        <f>all_data!C139</f>
        <v>0</v>
      </c>
      <c r="D139">
        <f>all_data!D139</f>
        <v>0</v>
      </c>
      <c r="E139" t="str">
        <f>all_data!E139</f>
        <v/>
      </c>
      <c r="F139">
        <f>all_data!F139</f>
        <v>0</v>
      </c>
      <c r="H139">
        <f t="shared" si="8"/>
        <v>0</v>
      </c>
      <c r="J139" s="20" t="str">
        <f t="shared" si="9"/>
        <v/>
      </c>
      <c r="K139" t="str">
        <f t="shared" si="10"/>
        <v/>
      </c>
      <c r="L139" t="str">
        <f t="shared" si="11"/>
        <v/>
      </c>
    </row>
    <row r="140" spans="1:12">
      <c r="A140">
        <f>all_data!A140</f>
        <v>138</v>
      </c>
      <c r="B140" t="str">
        <f>IF(all_data!B140&gt;0,all_data!B140,"")</f>
        <v/>
      </c>
      <c r="C140">
        <f>all_data!C140</f>
        <v>0</v>
      </c>
      <c r="D140">
        <f>all_data!D140</f>
        <v>0</v>
      </c>
      <c r="E140" t="str">
        <f>all_data!E140</f>
        <v/>
      </c>
      <c r="F140">
        <f>all_data!F140</f>
        <v>0</v>
      </c>
      <c r="H140">
        <f t="shared" si="8"/>
        <v>0</v>
      </c>
      <c r="J140" s="20" t="str">
        <f t="shared" si="9"/>
        <v/>
      </c>
      <c r="K140" t="str">
        <f t="shared" si="10"/>
        <v/>
      </c>
      <c r="L140" t="str">
        <f t="shared" si="11"/>
        <v/>
      </c>
    </row>
    <row r="141" spans="1:12">
      <c r="A141">
        <f>all_data!A141</f>
        <v>139</v>
      </c>
      <c r="B141" t="str">
        <f>IF(all_data!B141&gt;0,all_data!B141,"")</f>
        <v/>
      </c>
      <c r="C141">
        <f>all_data!C141</f>
        <v>0</v>
      </c>
      <c r="D141">
        <f>all_data!D141</f>
        <v>0</v>
      </c>
      <c r="E141" t="str">
        <f>all_data!E141</f>
        <v/>
      </c>
      <c r="F141">
        <f>all_data!F141</f>
        <v>0</v>
      </c>
      <c r="H141">
        <f t="shared" si="8"/>
        <v>0</v>
      </c>
      <c r="J141" s="20" t="str">
        <f t="shared" si="9"/>
        <v/>
      </c>
      <c r="K141" t="str">
        <f t="shared" si="10"/>
        <v/>
      </c>
      <c r="L141" t="str">
        <f t="shared" si="11"/>
        <v/>
      </c>
    </row>
    <row r="142" spans="1:12">
      <c r="A142">
        <f>all_data!A142</f>
        <v>140</v>
      </c>
      <c r="B142" t="str">
        <f>IF(all_data!B142&gt;0,all_data!B142,"")</f>
        <v/>
      </c>
      <c r="C142">
        <f>all_data!C142</f>
        <v>0</v>
      </c>
      <c r="D142">
        <f>all_data!D142</f>
        <v>0</v>
      </c>
      <c r="E142" t="str">
        <f>all_data!E142</f>
        <v/>
      </c>
      <c r="F142">
        <f>all_data!F142</f>
        <v>0</v>
      </c>
      <c r="H142">
        <f t="shared" si="8"/>
        <v>0</v>
      </c>
      <c r="J142" s="20" t="str">
        <f t="shared" si="9"/>
        <v/>
      </c>
      <c r="K142" t="str">
        <f t="shared" si="10"/>
        <v/>
      </c>
      <c r="L142" t="str">
        <f t="shared" si="11"/>
        <v/>
      </c>
    </row>
    <row r="143" spans="1:12">
      <c r="A143">
        <f>all_data!A143</f>
        <v>141</v>
      </c>
      <c r="B143" t="str">
        <f>IF(all_data!B143&gt;0,all_data!B143,"")</f>
        <v/>
      </c>
      <c r="C143">
        <f>all_data!C143</f>
        <v>0</v>
      </c>
      <c r="D143">
        <f>all_data!D143</f>
        <v>0</v>
      </c>
      <c r="E143" t="str">
        <f>all_data!E143</f>
        <v/>
      </c>
      <c r="F143">
        <f>all_data!F143</f>
        <v>0</v>
      </c>
      <c r="H143">
        <f t="shared" si="8"/>
        <v>0</v>
      </c>
      <c r="J143" s="20" t="str">
        <f t="shared" si="9"/>
        <v/>
      </c>
      <c r="K143" t="str">
        <f t="shared" si="10"/>
        <v/>
      </c>
      <c r="L143" t="str">
        <f t="shared" si="11"/>
        <v/>
      </c>
    </row>
    <row r="144" spans="1:12">
      <c r="A144">
        <f>all_data!A144</f>
        <v>142</v>
      </c>
      <c r="B144" t="str">
        <f>IF(all_data!B144&gt;0,all_data!B144,"")</f>
        <v/>
      </c>
      <c r="C144">
        <f>all_data!C144</f>
        <v>0</v>
      </c>
      <c r="D144">
        <f>all_data!D144</f>
        <v>0</v>
      </c>
      <c r="E144" t="str">
        <f>all_data!E144</f>
        <v/>
      </c>
      <c r="F144">
        <f>all_data!F144</f>
        <v>0</v>
      </c>
      <c r="H144">
        <f t="shared" si="8"/>
        <v>0</v>
      </c>
      <c r="J144" s="20" t="str">
        <f t="shared" si="9"/>
        <v/>
      </c>
      <c r="K144" t="str">
        <f t="shared" si="10"/>
        <v/>
      </c>
      <c r="L144" t="str">
        <f t="shared" si="11"/>
        <v/>
      </c>
    </row>
    <row r="145" spans="1:12">
      <c r="A145">
        <f>all_data!A145</f>
        <v>143</v>
      </c>
      <c r="B145" t="str">
        <f>IF(all_data!B145&gt;0,all_data!B145,"")</f>
        <v/>
      </c>
      <c r="C145">
        <f>all_data!C145</f>
        <v>0</v>
      </c>
      <c r="D145">
        <f>all_data!D145</f>
        <v>0</v>
      </c>
      <c r="E145" t="str">
        <f>all_data!E145</f>
        <v/>
      </c>
      <c r="F145">
        <f>all_data!F145</f>
        <v>0</v>
      </c>
      <c r="H145">
        <f t="shared" si="8"/>
        <v>0</v>
      </c>
      <c r="J145" s="20" t="str">
        <f t="shared" si="9"/>
        <v/>
      </c>
      <c r="K145" t="str">
        <f t="shared" si="10"/>
        <v/>
      </c>
      <c r="L145" t="str">
        <f t="shared" si="11"/>
        <v/>
      </c>
    </row>
    <row r="146" spans="1:12">
      <c r="A146">
        <f>all_data!A146</f>
        <v>144</v>
      </c>
      <c r="B146" t="str">
        <f>IF(all_data!B146&gt;0,all_data!B146,"")</f>
        <v/>
      </c>
      <c r="C146">
        <f>all_data!C146</f>
        <v>0</v>
      </c>
      <c r="D146">
        <f>all_data!D146</f>
        <v>0</v>
      </c>
      <c r="E146" t="str">
        <f>all_data!E146</f>
        <v/>
      </c>
      <c r="F146">
        <f>all_data!F146</f>
        <v>0</v>
      </c>
      <c r="H146">
        <f t="shared" si="8"/>
        <v>0</v>
      </c>
      <c r="J146" s="20" t="str">
        <f t="shared" si="9"/>
        <v/>
      </c>
      <c r="K146" t="str">
        <f t="shared" si="10"/>
        <v/>
      </c>
      <c r="L146" t="str">
        <f t="shared" si="11"/>
        <v/>
      </c>
    </row>
    <row r="147" spans="1:12">
      <c r="A147">
        <f>all_data!A147</f>
        <v>145</v>
      </c>
      <c r="B147" t="str">
        <f>IF(all_data!B147&gt;0,all_data!B147,"")</f>
        <v/>
      </c>
      <c r="C147">
        <f>all_data!C147</f>
        <v>0</v>
      </c>
      <c r="D147">
        <f>all_data!D147</f>
        <v>0</v>
      </c>
      <c r="E147" t="str">
        <f>all_data!E147</f>
        <v/>
      </c>
      <c r="F147">
        <f>all_data!F147</f>
        <v>0</v>
      </c>
      <c r="H147">
        <f t="shared" si="8"/>
        <v>0</v>
      </c>
      <c r="J147" s="20" t="str">
        <f t="shared" si="9"/>
        <v/>
      </c>
      <c r="K147" t="str">
        <f t="shared" si="10"/>
        <v/>
      </c>
      <c r="L147" t="str">
        <f t="shared" si="11"/>
        <v/>
      </c>
    </row>
    <row r="148" spans="1:12">
      <c r="A148">
        <f>all_data!A148</f>
        <v>146</v>
      </c>
      <c r="B148" t="str">
        <f>IF(all_data!B148&gt;0,all_data!B148,"")</f>
        <v/>
      </c>
      <c r="C148">
        <f>all_data!C148</f>
        <v>0</v>
      </c>
      <c r="D148">
        <f>all_data!D148</f>
        <v>0</v>
      </c>
      <c r="E148" t="str">
        <f>all_data!E148</f>
        <v/>
      </c>
      <c r="F148">
        <f>all_data!F148</f>
        <v>0</v>
      </c>
      <c r="H148">
        <f t="shared" si="8"/>
        <v>0</v>
      </c>
      <c r="J148" s="20" t="str">
        <f t="shared" si="9"/>
        <v/>
      </c>
      <c r="K148" t="str">
        <f t="shared" si="10"/>
        <v/>
      </c>
      <c r="L148" t="str">
        <f t="shared" si="11"/>
        <v/>
      </c>
    </row>
    <row r="149" spans="1:12">
      <c r="A149">
        <f>all_data!A149</f>
        <v>147</v>
      </c>
      <c r="B149" t="str">
        <f>IF(all_data!B149&gt;0,all_data!B149,"")</f>
        <v/>
      </c>
      <c r="C149">
        <f>all_data!C149</f>
        <v>0</v>
      </c>
      <c r="D149">
        <f>all_data!D149</f>
        <v>0</v>
      </c>
      <c r="E149" t="str">
        <f>all_data!E149</f>
        <v/>
      </c>
      <c r="F149">
        <f>all_data!F149</f>
        <v>0</v>
      </c>
      <c r="H149">
        <f t="shared" si="8"/>
        <v>0</v>
      </c>
      <c r="J149" s="20" t="str">
        <f t="shared" si="9"/>
        <v/>
      </c>
      <c r="K149" t="str">
        <f t="shared" si="10"/>
        <v/>
      </c>
      <c r="L149" t="str">
        <f t="shared" si="11"/>
        <v/>
      </c>
    </row>
    <row r="150" spans="1:12">
      <c r="A150">
        <f>all_data!A150</f>
        <v>148</v>
      </c>
      <c r="B150" t="str">
        <f>IF(all_data!B150&gt;0,all_data!B150,"")</f>
        <v/>
      </c>
      <c r="C150">
        <f>all_data!C150</f>
        <v>0</v>
      </c>
      <c r="D150">
        <f>all_data!D150</f>
        <v>0</v>
      </c>
      <c r="E150" t="str">
        <f>all_data!E150</f>
        <v/>
      </c>
      <c r="F150">
        <f>all_data!F150</f>
        <v>0</v>
      </c>
      <c r="H150">
        <f t="shared" si="8"/>
        <v>0</v>
      </c>
      <c r="J150" s="20" t="str">
        <f t="shared" si="9"/>
        <v/>
      </c>
      <c r="K150" t="str">
        <f t="shared" si="10"/>
        <v/>
      </c>
      <c r="L150" t="str">
        <f t="shared" si="11"/>
        <v/>
      </c>
    </row>
    <row r="151" spans="1:12">
      <c r="A151">
        <f>all_data!A151</f>
        <v>149</v>
      </c>
      <c r="B151" t="str">
        <f>IF(all_data!B151&gt;0,all_data!B151,"")</f>
        <v/>
      </c>
      <c r="C151">
        <f>all_data!C151</f>
        <v>0</v>
      </c>
      <c r="D151">
        <f>all_data!D151</f>
        <v>0</v>
      </c>
      <c r="E151" t="str">
        <f>all_data!E151</f>
        <v/>
      </c>
      <c r="F151">
        <f>all_data!F151</f>
        <v>0</v>
      </c>
      <c r="H151">
        <f t="shared" si="8"/>
        <v>0</v>
      </c>
      <c r="J151" s="20" t="str">
        <f t="shared" si="9"/>
        <v/>
      </c>
      <c r="K151" t="str">
        <f t="shared" si="10"/>
        <v/>
      </c>
      <c r="L151" t="str">
        <f t="shared" si="11"/>
        <v/>
      </c>
    </row>
    <row r="152" spans="1:12">
      <c r="A152">
        <f>all_data!A152</f>
        <v>150</v>
      </c>
      <c r="B152" t="str">
        <f>IF(all_data!B152&gt;0,all_data!B152,"")</f>
        <v/>
      </c>
      <c r="C152">
        <f>all_data!C152</f>
        <v>0</v>
      </c>
      <c r="D152">
        <f>all_data!D152</f>
        <v>0</v>
      </c>
      <c r="E152" t="str">
        <f>all_data!E152</f>
        <v/>
      </c>
      <c r="F152">
        <f>all_data!F152</f>
        <v>0</v>
      </c>
      <c r="H152">
        <f t="shared" si="8"/>
        <v>0</v>
      </c>
      <c r="J152" s="20" t="str">
        <f t="shared" si="9"/>
        <v/>
      </c>
      <c r="K152" t="str">
        <f t="shared" si="10"/>
        <v/>
      </c>
      <c r="L152" t="str">
        <f t="shared" si="11"/>
        <v/>
      </c>
    </row>
    <row r="153" spans="1:12">
      <c r="A153">
        <f>all_data!A153</f>
        <v>151</v>
      </c>
      <c r="B153" t="str">
        <f>IF(all_data!B153&gt;0,all_data!B153,"")</f>
        <v/>
      </c>
      <c r="C153">
        <f>all_data!C153</f>
        <v>0</v>
      </c>
      <c r="D153">
        <f>all_data!D153</f>
        <v>0</v>
      </c>
      <c r="E153" t="str">
        <f>all_data!E153</f>
        <v/>
      </c>
      <c r="F153">
        <f>all_data!F153</f>
        <v>0</v>
      </c>
      <c r="H153">
        <f t="shared" si="8"/>
        <v>0</v>
      </c>
      <c r="J153" s="20" t="str">
        <f t="shared" si="9"/>
        <v/>
      </c>
      <c r="K153" t="str">
        <f t="shared" si="10"/>
        <v/>
      </c>
      <c r="L153" t="str">
        <f t="shared" si="11"/>
        <v/>
      </c>
    </row>
    <row r="154" spans="1:12">
      <c r="A154">
        <f>all_data!A154</f>
        <v>152</v>
      </c>
      <c r="B154" t="str">
        <f>IF(all_data!B154&gt;0,all_data!B154,"")</f>
        <v/>
      </c>
      <c r="C154">
        <f>all_data!C154</f>
        <v>0</v>
      </c>
      <c r="D154">
        <f>all_data!D154</f>
        <v>0</v>
      </c>
      <c r="E154" t="str">
        <f>all_data!E154</f>
        <v/>
      </c>
      <c r="F154">
        <f>all_data!F154</f>
        <v>0</v>
      </c>
      <c r="H154">
        <f t="shared" si="8"/>
        <v>0</v>
      </c>
      <c r="J154" s="20" t="str">
        <f t="shared" si="9"/>
        <v/>
      </c>
      <c r="K154" t="str">
        <f t="shared" si="10"/>
        <v/>
      </c>
      <c r="L154" t="str">
        <f t="shared" si="11"/>
        <v/>
      </c>
    </row>
    <row r="155" spans="1:12">
      <c r="A155">
        <f>all_data!A155</f>
        <v>153</v>
      </c>
      <c r="B155" t="str">
        <f>IF(all_data!B155&gt;0,all_data!B155,"")</f>
        <v/>
      </c>
      <c r="C155">
        <f>all_data!C155</f>
        <v>0</v>
      </c>
      <c r="D155">
        <f>all_data!D155</f>
        <v>0</v>
      </c>
      <c r="E155" t="str">
        <f>all_data!E155</f>
        <v/>
      </c>
      <c r="F155">
        <f>all_data!F155</f>
        <v>0</v>
      </c>
      <c r="H155">
        <f t="shared" si="8"/>
        <v>0</v>
      </c>
      <c r="J155" s="20" t="str">
        <f t="shared" si="9"/>
        <v/>
      </c>
      <c r="K155" t="str">
        <f t="shared" si="10"/>
        <v/>
      </c>
      <c r="L155" t="str">
        <f t="shared" si="11"/>
        <v/>
      </c>
    </row>
    <row r="156" spans="1:12">
      <c r="A156">
        <f>all_data!A156</f>
        <v>154</v>
      </c>
      <c r="B156" t="str">
        <f>IF(all_data!B156&gt;0,all_data!B156,"")</f>
        <v/>
      </c>
      <c r="C156">
        <f>all_data!C156</f>
        <v>0</v>
      </c>
      <c r="D156">
        <f>all_data!D156</f>
        <v>0</v>
      </c>
      <c r="E156" t="str">
        <f>all_data!E156</f>
        <v/>
      </c>
      <c r="F156">
        <f>all_data!F156</f>
        <v>0</v>
      </c>
      <c r="H156">
        <f t="shared" si="8"/>
        <v>0</v>
      </c>
      <c r="J156" s="20" t="str">
        <f t="shared" si="9"/>
        <v/>
      </c>
      <c r="K156" t="str">
        <f t="shared" si="10"/>
        <v/>
      </c>
      <c r="L156" t="str">
        <f t="shared" si="11"/>
        <v/>
      </c>
    </row>
    <row r="157" spans="1:12">
      <c r="A157">
        <f>all_data!A157</f>
        <v>155</v>
      </c>
      <c r="B157" t="str">
        <f>IF(all_data!B157&gt;0,all_data!B157,"")</f>
        <v/>
      </c>
      <c r="C157">
        <f>all_data!C157</f>
        <v>0</v>
      </c>
      <c r="D157">
        <f>all_data!D157</f>
        <v>0</v>
      </c>
      <c r="E157" t="str">
        <f>all_data!E157</f>
        <v/>
      </c>
      <c r="F157">
        <f>all_data!F157</f>
        <v>0</v>
      </c>
      <c r="H157">
        <f t="shared" si="8"/>
        <v>0</v>
      </c>
      <c r="J157" s="20" t="str">
        <f t="shared" si="9"/>
        <v/>
      </c>
      <c r="K157" t="str">
        <f t="shared" si="10"/>
        <v/>
      </c>
      <c r="L157" t="str">
        <f t="shared" si="11"/>
        <v/>
      </c>
    </row>
    <row r="158" spans="1:12">
      <c r="A158">
        <f>all_data!A158</f>
        <v>156</v>
      </c>
      <c r="B158" t="str">
        <f>IF(all_data!B158&gt;0,all_data!B158,"")</f>
        <v/>
      </c>
      <c r="C158">
        <f>all_data!C158</f>
        <v>0</v>
      </c>
      <c r="D158">
        <f>all_data!D158</f>
        <v>0</v>
      </c>
      <c r="E158" t="str">
        <f>all_data!E158</f>
        <v/>
      </c>
      <c r="F158">
        <f>all_data!F158</f>
        <v>0</v>
      </c>
      <c r="H158">
        <f t="shared" si="8"/>
        <v>0</v>
      </c>
      <c r="J158" s="20" t="str">
        <f t="shared" si="9"/>
        <v/>
      </c>
      <c r="K158" t="str">
        <f t="shared" si="10"/>
        <v/>
      </c>
      <c r="L158" t="str">
        <f t="shared" si="11"/>
        <v/>
      </c>
    </row>
    <row r="159" spans="1:12">
      <c r="A159">
        <f>all_data!A159</f>
        <v>157</v>
      </c>
      <c r="B159" t="str">
        <f>IF(all_data!B159&gt;0,all_data!B159,"")</f>
        <v/>
      </c>
      <c r="C159">
        <f>all_data!C159</f>
        <v>0</v>
      </c>
      <c r="D159">
        <f>all_data!D159</f>
        <v>0</v>
      </c>
      <c r="E159" t="str">
        <f>all_data!E159</f>
        <v/>
      </c>
      <c r="F159">
        <f>all_data!F159</f>
        <v>0</v>
      </c>
      <c r="H159">
        <f t="shared" si="8"/>
        <v>0</v>
      </c>
      <c r="J159" s="20" t="str">
        <f t="shared" si="9"/>
        <v/>
      </c>
      <c r="K159" t="str">
        <f t="shared" si="10"/>
        <v/>
      </c>
      <c r="L159" t="str">
        <f t="shared" si="11"/>
        <v/>
      </c>
    </row>
    <row r="160" spans="1:12">
      <c r="A160">
        <f>all_data!A160</f>
        <v>158</v>
      </c>
      <c r="B160" t="str">
        <f>IF(all_data!B160&gt;0,all_data!B160,"")</f>
        <v/>
      </c>
      <c r="C160">
        <f>all_data!C160</f>
        <v>0</v>
      </c>
      <c r="D160">
        <f>all_data!D160</f>
        <v>0</v>
      </c>
      <c r="E160" t="str">
        <f>all_data!E160</f>
        <v/>
      </c>
      <c r="F160">
        <f>all_data!F160</f>
        <v>0</v>
      </c>
      <c r="H160">
        <f t="shared" si="8"/>
        <v>0</v>
      </c>
      <c r="J160" s="20" t="str">
        <f t="shared" si="9"/>
        <v/>
      </c>
      <c r="K160" t="str">
        <f t="shared" si="10"/>
        <v/>
      </c>
      <c r="L160" t="str">
        <f t="shared" si="11"/>
        <v/>
      </c>
    </row>
    <row r="161" spans="1:12">
      <c r="A161">
        <f>all_data!A161</f>
        <v>159</v>
      </c>
      <c r="B161" t="str">
        <f>IF(all_data!B161&gt;0,all_data!B161,"")</f>
        <v/>
      </c>
      <c r="C161">
        <f>all_data!C161</f>
        <v>0</v>
      </c>
      <c r="D161">
        <f>all_data!D161</f>
        <v>0</v>
      </c>
      <c r="E161" t="str">
        <f>all_data!E161</f>
        <v/>
      </c>
      <c r="F161">
        <f>all_data!F161</f>
        <v>0</v>
      </c>
      <c r="H161">
        <f t="shared" si="8"/>
        <v>0</v>
      </c>
      <c r="J161" s="20" t="str">
        <f t="shared" si="9"/>
        <v/>
      </c>
      <c r="K161" t="str">
        <f t="shared" si="10"/>
        <v/>
      </c>
      <c r="L161" t="str">
        <f t="shared" si="11"/>
        <v/>
      </c>
    </row>
    <row r="162" spans="1:12">
      <c r="A162">
        <f>all_data!A162</f>
        <v>160</v>
      </c>
      <c r="B162" t="str">
        <f>IF(all_data!B162&gt;0,all_data!B162,"")</f>
        <v/>
      </c>
      <c r="C162">
        <f>all_data!C162</f>
        <v>0</v>
      </c>
      <c r="D162">
        <f>all_data!D162</f>
        <v>0</v>
      </c>
      <c r="E162" t="str">
        <f>all_data!E162</f>
        <v/>
      </c>
      <c r="F162">
        <f>all_data!F162</f>
        <v>0</v>
      </c>
      <c r="H162">
        <f t="shared" si="8"/>
        <v>0</v>
      </c>
      <c r="J162" s="20" t="str">
        <f t="shared" si="9"/>
        <v/>
      </c>
      <c r="K162" t="str">
        <f t="shared" si="10"/>
        <v/>
      </c>
      <c r="L162" t="str">
        <f t="shared" si="11"/>
        <v/>
      </c>
    </row>
    <row r="163" spans="1:12">
      <c r="A163">
        <f>all_data!A163</f>
        <v>161</v>
      </c>
      <c r="B163" t="str">
        <f>IF(all_data!B163&gt;0,all_data!B163,"")</f>
        <v/>
      </c>
      <c r="C163">
        <f>all_data!C163</f>
        <v>0</v>
      </c>
      <c r="D163">
        <f>all_data!D163</f>
        <v>0</v>
      </c>
      <c r="E163" t="str">
        <f>all_data!E163</f>
        <v/>
      </c>
      <c r="F163">
        <f>all_data!F163</f>
        <v>0</v>
      </c>
      <c r="H163">
        <f t="shared" si="8"/>
        <v>0</v>
      </c>
      <c r="J163" s="20" t="str">
        <f t="shared" si="9"/>
        <v/>
      </c>
      <c r="K163" t="str">
        <f t="shared" si="10"/>
        <v/>
      </c>
      <c r="L163" t="str">
        <f t="shared" si="11"/>
        <v/>
      </c>
    </row>
    <row r="164" spans="1:12">
      <c r="A164">
        <f>all_data!A164</f>
        <v>162</v>
      </c>
      <c r="B164" t="str">
        <f>IF(all_data!B164&gt;0,all_data!B164,"")</f>
        <v/>
      </c>
      <c r="C164">
        <f>all_data!C164</f>
        <v>0</v>
      </c>
      <c r="D164">
        <f>all_data!D164</f>
        <v>0</v>
      </c>
      <c r="E164" t="str">
        <f>all_data!E164</f>
        <v/>
      </c>
      <c r="F164">
        <f>all_data!F164</f>
        <v>0</v>
      </c>
      <c r="H164">
        <f t="shared" si="8"/>
        <v>0</v>
      </c>
      <c r="J164" s="20" t="str">
        <f t="shared" si="9"/>
        <v/>
      </c>
      <c r="K164" t="str">
        <f t="shared" si="10"/>
        <v/>
      </c>
      <c r="L164" t="str">
        <f t="shared" si="11"/>
        <v/>
      </c>
    </row>
    <row r="165" spans="1:12">
      <c r="A165">
        <f>all_data!A165</f>
        <v>163</v>
      </c>
      <c r="B165" t="str">
        <f>IF(all_data!B165&gt;0,all_data!B165,"")</f>
        <v/>
      </c>
      <c r="C165">
        <f>all_data!C165</f>
        <v>0</v>
      </c>
      <c r="D165">
        <f>all_data!D165</f>
        <v>0</v>
      </c>
      <c r="E165" t="str">
        <f>all_data!E165</f>
        <v/>
      </c>
      <c r="F165">
        <f>all_data!F165</f>
        <v>0</v>
      </c>
      <c r="H165">
        <f t="shared" si="8"/>
        <v>0</v>
      </c>
      <c r="J165" s="20" t="str">
        <f t="shared" si="9"/>
        <v/>
      </c>
      <c r="K165" t="str">
        <f t="shared" si="10"/>
        <v/>
      </c>
      <c r="L165" t="str">
        <f t="shared" si="11"/>
        <v/>
      </c>
    </row>
    <row r="166" spans="1:12">
      <c r="A166">
        <f>all_data!A166</f>
        <v>164</v>
      </c>
      <c r="B166" t="str">
        <f>IF(all_data!B166&gt;0,all_data!B166,"")</f>
        <v/>
      </c>
      <c r="C166">
        <f>all_data!C166</f>
        <v>0</v>
      </c>
      <c r="D166">
        <f>all_data!D166</f>
        <v>0</v>
      </c>
      <c r="E166" t="str">
        <f>all_data!E166</f>
        <v/>
      </c>
      <c r="F166">
        <f>all_data!F166</f>
        <v>0</v>
      </c>
      <c r="H166">
        <f t="shared" si="8"/>
        <v>0</v>
      </c>
      <c r="J166" s="20" t="str">
        <f t="shared" si="9"/>
        <v/>
      </c>
      <c r="K166" t="str">
        <f t="shared" si="10"/>
        <v/>
      </c>
      <c r="L166" t="str">
        <f t="shared" si="11"/>
        <v/>
      </c>
    </row>
    <row r="167" spans="1:12">
      <c r="A167">
        <f>all_data!A167</f>
        <v>165</v>
      </c>
      <c r="B167" t="str">
        <f>IF(all_data!B167&gt;0,all_data!B167,"")</f>
        <v/>
      </c>
      <c r="C167">
        <f>all_data!C167</f>
        <v>0</v>
      </c>
      <c r="D167">
        <f>all_data!D167</f>
        <v>0</v>
      </c>
      <c r="E167" t="str">
        <f>all_data!E167</f>
        <v/>
      </c>
      <c r="F167">
        <f>all_data!F167</f>
        <v>0</v>
      </c>
      <c r="H167">
        <f t="shared" si="8"/>
        <v>0</v>
      </c>
      <c r="J167" s="20" t="str">
        <f t="shared" si="9"/>
        <v/>
      </c>
      <c r="K167" t="str">
        <f t="shared" si="10"/>
        <v/>
      </c>
      <c r="L167" t="str">
        <f t="shared" si="11"/>
        <v/>
      </c>
    </row>
    <row r="168" spans="1:12">
      <c r="A168">
        <f>all_data!A168</f>
        <v>166</v>
      </c>
      <c r="B168" t="str">
        <f>IF(all_data!B168&gt;0,all_data!B168,"")</f>
        <v/>
      </c>
      <c r="C168">
        <f>all_data!C168</f>
        <v>0</v>
      </c>
      <c r="D168">
        <f>all_data!D168</f>
        <v>0</v>
      </c>
      <c r="E168" t="str">
        <f>all_data!E168</f>
        <v/>
      </c>
      <c r="F168">
        <f>all_data!F168</f>
        <v>0</v>
      </c>
      <c r="H168">
        <f t="shared" si="8"/>
        <v>0</v>
      </c>
      <c r="J168" s="20" t="str">
        <f t="shared" si="9"/>
        <v/>
      </c>
      <c r="K168" t="str">
        <f t="shared" si="10"/>
        <v/>
      </c>
      <c r="L168" t="str">
        <f t="shared" si="11"/>
        <v/>
      </c>
    </row>
    <row r="169" spans="1:12">
      <c r="A169">
        <f>all_data!A169</f>
        <v>167</v>
      </c>
      <c r="B169" t="str">
        <f>IF(all_data!B169&gt;0,all_data!B169,"")</f>
        <v/>
      </c>
      <c r="C169">
        <f>all_data!C169</f>
        <v>0</v>
      </c>
      <c r="D169">
        <f>all_data!D169</f>
        <v>0</v>
      </c>
      <c r="E169" t="str">
        <f>all_data!E169</f>
        <v/>
      </c>
      <c r="F169">
        <f>all_data!F169</f>
        <v>0</v>
      </c>
      <c r="H169">
        <f t="shared" si="8"/>
        <v>0</v>
      </c>
      <c r="J169" s="20" t="str">
        <f t="shared" si="9"/>
        <v/>
      </c>
      <c r="K169" t="str">
        <f t="shared" si="10"/>
        <v/>
      </c>
      <c r="L169" t="str">
        <f t="shared" si="11"/>
        <v/>
      </c>
    </row>
    <row r="170" spans="1:12">
      <c r="A170">
        <f>all_data!A170</f>
        <v>168</v>
      </c>
      <c r="B170" t="str">
        <f>IF(all_data!B170&gt;0,all_data!B170,"")</f>
        <v/>
      </c>
      <c r="C170">
        <f>all_data!C170</f>
        <v>0</v>
      </c>
      <c r="D170">
        <f>all_data!D170</f>
        <v>0</v>
      </c>
      <c r="E170" t="str">
        <f>all_data!E170</f>
        <v/>
      </c>
      <c r="F170">
        <f>all_data!F170</f>
        <v>0</v>
      </c>
      <c r="H170">
        <f t="shared" si="8"/>
        <v>0</v>
      </c>
      <c r="J170" s="20" t="str">
        <f t="shared" si="9"/>
        <v/>
      </c>
      <c r="K170" t="str">
        <f t="shared" si="10"/>
        <v/>
      </c>
      <c r="L170" t="str">
        <f t="shared" si="11"/>
        <v/>
      </c>
    </row>
    <row r="171" spans="1:12">
      <c r="A171">
        <f>all_data!A171</f>
        <v>169</v>
      </c>
      <c r="B171" t="str">
        <f>IF(all_data!B171&gt;0,all_data!B171,"")</f>
        <v/>
      </c>
      <c r="C171">
        <f>all_data!C171</f>
        <v>0</v>
      </c>
      <c r="D171">
        <f>all_data!D171</f>
        <v>0</v>
      </c>
      <c r="E171" t="str">
        <f>all_data!E171</f>
        <v/>
      </c>
      <c r="F171">
        <f>all_data!F171</f>
        <v>0</v>
      </c>
      <c r="H171">
        <f t="shared" si="8"/>
        <v>0</v>
      </c>
      <c r="J171" s="20" t="str">
        <f t="shared" si="9"/>
        <v/>
      </c>
      <c r="K171" t="str">
        <f t="shared" si="10"/>
        <v/>
      </c>
      <c r="L171" t="str">
        <f t="shared" si="11"/>
        <v/>
      </c>
    </row>
    <row r="172" spans="1:12">
      <c r="A172">
        <f>all_data!A172</f>
        <v>170</v>
      </c>
      <c r="B172" t="str">
        <f>IF(all_data!B172&gt;0,all_data!B172,"")</f>
        <v/>
      </c>
      <c r="C172">
        <f>all_data!C172</f>
        <v>0</v>
      </c>
      <c r="D172">
        <f>all_data!D172</f>
        <v>0</v>
      </c>
      <c r="E172" t="str">
        <f>all_data!E172</f>
        <v/>
      </c>
      <c r="F172">
        <f>all_data!F172</f>
        <v>0</v>
      </c>
      <c r="H172">
        <f t="shared" si="8"/>
        <v>0</v>
      </c>
      <c r="J172" s="20" t="str">
        <f t="shared" si="9"/>
        <v/>
      </c>
      <c r="K172" t="str">
        <f t="shared" si="10"/>
        <v/>
      </c>
      <c r="L172" t="str">
        <f t="shared" si="11"/>
        <v/>
      </c>
    </row>
    <row r="173" spans="1:12">
      <c r="A173">
        <f>all_data!A173</f>
        <v>171</v>
      </c>
      <c r="B173" t="str">
        <f>IF(all_data!B173&gt;0,all_data!B173,"")</f>
        <v/>
      </c>
      <c r="C173">
        <f>all_data!C173</f>
        <v>0</v>
      </c>
      <c r="D173">
        <f>all_data!D173</f>
        <v>0</v>
      </c>
      <c r="E173" t="str">
        <f>all_data!E173</f>
        <v/>
      </c>
      <c r="F173">
        <f>all_data!F173</f>
        <v>0</v>
      </c>
      <c r="H173">
        <f t="shared" si="8"/>
        <v>0</v>
      </c>
      <c r="J173" s="20" t="str">
        <f t="shared" si="9"/>
        <v/>
      </c>
      <c r="K173" t="str">
        <f t="shared" si="10"/>
        <v/>
      </c>
      <c r="L173" t="str">
        <f t="shared" si="11"/>
        <v/>
      </c>
    </row>
    <row r="174" spans="1:12">
      <c r="A174">
        <f>all_data!A174</f>
        <v>172</v>
      </c>
      <c r="B174" t="str">
        <f>IF(all_data!B174&gt;0,all_data!B174,"")</f>
        <v/>
      </c>
      <c r="C174">
        <f>all_data!C174</f>
        <v>0</v>
      </c>
      <c r="D174">
        <f>all_data!D174</f>
        <v>0</v>
      </c>
      <c r="E174" t="str">
        <f>all_data!E174</f>
        <v/>
      </c>
      <c r="F174">
        <f>all_data!F174</f>
        <v>0</v>
      </c>
      <c r="H174">
        <f t="shared" si="8"/>
        <v>0</v>
      </c>
      <c r="J174" s="20" t="str">
        <f t="shared" si="9"/>
        <v/>
      </c>
      <c r="K174" t="str">
        <f t="shared" si="10"/>
        <v/>
      </c>
      <c r="L174" t="str">
        <f t="shared" si="11"/>
        <v/>
      </c>
    </row>
    <row r="175" spans="1:12">
      <c r="A175">
        <f>all_data!A175</f>
        <v>173</v>
      </c>
      <c r="B175" t="str">
        <f>IF(all_data!B175&gt;0,all_data!B175,"")</f>
        <v/>
      </c>
      <c r="C175">
        <f>all_data!C175</f>
        <v>0</v>
      </c>
      <c r="D175">
        <f>all_data!D175</f>
        <v>0</v>
      </c>
      <c r="E175" t="str">
        <f>all_data!E175</f>
        <v/>
      </c>
      <c r="F175">
        <f>all_data!F175</f>
        <v>0</v>
      </c>
      <c r="H175">
        <f t="shared" si="8"/>
        <v>0</v>
      </c>
      <c r="J175" s="20" t="str">
        <f t="shared" si="9"/>
        <v/>
      </c>
      <c r="K175" t="str">
        <f t="shared" si="10"/>
        <v/>
      </c>
      <c r="L175" t="str">
        <f t="shared" si="11"/>
        <v/>
      </c>
    </row>
    <row r="176" spans="1:12">
      <c r="A176">
        <f>all_data!A176</f>
        <v>174</v>
      </c>
      <c r="B176" t="str">
        <f>IF(all_data!B176&gt;0,all_data!B176,"")</f>
        <v/>
      </c>
      <c r="C176">
        <f>all_data!C176</f>
        <v>0</v>
      </c>
      <c r="D176">
        <f>all_data!D176</f>
        <v>0</v>
      </c>
      <c r="E176" t="str">
        <f>all_data!E176</f>
        <v/>
      </c>
      <c r="F176">
        <f>all_data!F176</f>
        <v>0</v>
      </c>
      <c r="H176">
        <f t="shared" si="8"/>
        <v>0</v>
      </c>
      <c r="J176" s="20" t="str">
        <f t="shared" si="9"/>
        <v/>
      </c>
      <c r="K176" t="str">
        <f t="shared" si="10"/>
        <v/>
      </c>
      <c r="L176" t="str">
        <f t="shared" si="11"/>
        <v/>
      </c>
    </row>
    <row r="177" spans="1:12">
      <c r="A177">
        <f>all_data!A177</f>
        <v>175</v>
      </c>
      <c r="B177" t="str">
        <f>IF(all_data!B177&gt;0,all_data!B177,"")</f>
        <v/>
      </c>
      <c r="C177">
        <f>all_data!C177</f>
        <v>0</v>
      </c>
      <c r="D177">
        <f>all_data!D177</f>
        <v>0</v>
      </c>
      <c r="E177" t="str">
        <f>all_data!E177</f>
        <v/>
      </c>
      <c r="F177">
        <f>all_data!F177</f>
        <v>0</v>
      </c>
      <c r="H177">
        <f t="shared" si="8"/>
        <v>0</v>
      </c>
      <c r="J177" s="20" t="str">
        <f t="shared" si="9"/>
        <v/>
      </c>
      <c r="K177" t="str">
        <f t="shared" si="10"/>
        <v/>
      </c>
      <c r="L177" t="str">
        <f t="shared" si="11"/>
        <v/>
      </c>
    </row>
    <row r="178" spans="1:12">
      <c r="A178">
        <f>all_data!A178</f>
        <v>176</v>
      </c>
      <c r="B178" t="str">
        <f>IF(all_data!B178&gt;0,all_data!B178,"")</f>
        <v/>
      </c>
      <c r="C178">
        <f>all_data!C178</f>
        <v>0</v>
      </c>
      <c r="D178">
        <f>all_data!D178</f>
        <v>0</v>
      </c>
      <c r="E178" t="str">
        <f>all_data!E178</f>
        <v/>
      </c>
      <c r="F178">
        <f>all_data!F178</f>
        <v>0</v>
      </c>
      <c r="H178">
        <f t="shared" si="8"/>
        <v>0</v>
      </c>
      <c r="J178" s="20" t="str">
        <f t="shared" si="9"/>
        <v/>
      </c>
      <c r="K178" t="str">
        <f t="shared" si="10"/>
        <v/>
      </c>
      <c r="L178" t="str">
        <f t="shared" si="11"/>
        <v/>
      </c>
    </row>
    <row r="179" spans="1:12">
      <c r="A179">
        <f>all_data!A179</f>
        <v>177</v>
      </c>
      <c r="B179" t="str">
        <f>IF(all_data!B179&gt;0,all_data!B179,"")</f>
        <v/>
      </c>
      <c r="C179">
        <f>all_data!C179</f>
        <v>0</v>
      </c>
      <c r="D179">
        <f>all_data!D179</f>
        <v>0</v>
      </c>
      <c r="E179" t="str">
        <f>all_data!E179</f>
        <v/>
      </c>
      <c r="F179">
        <f>all_data!F179</f>
        <v>0</v>
      </c>
      <c r="H179">
        <f t="shared" si="8"/>
        <v>0</v>
      </c>
      <c r="J179" s="20" t="str">
        <f t="shared" si="9"/>
        <v/>
      </c>
      <c r="K179" t="str">
        <f t="shared" si="10"/>
        <v/>
      </c>
      <c r="L179" t="str">
        <f t="shared" si="11"/>
        <v/>
      </c>
    </row>
    <row r="180" spans="1:12">
      <c r="A180">
        <f>all_data!A180</f>
        <v>178</v>
      </c>
      <c r="B180" t="str">
        <f>IF(all_data!B180&gt;0,all_data!B180,"")</f>
        <v/>
      </c>
      <c r="C180">
        <f>all_data!C180</f>
        <v>0</v>
      </c>
      <c r="D180">
        <f>all_data!D180</f>
        <v>0</v>
      </c>
      <c r="E180" t="str">
        <f>all_data!E180</f>
        <v/>
      </c>
      <c r="F180">
        <f>all_data!F180</f>
        <v>0</v>
      </c>
      <c r="H180">
        <f t="shared" si="8"/>
        <v>0</v>
      </c>
      <c r="J180" s="20" t="str">
        <f t="shared" si="9"/>
        <v/>
      </c>
      <c r="K180" t="str">
        <f t="shared" si="10"/>
        <v/>
      </c>
      <c r="L180" t="str">
        <f t="shared" si="11"/>
        <v/>
      </c>
    </row>
    <row r="181" spans="1:12">
      <c r="A181">
        <f>all_data!A181</f>
        <v>179</v>
      </c>
      <c r="B181" t="str">
        <f>IF(all_data!B181&gt;0,all_data!B181,"")</f>
        <v/>
      </c>
      <c r="C181">
        <f>all_data!C181</f>
        <v>0</v>
      </c>
      <c r="D181">
        <f>all_data!D181</f>
        <v>0</v>
      </c>
      <c r="E181" t="str">
        <f>all_data!E181</f>
        <v/>
      </c>
      <c r="F181">
        <f>all_data!F181</f>
        <v>0</v>
      </c>
      <c r="H181">
        <f t="shared" si="8"/>
        <v>0</v>
      </c>
      <c r="J181" s="20" t="str">
        <f t="shared" si="9"/>
        <v/>
      </c>
      <c r="K181" t="str">
        <f t="shared" si="10"/>
        <v/>
      </c>
      <c r="L181" t="str">
        <f t="shared" si="11"/>
        <v/>
      </c>
    </row>
    <row r="182" spans="1:12">
      <c r="A182">
        <f>all_data!A182</f>
        <v>180</v>
      </c>
      <c r="B182" t="str">
        <f>IF(all_data!B182&gt;0,all_data!B182,"")</f>
        <v/>
      </c>
      <c r="C182">
        <f>all_data!C182</f>
        <v>0</v>
      </c>
      <c r="D182">
        <f>all_data!D182</f>
        <v>0</v>
      </c>
      <c r="E182" t="str">
        <f>all_data!E182</f>
        <v/>
      </c>
      <c r="F182">
        <f>all_data!F182</f>
        <v>0</v>
      </c>
      <c r="H182">
        <f t="shared" si="8"/>
        <v>0</v>
      </c>
      <c r="J182" s="20" t="str">
        <f t="shared" si="9"/>
        <v/>
      </c>
      <c r="K182" t="str">
        <f t="shared" si="10"/>
        <v/>
      </c>
      <c r="L182" t="str">
        <f t="shared" si="11"/>
        <v/>
      </c>
    </row>
    <row r="183" spans="1:12">
      <c r="A183">
        <f>all_data!A183</f>
        <v>181</v>
      </c>
      <c r="B183" t="str">
        <f>IF(all_data!B183&gt;0,all_data!B183,"")</f>
        <v/>
      </c>
      <c r="C183">
        <f>all_data!C183</f>
        <v>0</v>
      </c>
      <c r="D183">
        <f>all_data!D183</f>
        <v>0</v>
      </c>
      <c r="E183" t="str">
        <f>all_data!E183</f>
        <v/>
      </c>
      <c r="F183">
        <f>all_data!F183</f>
        <v>0</v>
      </c>
      <c r="H183">
        <f t="shared" si="8"/>
        <v>0</v>
      </c>
      <c r="J183" s="20" t="str">
        <f t="shared" si="9"/>
        <v/>
      </c>
      <c r="K183" t="str">
        <f t="shared" si="10"/>
        <v/>
      </c>
      <c r="L183" t="str">
        <f t="shared" si="11"/>
        <v/>
      </c>
    </row>
    <row r="184" spans="1:12">
      <c r="A184">
        <f>all_data!A184</f>
        <v>182</v>
      </c>
      <c r="B184" t="str">
        <f>IF(all_data!B184&gt;0,all_data!B184,"")</f>
        <v/>
      </c>
      <c r="C184">
        <f>all_data!C184</f>
        <v>0</v>
      </c>
      <c r="D184">
        <f>all_data!D184</f>
        <v>0</v>
      </c>
      <c r="E184" t="str">
        <f>all_data!E184</f>
        <v/>
      </c>
      <c r="F184">
        <f>all_data!F184</f>
        <v>0</v>
      </c>
      <c r="H184">
        <f t="shared" si="8"/>
        <v>0</v>
      </c>
      <c r="J184" s="20" t="str">
        <f t="shared" si="9"/>
        <v/>
      </c>
      <c r="K184" t="str">
        <f t="shared" si="10"/>
        <v/>
      </c>
      <c r="L184" t="str">
        <f t="shared" si="11"/>
        <v/>
      </c>
    </row>
    <row r="185" spans="1:12">
      <c r="A185">
        <f>all_data!A185</f>
        <v>183</v>
      </c>
      <c r="B185" t="str">
        <f>IF(all_data!B185&gt;0,all_data!B185,"")</f>
        <v/>
      </c>
      <c r="C185">
        <f>all_data!C185</f>
        <v>0</v>
      </c>
      <c r="D185">
        <f>all_data!D185</f>
        <v>0</v>
      </c>
      <c r="E185" t="str">
        <f>all_data!E185</f>
        <v/>
      </c>
      <c r="F185">
        <f>all_data!F185</f>
        <v>0</v>
      </c>
      <c r="H185">
        <f t="shared" si="8"/>
        <v>0</v>
      </c>
      <c r="J185" s="20" t="str">
        <f t="shared" si="9"/>
        <v/>
      </c>
      <c r="K185" t="str">
        <f t="shared" si="10"/>
        <v/>
      </c>
      <c r="L185" t="str">
        <f t="shared" si="11"/>
        <v/>
      </c>
    </row>
    <row r="186" spans="1:12">
      <c r="A186">
        <f>all_data!A186</f>
        <v>184</v>
      </c>
      <c r="B186" t="str">
        <f>IF(all_data!B186&gt;0,all_data!B186,"")</f>
        <v/>
      </c>
      <c r="C186">
        <f>all_data!C186</f>
        <v>0</v>
      </c>
      <c r="D186">
        <f>all_data!D186</f>
        <v>0</v>
      </c>
      <c r="E186" t="str">
        <f>all_data!E186</f>
        <v/>
      </c>
      <c r="F186">
        <f>all_data!F186</f>
        <v>0</v>
      </c>
      <c r="H186">
        <f t="shared" si="8"/>
        <v>0</v>
      </c>
      <c r="J186" s="20" t="str">
        <f t="shared" si="9"/>
        <v/>
      </c>
      <c r="K186" t="str">
        <f t="shared" si="10"/>
        <v/>
      </c>
      <c r="L186" t="str">
        <f t="shared" si="11"/>
        <v/>
      </c>
    </row>
    <row r="187" spans="1:12">
      <c r="A187">
        <f>all_data!A187</f>
        <v>185</v>
      </c>
      <c r="B187" t="str">
        <f>IF(all_data!B187&gt;0,all_data!B187,"")</f>
        <v/>
      </c>
      <c r="C187">
        <f>all_data!C187</f>
        <v>0</v>
      </c>
      <c r="D187">
        <f>all_data!D187</f>
        <v>0</v>
      </c>
      <c r="E187" t="str">
        <f>all_data!E187</f>
        <v/>
      </c>
      <c r="F187">
        <f>all_data!F187</f>
        <v>0</v>
      </c>
      <c r="H187">
        <f t="shared" si="8"/>
        <v>0</v>
      </c>
      <c r="J187" s="20" t="str">
        <f t="shared" si="9"/>
        <v/>
      </c>
      <c r="K187" t="str">
        <f t="shared" si="10"/>
        <v/>
      </c>
      <c r="L187" t="str">
        <f t="shared" si="11"/>
        <v/>
      </c>
    </row>
    <row r="188" spans="1:12">
      <c r="A188">
        <f>all_data!A188</f>
        <v>186</v>
      </c>
      <c r="B188" t="str">
        <f>IF(all_data!B188&gt;0,all_data!B188,"")</f>
        <v/>
      </c>
      <c r="C188">
        <f>all_data!C188</f>
        <v>0</v>
      </c>
      <c r="D188">
        <f>all_data!D188</f>
        <v>0</v>
      </c>
      <c r="E188" t="str">
        <f>all_data!E188</f>
        <v/>
      </c>
      <c r="F188">
        <f>all_data!F188</f>
        <v>0</v>
      </c>
      <c r="H188">
        <f t="shared" si="8"/>
        <v>0</v>
      </c>
      <c r="J188" s="20" t="str">
        <f t="shared" si="9"/>
        <v/>
      </c>
      <c r="K188" t="str">
        <f t="shared" si="10"/>
        <v/>
      </c>
      <c r="L188" t="str">
        <f t="shared" si="11"/>
        <v/>
      </c>
    </row>
    <row r="189" spans="1:12">
      <c r="A189">
        <f>all_data!A189</f>
        <v>187</v>
      </c>
      <c r="B189" t="str">
        <f>IF(all_data!B189&gt;0,all_data!B189,"")</f>
        <v/>
      </c>
      <c r="C189">
        <f>all_data!C189</f>
        <v>0</v>
      </c>
      <c r="D189">
        <f>all_data!D189</f>
        <v>0</v>
      </c>
      <c r="E189" t="str">
        <f>all_data!E189</f>
        <v/>
      </c>
      <c r="F189">
        <f>all_data!F189</f>
        <v>0</v>
      </c>
      <c r="H189">
        <f t="shared" si="8"/>
        <v>0</v>
      </c>
      <c r="J189" s="20" t="str">
        <f t="shared" si="9"/>
        <v/>
      </c>
      <c r="K189" t="str">
        <f t="shared" si="10"/>
        <v/>
      </c>
      <c r="L189" t="str">
        <f t="shared" si="11"/>
        <v/>
      </c>
    </row>
    <row r="190" spans="1:12">
      <c r="A190">
        <f>all_data!A190</f>
        <v>188</v>
      </c>
      <c r="B190" t="str">
        <f>IF(all_data!B190&gt;0,all_data!B190,"")</f>
        <v/>
      </c>
      <c r="C190">
        <f>all_data!C190</f>
        <v>0</v>
      </c>
      <c r="D190">
        <f>all_data!D190</f>
        <v>0</v>
      </c>
      <c r="E190" t="str">
        <f>all_data!E190</f>
        <v/>
      </c>
      <c r="F190">
        <f>all_data!F190</f>
        <v>0</v>
      </c>
      <c r="H190">
        <f t="shared" si="8"/>
        <v>0</v>
      </c>
      <c r="J190" s="20" t="str">
        <f t="shared" si="9"/>
        <v/>
      </c>
      <c r="K190" t="str">
        <f t="shared" si="10"/>
        <v/>
      </c>
      <c r="L190" t="str">
        <f t="shared" si="11"/>
        <v/>
      </c>
    </row>
    <row r="191" spans="1:12">
      <c r="A191">
        <f>all_data!A191</f>
        <v>189</v>
      </c>
      <c r="B191" t="str">
        <f>IF(all_data!B191&gt;0,all_data!B191,"")</f>
        <v/>
      </c>
      <c r="C191">
        <f>all_data!C191</f>
        <v>0</v>
      </c>
      <c r="D191">
        <f>all_data!D191</f>
        <v>0</v>
      </c>
      <c r="E191" t="str">
        <f>all_data!E191</f>
        <v/>
      </c>
      <c r="F191">
        <f>all_data!F191</f>
        <v>0</v>
      </c>
      <c r="H191">
        <f t="shared" si="8"/>
        <v>0</v>
      </c>
      <c r="J191" s="20" t="str">
        <f t="shared" si="9"/>
        <v/>
      </c>
      <c r="K191" t="str">
        <f t="shared" si="10"/>
        <v/>
      </c>
      <c r="L191" t="str">
        <f t="shared" si="11"/>
        <v/>
      </c>
    </row>
    <row r="192" spans="1:12">
      <c r="A192">
        <f>all_data!A192</f>
        <v>190</v>
      </c>
      <c r="B192" t="str">
        <f>IF(all_data!B192&gt;0,all_data!B192,"")</f>
        <v/>
      </c>
      <c r="C192">
        <f>all_data!C192</f>
        <v>0</v>
      </c>
      <c r="D192">
        <f>all_data!D192</f>
        <v>0</v>
      </c>
      <c r="E192" t="str">
        <f>all_data!E192</f>
        <v/>
      </c>
      <c r="F192">
        <f>all_data!F192</f>
        <v>0</v>
      </c>
      <c r="H192">
        <f t="shared" si="8"/>
        <v>0</v>
      </c>
      <c r="J192" s="20" t="str">
        <f t="shared" si="9"/>
        <v/>
      </c>
      <c r="K192" t="str">
        <f t="shared" si="10"/>
        <v/>
      </c>
      <c r="L192" t="str">
        <f t="shared" si="11"/>
        <v/>
      </c>
    </row>
    <row r="193" spans="1:12">
      <c r="A193">
        <f>all_data!A193</f>
        <v>191</v>
      </c>
      <c r="B193" t="str">
        <f>IF(all_data!B193&gt;0,all_data!B193,"")</f>
        <v/>
      </c>
      <c r="C193">
        <f>all_data!C193</f>
        <v>0</v>
      </c>
      <c r="D193">
        <f>all_data!D193</f>
        <v>0</v>
      </c>
      <c r="E193" t="str">
        <f>all_data!E193</f>
        <v/>
      </c>
      <c r="F193">
        <f>all_data!F193</f>
        <v>0</v>
      </c>
      <c r="H193">
        <f t="shared" si="8"/>
        <v>0</v>
      </c>
      <c r="J193" s="20" t="str">
        <f t="shared" si="9"/>
        <v/>
      </c>
      <c r="K193" t="str">
        <f t="shared" si="10"/>
        <v/>
      </c>
      <c r="L193" t="str">
        <f t="shared" si="11"/>
        <v/>
      </c>
    </row>
    <row r="194" spans="1:12">
      <c r="A194">
        <f>all_data!A194</f>
        <v>192</v>
      </c>
      <c r="B194" t="str">
        <f>IF(all_data!B194&gt;0,all_data!B194,"")</f>
        <v/>
      </c>
      <c r="C194">
        <f>all_data!C194</f>
        <v>0</v>
      </c>
      <c r="D194">
        <f>all_data!D194</f>
        <v>0</v>
      </c>
      <c r="E194" t="str">
        <f>all_data!E194</f>
        <v/>
      </c>
      <c r="F194">
        <f>all_data!F194</f>
        <v>0</v>
      </c>
      <c r="H194">
        <f t="shared" si="8"/>
        <v>0</v>
      </c>
      <c r="J194" s="20" t="str">
        <f t="shared" si="9"/>
        <v/>
      </c>
      <c r="K194" t="str">
        <f t="shared" si="10"/>
        <v/>
      </c>
      <c r="L194" t="str">
        <f t="shared" si="11"/>
        <v/>
      </c>
    </row>
    <row r="195" spans="1:12">
      <c r="A195">
        <f>all_data!A195</f>
        <v>193</v>
      </c>
      <c r="B195" t="str">
        <f>IF(all_data!B195&gt;0,all_data!B195,"")</f>
        <v/>
      </c>
      <c r="C195">
        <f>all_data!C195</f>
        <v>0</v>
      </c>
      <c r="D195">
        <f>all_data!D195</f>
        <v>0</v>
      </c>
      <c r="E195" t="str">
        <f>all_data!E195</f>
        <v/>
      </c>
      <c r="F195">
        <f>all_data!F195</f>
        <v>0</v>
      </c>
      <c r="H195">
        <f t="shared" ref="H195:H258" si="12">IF(C195&lt;=10,D195,0)</f>
        <v>0</v>
      </c>
      <c r="J195" s="20" t="str">
        <f t="shared" ref="J195:J258" si="13">IF(H195&gt;0,B195,"")</f>
        <v/>
      </c>
      <c r="K195" t="str">
        <f t="shared" ref="K195:K258" si="14">IF(H195&gt;0,D195,"")</f>
        <v/>
      </c>
      <c r="L195" t="str">
        <f t="shared" ref="L195:L258" si="15">IF(H195&gt;0,F195,"")</f>
        <v/>
      </c>
    </row>
    <row r="196" spans="1:12">
      <c r="A196">
        <f>all_data!A196</f>
        <v>194</v>
      </c>
      <c r="B196" t="str">
        <f>IF(all_data!B196&gt;0,all_data!B196,"")</f>
        <v/>
      </c>
      <c r="C196">
        <f>all_data!C196</f>
        <v>0</v>
      </c>
      <c r="D196">
        <f>all_data!D196</f>
        <v>0</v>
      </c>
      <c r="E196" t="str">
        <f>all_data!E196</f>
        <v/>
      </c>
      <c r="F196">
        <f>all_data!F196</f>
        <v>0</v>
      </c>
      <c r="H196">
        <f t="shared" si="12"/>
        <v>0</v>
      </c>
      <c r="J196" s="20" t="str">
        <f t="shared" si="13"/>
        <v/>
      </c>
      <c r="K196" t="str">
        <f t="shared" si="14"/>
        <v/>
      </c>
      <c r="L196" t="str">
        <f t="shared" si="15"/>
        <v/>
      </c>
    </row>
    <row r="197" spans="1:12">
      <c r="A197">
        <f>all_data!A197</f>
        <v>195</v>
      </c>
      <c r="B197" t="str">
        <f>IF(all_data!B197&gt;0,all_data!B197,"")</f>
        <v/>
      </c>
      <c r="C197">
        <f>all_data!C197</f>
        <v>0</v>
      </c>
      <c r="D197">
        <f>all_data!D197</f>
        <v>0</v>
      </c>
      <c r="E197" t="str">
        <f>all_data!E197</f>
        <v/>
      </c>
      <c r="F197">
        <f>all_data!F197</f>
        <v>0</v>
      </c>
      <c r="H197">
        <f t="shared" si="12"/>
        <v>0</v>
      </c>
      <c r="J197" s="20" t="str">
        <f t="shared" si="13"/>
        <v/>
      </c>
      <c r="K197" t="str">
        <f t="shared" si="14"/>
        <v/>
      </c>
      <c r="L197" t="str">
        <f t="shared" si="15"/>
        <v/>
      </c>
    </row>
    <row r="198" spans="1:12">
      <c r="A198">
        <f>all_data!A198</f>
        <v>196</v>
      </c>
      <c r="B198" t="str">
        <f>IF(all_data!B198&gt;0,all_data!B198,"")</f>
        <v/>
      </c>
      <c r="C198">
        <f>all_data!C198</f>
        <v>0</v>
      </c>
      <c r="D198">
        <f>all_data!D198</f>
        <v>0</v>
      </c>
      <c r="E198" t="str">
        <f>all_data!E198</f>
        <v/>
      </c>
      <c r="F198">
        <f>all_data!F198</f>
        <v>0</v>
      </c>
      <c r="H198">
        <f t="shared" si="12"/>
        <v>0</v>
      </c>
      <c r="J198" s="20" t="str">
        <f t="shared" si="13"/>
        <v/>
      </c>
      <c r="K198" t="str">
        <f t="shared" si="14"/>
        <v/>
      </c>
      <c r="L198" t="str">
        <f t="shared" si="15"/>
        <v/>
      </c>
    </row>
    <row r="199" spans="1:12">
      <c r="A199">
        <f>all_data!A199</f>
        <v>197</v>
      </c>
      <c r="B199" t="str">
        <f>IF(all_data!B199&gt;0,all_data!B199,"")</f>
        <v/>
      </c>
      <c r="C199">
        <f>all_data!C199</f>
        <v>0</v>
      </c>
      <c r="D199">
        <f>all_data!D199</f>
        <v>0</v>
      </c>
      <c r="E199" t="str">
        <f>all_data!E199</f>
        <v/>
      </c>
      <c r="F199">
        <f>all_data!F199</f>
        <v>0</v>
      </c>
      <c r="H199">
        <f t="shared" si="12"/>
        <v>0</v>
      </c>
      <c r="J199" s="20" t="str">
        <f t="shared" si="13"/>
        <v/>
      </c>
      <c r="K199" t="str">
        <f t="shared" si="14"/>
        <v/>
      </c>
      <c r="L199" t="str">
        <f t="shared" si="15"/>
        <v/>
      </c>
    </row>
    <row r="200" spans="1:12">
      <c r="A200">
        <f>all_data!A200</f>
        <v>198</v>
      </c>
      <c r="B200" t="str">
        <f>IF(all_data!B200&gt;0,all_data!B200,"")</f>
        <v/>
      </c>
      <c r="C200">
        <f>all_data!C200</f>
        <v>0</v>
      </c>
      <c r="D200">
        <f>all_data!D200</f>
        <v>0</v>
      </c>
      <c r="E200" t="str">
        <f>all_data!E200</f>
        <v/>
      </c>
      <c r="F200">
        <f>all_data!F200</f>
        <v>0</v>
      </c>
      <c r="H200">
        <f t="shared" si="12"/>
        <v>0</v>
      </c>
      <c r="J200" s="20" t="str">
        <f t="shared" si="13"/>
        <v/>
      </c>
      <c r="K200" t="str">
        <f t="shared" si="14"/>
        <v/>
      </c>
      <c r="L200" t="str">
        <f t="shared" si="15"/>
        <v/>
      </c>
    </row>
    <row r="201" spans="1:12">
      <c r="A201">
        <f>all_data!A201</f>
        <v>199</v>
      </c>
      <c r="B201" t="str">
        <f>IF(all_data!B201&gt;0,all_data!B201,"")</f>
        <v/>
      </c>
      <c r="C201">
        <f>all_data!C201</f>
        <v>0</v>
      </c>
      <c r="D201">
        <f>all_data!D201</f>
        <v>0</v>
      </c>
      <c r="E201" t="str">
        <f>all_data!E201</f>
        <v/>
      </c>
      <c r="F201">
        <f>all_data!F201</f>
        <v>0</v>
      </c>
      <c r="H201">
        <f t="shared" si="12"/>
        <v>0</v>
      </c>
      <c r="J201" s="20" t="str">
        <f t="shared" si="13"/>
        <v/>
      </c>
      <c r="K201" t="str">
        <f t="shared" si="14"/>
        <v/>
      </c>
      <c r="L201" t="str">
        <f t="shared" si="15"/>
        <v/>
      </c>
    </row>
    <row r="202" spans="1:12">
      <c r="A202">
        <f>all_data!A202</f>
        <v>200</v>
      </c>
      <c r="B202" t="str">
        <f>IF(all_data!B202&gt;0,all_data!B202,"")</f>
        <v/>
      </c>
      <c r="C202">
        <f>all_data!C202</f>
        <v>0</v>
      </c>
      <c r="D202">
        <f>all_data!D202</f>
        <v>0</v>
      </c>
      <c r="E202" t="str">
        <f>all_data!E202</f>
        <v/>
      </c>
      <c r="F202">
        <f>all_data!F202</f>
        <v>0</v>
      </c>
      <c r="H202">
        <f t="shared" si="12"/>
        <v>0</v>
      </c>
      <c r="J202" s="20" t="str">
        <f t="shared" si="13"/>
        <v/>
      </c>
      <c r="K202" t="str">
        <f t="shared" si="14"/>
        <v/>
      </c>
      <c r="L202" t="str">
        <f t="shared" si="15"/>
        <v/>
      </c>
    </row>
    <row r="203" spans="1:12">
      <c r="A203">
        <f>all_data!A203</f>
        <v>201</v>
      </c>
      <c r="B203" t="str">
        <f>IF(all_data!B203&gt;0,all_data!B203,"")</f>
        <v/>
      </c>
      <c r="C203">
        <f>all_data!C203</f>
        <v>0</v>
      </c>
      <c r="D203">
        <f>all_data!D203</f>
        <v>0</v>
      </c>
      <c r="E203" t="str">
        <f>all_data!E203</f>
        <v/>
      </c>
      <c r="F203">
        <f>all_data!F203</f>
        <v>0</v>
      </c>
      <c r="H203">
        <f t="shared" si="12"/>
        <v>0</v>
      </c>
      <c r="J203" s="20" t="str">
        <f t="shared" si="13"/>
        <v/>
      </c>
      <c r="K203" t="str">
        <f t="shared" si="14"/>
        <v/>
      </c>
      <c r="L203" t="str">
        <f t="shared" si="15"/>
        <v/>
      </c>
    </row>
    <row r="204" spans="1:12">
      <c r="A204">
        <f>all_data!A204</f>
        <v>202</v>
      </c>
      <c r="B204" t="str">
        <f>IF(all_data!B204&gt;0,all_data!B204,"")</f>
        <v/>
      </c>
      <c r="C204">
        <f>all_data!C204</f>
        <v>0</v>
      </c>
      <c r="D204">
        <f>all_data!D204</f>
        <v>0</v>
      </c>
      <c r="E204" t="str">
        <f>all_data!E204</f>
        <v/>
      </c>
      <c r="F204">
        <f>all_data!F204</f>
        <v>0</v>
      </c>
      <c r="H204">
        <f t="shared" si="12"/>
        <v>0</v>
      </c>
      <c r="J204" s="20" t="str">
        <f t="shared" si="13"/>
        <v/>
      </c>
      <c r="K204" t="str">
        <f t="shared" si="14"/>
        <v/>
      </c>
      <c r="L204" t="str">
        <f t="shared" si="15"/>
        <v/>
      </c>
    </row>
    <row r="205" spans="1:12">
      <c r="A205">
        <f>all_data!A205</f>
        <v>203</v>
      </c>
      <c r="B205" t="str">
        <f>IF(all_data!B205&gt;0,all_data!B205,"")</f>
        <v/>
      </c>
      <c r="C205">
        <f>all_data!C205</f>
        <v>0</v>
      </c>
      <c r="D205">
        <f>all_data!D205</f>
        <v>0</v>
      </c>
      <c r="E205" t="str">
        <f>all_data!E205</f>
        <v/>
      </c>
      <c r="F205">
        <f>all_data!F205</f>
        <v>0</v>
      </c>
      <c r="H205">
        <f t="shared" si="12"/>
        <v>0</v>
      </c>
      <c r="J205" s="20" t="str">
        <f t="shared" si="13"/>
        <v/>
      </c>
      <c r="K205" t="str">
        <f t="shared" si="14"/>
        <v/>
      </c>
      <c r="L205" t="str">
        <f t="shared" si="15"/>
        <v/>
      </c>
    </row>
    <row r="206" spans="1:12">
      <c r="A206">
        <f>all_data!A206</f>
        <v>204</v>
      </c>
      <c r="B206" t="str">
        <f>IF(all_data!B206&gt;0,all_data!B206,"")</f>
        <v/>
      </c>
      <c r="C206">
        <f>all_data!C206</f>
        <v>0</v>
      </c>
      <c r="D206">
        <f>all_data!D206</f>
        <v>0</v>
      </c>
      <c r="E206" t="str">
        <f>all_data!E206</f>
        <v/>
      </c>
      <c r="F206">
        <f>all_data!F206</f>
        <v>0</v>
      </c>
      <c r="H206">
        <f t="shared" si="12"/>
        <v>0</v>
      </c>
      <c r="J206" s="20" t="str">
        <f t="shared" si="13"/>
        <v/>
      </c>
      <c r="K206" t="str">
        <f t="shared" si="14"/>
        <v/>
      </c>
      <c r="L206" t="str">
        <f t="shared" si="15"/>
        <v/>
      </c>
    </row>
    <row r="207" spans="1:12">
      <c r="A207">
        <f>all_data!A207</f>
        <v>205</v>
      </c>
      <c r="B207" t="str">
        <f>IF(all_data!B207&gt;0,all_data!B207,"")</f>
        <v/>
      </c>
      <c r="C207">
        <f>all_data!C207</f>
        <v>0</v>
      </c>
      <c r="D207">
        <f>all_data!D207</f>
        <v>0</v>
      </c>
      <c r="E207" t="str">
        <f>all_data!E207</f>
        <v/>
      </c>
      <c r="F207">
        <f>all_data!F207</f>
        <v>0</v>
      </c>
      <c r="H207">
        <f t="shared" si="12"/>
        <v>0</v>
      </c>
      <c r="J207" s="20" t="str">
        <f t="shared" si="13"/>
        <v/>
      </c>
      <c r="K207" t="str">
        <f t="shared" si="14"/>
        <v/>
      </c>
      <c r="L207" t="str">
        <f t="shared" si="15"/>
        <v/>
      </c>
    </row>
    <row r="208" spans="1:12">
      <c r="A208">
        <f>all_data!A208</f>
        <v>206</v>
      </c>
      <c r="B208" t="str">
        <f>IF(all_data!B208&gt;0,all_data!B208,"")</f>
        <v/>
      </c>
      <c r="C208">
        <f>all_data!C208</f>
        <v>0</v>
      </c>
      <c r="D208">
        <f>all_data!D208</f>
        <v>0</v>
      </c>
      <c r="E208" t="str">
        <f>all_data!E208</f>
        <v/>
      </c>
      <c r="F208">
        <f>all_data!F208</f>
        <v>0</v>
      </c>
      <c r="H208">
        <f t="shared" si="12"/>
        <v>0</v>
      </c>
      <c r="J208" s="20" t="str">
        <f t="shared" si="13"/>
        <v/>
      </c>
      <c r="K208" t="str">
        <f t="shared" si="14"/>
        <v/>
      </c>
      <c r="L208" t="str">
        <f t="shared" si="15"/>
        <v/>
      </c>
    </row>
    <row r="209" spans="1:12">
      <c r="A209">
        <f>all_data!A209</f>
        <v>207</v>
      </c>
      <c r="B209" t="str">
        <f>IF(all_data!B209&gt;0,all_data!B209,"")</f>
        <v/>
      </c>
      <c r="C209">
        <f>all_data!C209</f>
        <v>0</v>
      </c>
      <c r="D209">
        <f>all_data!D209</f>
        <v>0</v>
      </c>
      <c r="E209" t="str">
        <f>all_data!E209</f>
        <v/>
      </c>
      <c r="F209">
        <f>all_data!F209</f>
        <v>0</v>
      </c>
      <c r="H209">
        <f t="shared" si="12"/>
        <v>0</v>
      </c>
      <c r="J209" s="20" t="str">
        <f t="shared" si="13"/>
        <v/>
      </c>
      <c r="K209" t="str">
        <f t="shared" si="14"/>
        <v/>
      </c>
      <c r="L209" t="str">
        <f t="shared" si="15"/>
        <v/>
      </c>
    </row>
    <row r="210" spans="1:12">
      <c r="A210">
        <f>all_data!A210</f>
        <v>208</v>
      </c>
      <c r="B210" t="str">
        <f>IF(all_data!B210&gt;0,all_data!B210,"")</f>
        <v/>
      </c>
      <c r="C210">
        <f>all_data!C210</f>
        <v>0</v>
      </c>
      <c r="D210">
        <f>all_data!D210</f>
        <v>0</v>
      </c>
      <c r="E210" t="str">
        <f>all_data!E210</f>
        <v/>
      </c>
      <c r="F210">
        <f>all_data!F210</f>
        <v>0</v>
      </c>
      <c r="H210">
        <f t="shared" si="12"/>
        <v>0</v>
      </c>
      <c r="J210" s="20" t="str">
        <f t="shared" si="13"/>
        <v/>
      </c>
      <c r="K210" t="str">
        <f t="shared" si="14"/>
        <v/>
      </c>
      <c r="L210" t="str">
        <f t="shared" si="15"/>
        <v/>
      </c>
    </row>
    <row r="211" spans="1:12">
      <c r="A211">
        <f>all_data!A211</f>
        <v>209</v>
      </c>
      <c r="B211" t="str">
        <f>IF(all_data!B211&gt;0,all_data!B211,"")</f>
        <v/>
      </c>
      <c r="C211">
        <f>all_data!C211</f>
        <v>0</v>
      </c>
      <c r="D211">
        <f>all_data!D211</f>
        <v>0</v>
      </c>
      <c r="E211" t="str">
        <f>all_data!E211</f>
        <v/>
      </c>
      <c r="F211">
        <f>all_data!F211</f>
        <v>0</v>
      </c>
      <c r="H211">
        <f t="shared" si="12"/>
        <v>0</v>
      </c>
      <c r="J211" s="20" t="str">
        <f t="shared" si="13"/>
        <v/>
      </c>
      <c r="K211" t="str">
        <f t="shared" si="14"/>
        <v/>
      </c>
      <c r="L211" t="str">
        <f t="shared" si="15"/>
        <v/>
      </c>
    </row>
    <row r="212" spans="1:12">
      <c r="A212">
        <f>all_data!A212</f>
        <v>210</v>
      </c>
      <c r="B212" t="str">
        <f>IF(all_data!B212&gt;0,all_data!B212,"")</f>
        <v/>
      </c>
      <c r="C212">
        <f>all_data!C212</f>
        <v>0</v>
      </c>
      <c r="D212">
        <f>all_data!D212</f>
        <v>0</v>
      </c>
      <c r="E212" t="str">
        <f>all_data!E212</f>
        <v/>
      </c>
      <c r="F212">
        <f>all_data!F212</f>
        <v>0</v>
      </c>
      <c r="H212">
        <f t="shared" si="12"/>
        <v>0</v>
      </c>
      <c r="J212" s="20" t="str">
        <f t="shared" si="13"/>
        <v/>
      </c>
      <c r="K212" t="str">
        <f t="shared" si="14"/>
        <v/>
      </c>
      <c r="L212" t="str">
        <f t="shared" si="15"/>
        <v/>
      </c>
    </row>
    <row r="213" spans="1:12">
      <c r="A213">
        <f>all_data!A213</f>
        <v>211</v>
      </c>
      <c r="B213" t="str">
        <f>IF(all_data!B213&gt;0,all_data!B213,"")</f>
        <v/>
      </c>
      <c r="C213">
        <f>all_data!C213</f>
        <v>0</v>
      </c>
      <c r="D213">
        <f>all_data!D213</f>
        <v>0</v>
      </c>
      <c r="E213" t="str">
        <f>all_data!E213</f>
        <v/>
      </c>
      <c r="F213">
        <f>all_data!F213</f>
        <v>0</v>
      </c>
      <c r="H213">
        <f t="shared" si="12"/>
        <v>0</v>
      </c>
      <c r="J213" s="20" t="str">
        <f t="shared" si="13"/>
        <v/>
      </c>
      <c r="K213" t="str">
        <f t="shared" si="14"/>
        <v/>
      </c>
      <c r="L213" t="str">
        <f t="shared" si="15"/>
        <v/>
      </c>
    </row>
    <row r="214" spans="1:12">
      <c r="A214">
        <f>all_data!A214</f>
        <v>212</v>
      </c>
      <c r="B214" t="str">
        <f>IF(all_data!B214&gt;0,all_data!B214,"")</f>
        <v/>
      </c>
      <c r="C214">
        <f>all_data!C214</f>
        <v>0</v>
      </c>
      <c r="D214">
        <f>all_data!D214</f>
        <v>0</v>
      </c>
      <c r="E214" t="str">
        <f>all_data!E214</f>
        <v/>
      </c>
      <c r="F214">
        <f>all_data!F214</f>
        <v>0</v>
      </c>
      <c r="H214">
        <f t="shared" si="12"/>
        <v>0</v>
      </c>
      <c r="J214" s="20" t="str">
        <f t="shared" si="13"/>
        <v/>
      </c>
      <c r="K214" t="str">
        <f t="shared" si="14"/>
        <v/>
      </c>
      <c r="L214" t="str">
        <f t="shared" si="15"/>
        <v/>
      </c>
    </row>
    <row r="215" spans="1:12">
      <c r="A215">
        <f>all_data!A215</f>
        <v>213</v>
      </c>
      <c r="B215" t="str">
        <f>IF(all_data!B215&gt;0,all_data!B215,"")</f>
        <v/>
      </c>
      <c r="C215">
        <f>all_data!C215</f>
        <v>0</v>
      </c>
      <c r="D215">
        <f>all_data!D215</f>
        <v>0</v>
      </c>
      <c r="E215" t="str">
        <f>all_data!E215</f>
        <v/>
      </c>
      <c r="F215">
        <f>all_data!F215</f>
        <v>0</v>
      </c>
      <c r="H215">
        <f t="shared" si="12"/>
        <v>0</v>
      </c>
      <c r="J215" s="20" t="str">
        <f t="shared" si="13"/>
        <v/>
      </c>
      <c r="K215" t="str">
        <f t="shared" si="14"/>
        <v/>
      </c>
      <c r="L215" t="str">
        <f t="shared" si="15"/>
        <v/>
      </c>
    </row>
    <row r="216" spans="1:12">
      <c r="A216">
        <f>all_data!A216</f>
        <v>214</v>
      </c>
      <c r="B216" t="str">
        <f>IF(all_data!B216&gt;0,all_data!B216,"")</f>
        <v/>
      </c>
      <c r="C216">
        <f>all_data!C216</f>
        <v>0</v>
      </c>
      <c r="D216">
        <f>all_data!D216</f>
        <v>0</v>
      </c>
      <c r="E216" t="str">
        <f>all_data!E216</f>
        <v/>
      </c>
      <c r="F216">
        <f>all_data!F216</f>
        <v>0</v>
      </c>
      <c r="H216">
        <f t="shared" si="12"/>
        <v>0</v>
      </c>
      <c r="J216" s="20" t="str">
        <f t="shared" si="13"/>
        <v/>
      </c>
      <c r="K216" t="str">
        <f t="shared" si="14"/>
        <v/>
      </c>
      <c r="L216" t="str">
        <f t="shared" si="15"/>
        <v/>
      </c>
    </row>
    <row r="217" spans="1:12">
      <c r="A217">
        <f>all_data!A217</f>
        <v>215</v>
      </c>
      <c r="B217" t="str">
        <f>IF(all_data!B217&gt;0,all_data!B217,"")</f>
        <v/>
      </c>
      <c r="C217">
        <f>all_data!C217</f>
        <v>0</v>
      </c>
      <c r="D217">
        <f>all_data!D217</f>
        <v>0</v>
      </c>
      <c r="E217" t="str">
        <f>all_data!E217</f>
        <v/>
      </c>
      <c r="F217">
        <f>all_data!F217</f>
        <v>0</v>
      </c>
      <c r="H217">
        <f t="shared" si="12"/>
        <v>0</v>
      </c>
      <c r="J217" s="20" t="str">
        <f t="shared" si="13"/>
        <v/>
      </c>
      <c r="K217" t="str">
        <f t="shared" si="14"/>
        <v/>
      </c>
      <c r="L217" t="str">
        <f t="shared" si="15"/>
        <v/>
      </c>
    </row>
    <row r="218" spans="1:12">
      <c r="A218">
        <f>all_data!A218</f>
        <v>216</v>
      </c>
      <c r="B218" t="str">
        <f>IF(all_data!B218&gt;0,all_data!B218,"")</f>
        <v/>
      </c>
      <c r="C218">
        <f>all_data!C218</f>
        <v>0</v>
      </c>
      <c r="D218">
        <f>all_data!D218</f>
        <v>0</v>
      </c>
      <c r="E218" t="str">
        <f>all_data!E218</f>
        <v/>
      </c>
      <c r="F218">
        <f>all_data!F218</f>
        <v>0</v>
      </c>
      <c r="H218">
        <f t="shared" si="12"/>
        <v>0</v>
      </c>
      <c r="J218" s="20" t="str">
        <f t="shared" si="13"/>
        <v/>
      </c>
      <c r="K218" t="str">
        <f t="shared" si="14"/>
        <v/>
      </c>
      <c r="L218" t="str">
        <f t="shared" si="15"/>
        <v/>
      </c>
    </row>
    <row r="219" spans="1:12">
      <c r="A219">
        <f>all_data!A219</f>
        <v>217</v>
      </c>
      <c r="B219" t="str">
        <f>IF(all_data!B219&gt;0,all_data!B219,"")</f>
        <v/>
      </c>
      <c r="C219">
        <f>all_data!C219</f>
        <v>0</v>
      </c>
      <c r="D219">
        <f>all_data!D219</f>
        <v>0</v>
      </c>
      <c r="E219" t="str">
        <f>all_data!E219</f>
        <v/>
      </c>
      <c r="F219">
        <f>all_data!F219</f>
        <v>0</v>
      </c>
      <c r="H219">
        <f t="shared" si="12"/>
        <v>0</v>
      </c>
      <c r="J219" s="20" t="str">
        <f t="shared" si="13"/>
        <v/>
      </c>
      <c r="K219" t="str">
        <f t="shared" si="14"/>
        <v/>
      </c>
      <c r="L219" t="str">
        <f t="shared" si="15"/>
        <v/>
      </c>
    </row>
    <row r="220" spans="1:12">
      <c r="A220">
        <f>all_data!A220</f>
        <v>218</v>
      </c>
      <c r="B220" t="str">
        <f>IF(all_data!B220&gt;0,all_data!B220,"")</f>
        <v/>
      </c>
      <c r="C220">
        <f>all_data!C220</f>
        <v>0</v>
      </c>
      <c r="D220">
        <f>all_data!D220</f>
        <v>0</v>
      </c>
      <c r="E220" t="str">
        <f>all_data!E220</f>
        <v/>
      </c>
      <c r="F220">
        <f>all_data!F220</f>
        <v>0</v>
      </c>
      <c r="H220">
        <f t="shared" si="12"/>
        <v>0</v>
      </c>
      <c r="J220" s="20" t="str">
        <f t="shared" si="13"/>
        <v/>
      </c>
      <c r="K220" t="str">
        <f t="shared" si="14"/>
        <v/>
      </c>
      <c r="L220" t="str">
        <f t="shared" si="15"/>
        <v/>
      </c>
    </row>
    <row r="221" spans="1:12">
      <c r="A221">
        <f>all_data!A221</f>
        <v>219</v>
      </c>
      <c r="B221" t="str">
        <f>IF(all_data!B221&gt;0,all_data!B221,"")</f>
        <v/>
      </c>
      <c r="C221">
        <f>all_data!C221</f>
        <v>0</v>
      </c>
      <c r="D221">
        <f>all_data!D221</f>
        <v>0</v>
      </c>
      <c r="E221" t="str">
        <f>all_data!E221</f>
        <v/>
      </c>
      <c r="F221">
        <f>all_data!F221</f>
        <v>0</v>
      </c>
      <c r="H221">
        <f t="shared" si="12"/>
        <v>0</v>
      </c>
      <c r="J221" s="20" t="str">
        <f t="shared" si="13"/>
        <v/>
      </c>
      <c r="K221" t="str">
        <f t="shared" si="14"/>
        <v/>
      </c>
      <c r="L221" t="str">
        <f t="shared" si="15"/>
        <v/>
      </c>
    </row>
    <row r="222" spans="1:12">
      <c r="A222">
        <f>all_data!A222</f>
        <v>220</v>
      </c>
      <c r="B222" t="str">
        <f>IF(all_data!B222&gt;0,all_data!B222,"")</f>
        <v/>
      </c>
      <c r="C222">
        <f>all_data!C222</f>
        <v>0</v>
      </c>
      <c r="D222">
        <f>all_data!D222</f>
        <v>0</v>
      </c>
      <c r="E222" t="str">
        <f>all_data!E222</f>
        <v/>
      </c>
      <c r="F222">
        <f>all_data!F222</f>
        <v>0</v>
      </c>
      <c r="H222">
        <f t="shared" si="12"/>
        <v>0</v>
      </c>
      <c r="J222" s="20" t="str">
        <f t="shared" si="13"/>
        <v/>
      </c>
      <c r="K222" t="str">
        <f t="shared" si="14"/>
        <v/>
      </c>
      <c r="L222" t="str">
        <f t="shared" si="15"/>
        <v/>
      </c>
    </row>
    <row r="223" spans="1:12">
      <c r="A223">
        <f>all_data!A223</f>
        <v>221</v>
      </c>
      <c r="B223" t="str">
        <f>IF(all_data!B223&gt;0,all_data!B223,"")</f>
        <v/>
      </c>
      <c r="C223">
        <f>all_data!C223</f>
        <v>0</v>
      </c>
      <c r="D223">
        <f>all_data!D223</f>
        <v>0</v>
      </c>
      <c r="E223" t="str">
        <f>all_data!E223</f>
        <v/>
      </c>
      <c r="F223">
        <f>all_data!F223</f>
        <v>0</v>
      </c>
      <c r="H223">
        <f t="shared" si="12"/>
        <v>0</v>
      </c>
      <c r="J223" s="20" t="str">
        <f t="shared" si="13"/>
        <v/>
      </c>
      <c r="K223" t="str">
        <f t="shared" si="14"/>
        <v/>
      </c>
      <c r="L223" t="str">
        <f t="shared" si="15"/>
        <v/>
      </c>
    </row>
    <row r="224" spans="1:12">
      <c r="A224">
        <f>all_data!A224</f>
        <v>222</v>
      </c>
      <c r="B224" t="str">
        <f>IF(all_data!B224&gt;0,all_data!B224,"")</f>
        <v/>
      </c>
      <c r="C224">
        <f>all_data!C224</f>
        <v>0</v>
      </c>
      <c r="D224">
        <f>all_data!D224</f>
        <v>0</v>
      </c>
      <c r="E224" t="str">
        <f>all_data!E224</f>
        <v/>
      </c>
      <c r="F224">
        <f>all_data!F224</f>
        <v>0</v>
      </c>
      <c r="H224">
        <f t="shared" si="12"/>
        <v>0</v>
      </c>
      <c r="J224" s="20" t="str">
        <f t="shared" si="13"/>
        <v/>
      </c>
      <c r="K224" t="str">
        <f t="shared" si="14"/>
        <v/>
      </c>
      <c r="L224" t="str">
        <f t="shared" si="15"/>
        <v/>
      </c>
    </row>
    <row r="225" spans="1:12">
      <c r="A225">
        <f>all_data!A225</f>
        <v>223</v>
      </c>
      <c r="B225" t="str">
        <f>IF(all_data!B225&gt;0,all_data!B225,"")</f>
        <v/>
      </c>
      <c r="C225">
        <f>all_data!C225</f>
        <v>0</v>
      </c>
      <c r="D225">
        <f>all_data!D225</f>
        <v>0</v>
      </c>
      <c r="E225" t="str">
        <f>all_data!E225</f>
        <v/>
      </c>
      <c r="F225">
        <f>all_data!F225</f>
        <v>0</v>
      </c>
      <c r="H225">
        <f t="shared" si="12"/>
        <v>0</v>
      </c>
      <c r="J225" s="20" t="str">
        <f t="shared" si="13"/>
        <v/>
      </c>
      <c r="K225" t="str">
        <f t="shared" si="14"/>
        <v/>
      </c>
      <c r="L225" t="str">
        <f t="shared" si="15"/>
        <v/>
      </c>
    </row>
    <row r="226" spans="1:12">
      <c r="A226">
        <f>all_data!A226</f>
        <v>224</v>
      </c>
      <c r="B226" t="str">
        <f>IF(all_data!B226&gt;0,all_data!B226,"")</f>
        <v/>
      </c>
      <c r="C226">
        <f>all_data!C226</f>
        <v>0</v>
      </c>
      <c r="D226">
        <f>all_data!D226</f>
        <v>0</v>
      </c>
      <c r="E226" t="str">
        <f>all_data!E226</f>
        <v/>
      </c>
      <c r="F226">
        <f>all_data!F226</f>
        <v>0</v>
      </c>
      <c r="H226">
        <f t="shared" si="12"/>
        <v>0</v>
      </c>
      <c r="J226" s="20" t="str">
        <f t="shared" si="13"/>
        <v/>
      </c>
      <c r="K226" t="str">
        <f t="shared" si="14"/>
        <v/>
      </c>
      <c r="L226" t="str">
        <f t="shared" si="15"/>
        <v/>
      </c>
    </row>
    <row r="227" spans="1:12">
      <c r="A227">
        <f>all_data!A227</f>
        <v>225</v>
      </c>
      <c r="B227" t="str">
        <f>IF(all_data!B227&gt;0,all_data!B227,"")</f>
        <v/>
      </c>
      <c r="C227">
        <f>all_data!C227</f>
        <v>0</v>
      </c>
      <c r="D227">
        <f>all_data!D227</f>
        <v>0</v>
      </c>
      <c r="E227" t="str">
        <f>all_data!E227</f>
        <v/>
      </c>
      <c r="F227">
        <f>all_data!F227</f>
        <v>0</v>
      </c>
      <c r="H227">
        <f t="shared" si="12"/>
        <v>0</v>
      </c>
      <c r="J227" s="20" t="str">
        <f t="shared" si="13"/>
        <v/>
      </c>
      <c r="K227" t="str">
        <f t="shared" si="14"/>
        <v/>
      </c>
      <c r="L227" t="str">
        <f t="shared" si="15"/>
        <v/>
      </c>
    </row>
    <row r="228" spans="1:12">
      <c r="A228">
        <f>all_data!A228</f>
        <v>226</v>
      </c>
      <c r="B228" t="str">
        <f>IF(all_data!B228&gt;0,all_data!B228,"")</f>
        <v/>
      </c>
      <c r="C228">
        <f>all_data!C228</f>
        <v>0</v>
      </c>
      <c r="D228">
        <f>all_data!D228</f>
        <v>0</v>
      </c>
      <c r="E228" t="str">
        <f>all_data!E228</f>
        <v/>
      </c>
      <c r="F228">
        <f>all_data!F228</f>
        <v>0</v>
      </c>
      <c r="H228">
        <f t="shared" si="12"/>
        <v>0</v>
      </c>
      <c r="J228" s="20" t="str">
        <f t="shared" si="13"/>
        <v/>
      </c>
      <c r="K228" t="str">
        <f t="shared" si="14"/>
        <v/>
      </c>
      <c r="L228" t="str">
        <f t="shared" si="15"/>
        <v/>
      </c>
    </row>
    <row r="229" spans="1:12">
      <c r="A229">
        <f>all_data!A229</f>
        <v>227</v>
      </c>
      <c r="B229" t="str">
        <f>IF(all_data!B229&gt;0,all_data!B229,"")</f>
        <v/>
      </c>
      <c r="C229">
        <f>all_data!C229</f>
        <v>0</v>
      </c>
      <c r="D229">
        <f>all_data!D229</f>
        <v>0</v>
      </c>
      <c r="E229" t="str">
        <f>all_data!E229</f>
        <v/>
      </c>
      <c r="F229">
        <f>all_data!F229</f>
        <v>0</v>
      </c>
      <c r="H229">
        <f t="shared" si="12"/>
        <v>0</v>
      </c>
      <c r="J229" s="20" t="str">
        <f t="shared" si="13"/>
        <v/>
      </c>
      <c r="K229" t="str">
        <f t="shared" si="14"/>
        <v/>
      </c>
      <c r="L229" t="str">
        <f t="shared" si="15"/>
        <v/>
      </c>
    </row>
    <row r="230" spans="1:12">
      <c r="A230">
        <f>all_data!A230</f>
        <v>228</v>
      </c>
      <c r="B230" t="str">
        <f>IF(all_data!B230&gt;0,all_data!B230,"")</f>
        <v/>
      </c>
      <c r="C230">
        <f>all_data!C230</f>
        <v>0</v>
      </c>
      <c r="D230">
        <f>all_data!D230</f>
        <v>0</v>
      </c>
      <c r="E230" t="str">
        <f>all_data!E230</f>
        <v/>
      </c>
      <c r="F230">
        <f>all_data!F230</f>
        <v>0</v>
      </c>
      <c r="H230">
        <f t="shared" si="12"/>
        <v>0</v>
      </c>
      <c r="J230" s="20" t="str">
        <f t="shared" si="13"/>
        <v/>
      </c>
      <c r="K230" t="str">
        <f t="shared" si="14"/>
        <v/>
      </c>
      <c r="L230" t="str">
        <f t="shared" si="15"/>
        <v/>
      </c>
    </row>
    <row r="231" spans="1:12">
      <c r="A231">
        <f>all_data!A231</f>
        <v>229</v>
      </c>
      <c r="B231" t="str">
        <f>IF(all_data!B231&gt;0,all_data!B231,"")</f>
        <v/>
      </c>
      <c r="C231">
        <f>all_data!C231</f>
        <v>0</v>
      </c>
      <c r="D231">
        <f>all_data!D231</f>
        <v>0</v>
      </c>
      <c r="E231" t="str">
        <f>all_data!E231</f>
        <v/>
      </c>
      <c r="F231">
        <f>all_data!F231</f>
        <v>0</v>
      </c>
      <c r="H231">
        <f t="shared" si="12"/>
        <v>0</v>
      </c>
      <c r="J231" s="20" t="str">
        <f t="shared" si="13"/>
        <v/>
      </c>
      <c r="K231" t="str">
        <f t="shared" si="14"/>
        <v/>
      </c>
      <c r="L231" t="str">
        <f t="shared" si="15"/>
        <v/>
      </c>
    </row>
    <row r="232" spans="1:12">
      <c r="A232">
        <f>all_data!A232</f>
        <v>230</v>
      </c>
      <c r="B232" t="str">
        <f>IF(all_data!B232&gt;0,all_data!B232,"")</f>
        <v/>
      </c>
      <c r="C232">
        <f>all_data!C232</f>
        <v>0</v>
      </c>
      <c r="D232">
        <f>all_data!D232</f>
        <v>0</v>
      </c>
      <c r="E232" t="str">
        <f>all_data!E232</f>
        <v/>
      </c>
      <c r="F232">
        <f>all_data!F232</f>
        <v>0</v>
      </c>
      <c r="H232">
        <f t="shared" si="12"/>
        <v>0</v>
      </c>
      <c r="J232" s="20" t="str">
        <f t="shared" si="13"/>
        <v/>
      </c>
      <c r="K232" t="str">
        <f t="shared" si="14"/>
        <v/>
      </c>
      <c r="L232" t="str">
        <f t="shared" si="15"/>
        <v/>
      </c>
    </row>
    <row r="233" spans="1:12">
      <c r="A233">
        <f>all_data!A233</f>
        <v>231</v>
      </c>
      <c r="B233" t="str">
        <f>IF(all_data!B233&gt;0,all_data!B233,"")</f>
        <v/>
      </c>
      <c r="C233">
        <f>all_data!C233</f>
        <v>0</v>
      </c>
      <c r="D233">
        <f>all_data!D233</f>
        <v>0</v>
      </c>
      <c r="E233" t="str">
        <f>all_data!E233</f>
        <v/>
      </c>
      <c r="F233">
        <f>all_data!F233</f>
        <v>0</v>
      </c>
      <c r="H233">
        <f t="shared" si="12"/>
        <v>0</v>
      </c>
      <c r="J233" s="20" t="str">
        <f t="shared" si="13"/>
        <v/>
      </c>
      <c r="K233" t="str">
        <f t="shared" si="14"/>
        <v/>
      </c>
      <c r="L233" t="str">
        <f t="shared" si="15"/>
        <v/>
      </c>
    </row>
    <row r="234" spans="1:12">
      <c r="A234">
        <f>all_data!A234</f>
        <v>232</v>
      </c>
      <c r="B234" t="str">
        <f>IF(all_data!B234&gt;0,all_data!B234,"")</f>
        <v/>
      </c>
      <c r="C234">
        <f>all_data!C234</f>
        <v>0</v>
      </c>
      <c r="D234">
        <f>all_data!D234</f>
        <v>0</v>
      </c>
      <c r="E234" t="str">
        <f>all_data!E234</f>
        <v/>
      </c>
      <c r="F234">
        <f>all_data!F234</f>
        <v>0</v>
      </c>
      <c r="H234">
        <f t="shared" si="12"/>
        <v>0</v>
      </c>
      <c r="J234" s="20" t="str">
        <f t="shared" si="13"/>
        <v/>
      </c>
      <c r="K234" t="str">
        <f t="shared" si="14"/>
        <v/>
      </c>
      <c r="L234" t="str">
        <f t="shared" si="15"/>
        <v/>
      </c>
    </row>
    <row r="235" spans="1:12">
      <c r="A235">
        <f>all_data!A235</f>
        <v>233</v>
      </c>
      <c r="B235" t="str">
        <f>IF(all_data!B235&gt;0,all_data!B235,"")</f>
        <v/>
      </c>
      <c r="C235">
        <f>all_data!C235</f>
        <v>0</v>
      </c>
      <c r="D235">
        <f>all_data!D235</f>
        <v>0</v>
      </c>
      <c r="E235" t="str">
        <f>all_data!E235</f>
        <v/>
      </c>
      <c r="F235">
        <f>all_data!F235</f>
        <v>0</v>
      </c>
      <c r="H235">
        <f t="shared" si="12"/>
        <v>0</v>
      </c>
      <c r="J235" s="20" t="str">
        <f t="shared" si="13"/>
        <v/>
      </c>
      <c r="K235" t="str">
        <f t="shared" si="14"/>
        <v/>
      </c>
      <c r="L235" t="str">
        <f t="shared" si="15"/>
        <v/>
      </c>
    </row>
    <row r="236" spans="1:12">
      <c r="A236">
        <f>all_data!A236</f>
        <v>234</v>
      </c>
      <c r="B236" t="str">
        <f>IF(all_data!B236&gt;0,all_data!B236,"")</f>
        <v/>
      </c>
      <c r="C236">
        <f>all_data!C236</f>
        <v>0</v>
      </c>
      <c r="D236">
        <f>all_data!D236</f>
        <v>0</v>
      </c>
      <c r="E236" t="str">
        <f>all_data!E236</f>
        <v/>
      </c>
      <c r="F236">
        <f>all_data!F236</f>
        <v>0</v>
      </c>
      <c r="H236">
        <f t="shared" si="12"/>
        <v>0</v>
      </c>
      <c r="J236" s="20" t="str">
        <f t="shared" si="13"/>
        <v/>
      </c>
      <c r="K236" t="str">
        <f t="shared" si="14"/>
        <v/>
      </c>
      <c r="L236" t="str">
        <f t="shared" si="15"/>
        <v/>
      </c>
    </row>
    <row r="237" spans="1:12">
      <c r="A237">
        <f>all_data!A237</f>
        <v>235</v>
      </c>
      <c r="B237" t="str">
        <f>IF(all_data!B237&gt;0,all_data!B237,"")</f>
        <v/>
      </c>
      <c r="C237">
        <f>all_data!C237</f>
        <v>0</v>
      </c>
      <c r="D237">
        <f>all_data!D237</f>
        <v>0</v>
      </c>
      <c r="E237" t="str">
        <f>all_data!E237</f>
        <v/>
      </c>
      <c r="F237">
        <f>all_data!F237</f>
        <v>0</v>
      </c>
      <c r="H237">
        <f t="shared" si="12"/>
        <v>0</v>
      </c>
      <c r="J237" s="20" t="str">
        <f t="shared" si="13"/>
        <v/>
      </c>
      <c r="K237" t="str">
        <f t="shared" si="14"/>
        <v/>
      </c>
      <c r="L237" t="str">
        <f t="shared" si="15"/>
        <v/>
      </c>
    </row>
    <row r="238" spans="1:12">
      <c r="A238">
        <f>all_data!A238</f>
        <v>236</v>
      </c>
      <c r="B238" t="str">
        <f>IF(all_data!B238&gt;0,all_data!B238,"")</f>
        <v/>
      </c>
      <c r="C238">
        <f>all_data!C238</f>
        <v>0</v>
      </c>
      <c r="D238">
        <f>all_data!D238</f>
        <v>0</v>
      </c>
      <c r="E238" t="str">
        <f>all_data!E238</f>
        <v/>
      </c>
      <c r="F238">
        <f>all_data!F238</f>
        <v>0</v>
      </c>
      <c r="H238">
        <f t="shared" si="12"/>
        <v>0</v>
      </c>
      <c r="J238" s="20" t="str">
        <f t="shared" si="13"/>
        <v/>
      </c>
      <c r="K238" t="str">
        <f t="shared" si="14"/>
        <v/>
      </c>
      <c r="L238" t="str">
        <f t="shared" si="15"/>
        <v/>
      </c>
    </row>
    <row r="239" spans="1:12">
      <c r="A239">
        <f>all_data!A239</f>
        <v>237</v>
      </c>
      <c r="B239" t="str">
        <f>IF(all_data!B239&gt;0,all_data!B239,"")</f>
        <v/>
      </c>
      <c r="C239">
        <f>all_data!C239</f>
        <v>0</v>
      </c>
      <c r="D239">
        <f>all_data!D239</f>
        <v>0</v>
      </c>
      <c r="E239" t="str">
        <f>all_data!E239</f>
        <v/>
      </c>
      <c r="F239">
        <f>all_data!F239</f>
        <v>0</v>
      </c>
      <c r="H239">
        <f t="shared" si="12"/>
        <v>0</v>
      </c>
      <c r="J239" s="20" t="str">
        <f t="shared" si="13"/>
        <v/>
      </c>
      <c r="K239" t="str">
        <f t="shared" si="14"/>
        <v/>
      </c>
      <c r="L239" t="str">
        <f t="shared" si="15"/>
        <v/>
      </c>
    </row>
    <row r="240" spans="1:12">
      <c r="A240">
        <f>all_data!A240</f>
        <v>238</v>
      </c>
      <c r="B240" t="str">
        <f>IF(all_data!B240&gt;0,all_data!B240,"")</f>
        <v/>
      </c>
      <c r="C240">
        <f>all_data!C240</f>
        <v>0</v>
      </c>
      <c r="D240">
        <f>all_data!D240</f>
        <v>0</v>
      </c>
      <c r="E240" t="str">
        <f>all_data!E240</f>
        <v/>
      </c>
      <c r="F240">
        <f>all_data!F240</f>
        <v>0</v>
      </c>
      <c r="H240">
        <f t="shared" si="12"/>
        <v>0</v>
      </c>
      <c r="J240" s="20" t="str">
        <f t="shared" si="13"/>
        <v/>
      </c>
      <c r="K240" t="str">
        <f t="shared" si="14"/>
        <v/>
      </c>
      <c r="L240" t="str">
        <f t="shared" si="15"/>
        <v/>
      </c>
    </row>
    <row r="241" spans="1:12">
      <c r="A241">
        <f>all_data!A241</f>
        <v>239</v>
      </c>
      <c r="B241" t="str">
        <f>IF(all_data!B241&gt;0,all_data!B241,"")</f>
        <v/>
      </c>
      <c r="C241">
        <f>all_data!C241</f>
        <v>0</v>
      </c>
      <c r="D241">
        <f>all_data!D241</f>
        <v>0</v>
      </c>
      <c r="E241" t="str">
        <f>all_data!E241</f>
        <v/>
      </c>
      <c r="F241">
        <f>all_data!F241</f>
        <v>0</v>
      </c>
      <c r="H241">
        <f t="shared" si="12"/>
        <v>0</v>
      </c>
      <c r="J241" s="20" t="str">
        <f t="shared" si="13"/>
        <v/>
      </c>
      <c r="K241" t="str">
        <f t="shared" si="14"/>
        <v/>
      </c>
      <c r="L241" t="str">
        <f t="shared" si="15"/>
        <v/>
      </c>
    </row>
    <row r="242" spans="1:12">
      <c r="A242">
        <f>all_data!A242</f>
        <v>240</v>
      </c>
      <c r="B242" t="str">
        <f>IF(all_data!B242&gt;0,all_data!B242,"")</f>
        <v/>
      </c>
      <c r="C242">
        <f>all_data!C242</f>
        <v>0</v>
      </c>
      <c r="D242">
        <f>all_data!D242</f>
        <v>0</v>
      </c>
      <c r="E242" t="str">
        <f>all_data!E242</f>
        <v/>
      </c>
      <c r="F242">
        <f>all_data!F242</f>
        <v>0</v>
      </c>
      <c r="H242">
        <f t="shared" si="12"/>
        <v>0</v>
      </c>
      <c r="J242" s="20" t="str">
        <f t="shared" si="13"/>
        <v/>
      </c>
      <c r="K242" t="str">
        <f t="shared" si="14"/>
        <v/>
      </c>
      <c r="L242" t="str">
        <f t="shared" si="15"/>
        <v/>
      </c>
    </row>
    <row r="243" spans="1:12">
      <c r="A243">
        <f>all_data!A243</f>
        <v>241</v>
      </c>
      <c r="B243" t="str">
        <f>IF(all_data!B243&gt;0,all_data!B243,"")</f>
        <v/>
      </c>
      <c r="C243">
        <f>all_data!C243</f>
        <v>0</v>
      </c>
      <c r="D243">
        <f>all_data!D243</f>
        <v>0</v>
      </c>
      <c r="E243" t="str">
        <f>all_data!E243</f>
        <v/>
      </c>
      <c r="F243">
        <f>all_data!F243</f>
        <v>0</v>
      </c>
      <c r="H243">
        <f t="shared" si="12"/>
        <v>0</v>
      </c>
      <c r="J243" s="20" t="str">
        <f t="shared" si="13"/>
        <v/>
      </c>
      <c r="K243" t="str">
        <f t="shared" si="14"/>
        <v/>
      </c>
      <c r="L243" t="str">
        <f t="shared" si="15"/>
        <v/>
      </c>
    </row>
    <row r="244" spans="1:12">
      <c r="A244">
        <f>all_data!A244</f>
        <v>242</v>
      </c>
      <c r="B244" t="str">
        <f>IF(all_data!B244&gt;0,all_data!B244,"")</f>
        <v/>
      </c>
      <c r="C244">
        <f>all_data!C244</f>
        <v>0</v>
      </c>
      <c r="D244">
        <f>all_data!D244</f>
        <v>0</v>
      </c>
      <c r="E244" t="str">
        <f>all_data!E244</f>
        <v/>
      </c>
      <c r="F244">
        <f>all_data!F244</f>
        <v>0</v>
      </c>
      <c r="H244">
        <f t="shared" si="12"/>
        <v>0</v>
      </c>
      <c r="J244" s="20" t="str">
        <f t="shared" si="13"/>
        <v/>
      </c>
      <c r="K244" t="str">
        <f t="shared" si="14"/>
        <v/>
      </c>
      <c r="L244" t="str">
        <f t="shared" si="15"/>
        <v/>
      </c>
    </row>
    <row r="245" spans="1:12">
      <c r="A245">
        <f>all_data!A245</f>
        <v>243</v>
      </c>
      <c r="B245" t="str">
        <f>IF(all_data!B245&gt;0,all_data!B245,"")</f>
        <v/>
      </c>
      <c r="C245">
        <f>all_data!C245</f>
        <v>0</v>
      </c>
      <c r="D245">
        <f>all_data!D245</f>
        <v>0</v>
      </c>
      <c r="E245" t="str">
        <f>all_data!E245</f>
        <v/>
      </c>
      <c r="F245">
        <f>all_data!F245</f>
        <v>0</v>
      </c>
      <c r="H245">
        <f t="shared" si="12"/>
        <v>0</v>
      </c>
      <c r="J245" s="20" t="str">
        <f t="shared" si="13"/>
        <v/>
      </c>
      <c r="K245" t="str">
        <f t="shared" si="14"/>
        <v/>
      </c>
      <c r="L245" t="str">
        <f t="shared" si="15"/>
        <v/>
      </c>
    </row>
    <row r="246" spans="1:12">
      <c r="A246">
        <f>all_data!A246</f>
        <v>244</v>
      </c>
      <c r="B246" t="str">
        <f>IF(all_data!B246&gt;0,all_data!B246,"")</f>
        <v/>
      </c>
      <c r="C246">
        <f>all_data!C246</f>
        <v>0</v>
      </c>
      <c r="D246">
        <f>all_data!D246</f>
        <v>0</v>
      </c>
      <c r="E246" t="str">
        <f>all_data!E246</f>
        <v/>
      </c>
      <c r="F246">
        <f>all_data!F246</f>
        <v>0</v>
      </c>
      <c r="H246">
        <f t="shared" si="12"/>
        <v>0</v>
      </c>
      <c r="J246" s="20" t="str">
        <f t="shared" si="13"/>
        <v/>
      </c>
      <c r="K246" t="str">
        <f t="shared" si="14"/>
        <v/>
      </c>
      <c r="L246" t="str">
        <f t="shared" si="15"/>
        <v/>
      </c>
    </row>
    <row r="247" spans="1:12">
      <c r="A247">
        <f>all_data!A247</f>
        <v>245</v>
      </c>
      <c r="B247" t="str">
        <f>IF(all_data!B247&gt;0,all_data!B247,"")</f>
        <v/>
      </c>
      <c r="C247">
        <f>all_data!C247</f>
        <v>0</v>
      </c>
      <c r="D247">
        <f>all_data!D247</f>
        <v>0</v>
      </c>
      <c r="E247" t="str">
        <f>all_data!E247</f>
        <v/>
      </c>
      <c r="F247">
        <f>all_data!F247</f>
        <v>0</v>
      </c>
      <c r="H247">
        <f t="shared" si="12"/>
        <v>0</v>
      </c>
      <c r="J247" s="20" t="str">
        <f t="shared" si="13"/>
        <v/>
      </c>
      <c r="K247" t="str">
        <f t="shared" si="14"/>
        <v/>
      </c>
      <c r="L247" t="str">
        <f t="shared" si="15"/>
        <v/>
      </c>
    </row>
    <row r="248" spans="1:12">
      <c r="A248">
        <f>all_data!A248</f>
        <v>246</v>
      </c>
      <c r="B248" t="str">
        <f>IF(all_data!B248&gt;0,all_data!B248,"")</f>
        <v/>
      </c>
      <c r="C248">
        <f>all_data!C248</f>
        <v>0</v>
      </c>
      <c r="D248">
        <f>all_data!D248</f>
        <v>0</v>
      </c>
      <c r="E248" t="str">
        <f>all_data!E248</f>
        <v/>
      </c>
      <c r="F248">
        <f>all_data!F248</f>
        <v>0</v>
      </c>
      <c r="H248">
        <f t="shared" si="12"/>
        <v>0</v>
      </c>
      <c r="J248" s="20" t="str">
        <f t="shared" si="13"/>
        <v/>
      </c>
      <c r="K248" t="str">
        <f t="shared" si="14"/>
        <v/>
      </c>
      <c r="L248" t="str">
        <f t="shared" si="15"/>
        <v/>
      </c>
    </row>
    <row r="249" spans="1:12">
      <c r="A249">
        <f>all_data!A249</f>
        <v>247</v>
      </c>
      <c r="B249" t="str">
        <f>IF(all_data!B249&gt;0,all_data!B249,"")</f>
        <v/>
      </c>
      <c r="C249">
        <f>all_data!C249</f>
        <v>0</v>
      </c>
      <c r="D249">
        <f>all_data!D249</f>
        <v>0</v>
      </c>
      <c r="E249" t="str">
        <f>all_data!E249</f>
        <v/>
      </c>
      <c r="F249">
        <f>all_data!F249</f>
        <v>0</v>
      </c>
      <c r="H249">
        <f t="shared" si="12"/>
        <v>0</v>
      </c>
      <c r="J249" s="20" t="str">
        <f t="shared" si="13"/>
        <v/>
      </c>
      <c r="K249" t="str">
        <f t="shared" si="14"/>
        <v/>
      </c>
      <c r="L249" t="str">
        <f t="shared" si="15"/>
        <v/>
      </c>
    </row>
    <row r="250" spans="1:12">
      <c r="A250">
        <f>all_data!A250</f>
        <v>248</v>
      </c>
      <c r="B250" t="str">
        <f>IF(all_data!B250&gt;0,all_data!B250,"")</f>
        <v/>
      </c>
      <c r="C250">
        <f>all_data!C250</f>
        <v>0</v>
      </c>
      <c r="D250">
        <f>all_data!D250</f>
        <v>0</v>
      </c>
      <c r="E250" t="str">
        <f>all_data!E250</f>
        <v/>
      </c>
      <c r="F250">
        <f>all_data!F250</f>
        <v>0</v>
      </c>
      <c r="H250">
        <f t="shared" si="12"/>
        <v>0</v>
      </c>
      <c r="J250" s="20" t="str">
        <f t="shared" si="13"/>
        <v/>
      </c>
      <c r="K250" t="str">
        <f t="shared" si="14"/>
        <v/>
      </c>
      <c r="L250" t="str">
        <f t="shared" si="15"/>
        <v/>
      </c>
    </row>
    <row r="251" spans="1:12">
      <c r="A251">
        <f>all_data!A251</f>
        <v>249</v>
      </c>
      <c r="B251" t="str">
        <f>IF(all_data!B251&gt;0,all_data!B251,"")</f>
        <v/>
      </c>
      <c r="C251">
        <f>all_data!C251</f>
        <v>0</v>
      </c>
      <c r="D251">
        <f>all_data!D251</f>
        <v>0</v>
      </c>
      <c r="E251" t="str">
        <f>all_data!E251</f>
        <v/>
      </c>
      <c r="F251">
        <f>all_data!F251</f>
        <v>0</v>
      </c>
      <c r="H251">
        <f t="shared" si="12"/>
        <v>0</v>
      </c>
      <c r="J251" s="20" t="str">
        <f t="shared" si="13"/>
        <v/>
      </c>
      <c r="K251" t="str">
        <f t="shared" si="14"/>
        <v/>
      </c>
      <c r="L251" t="str">
        <f t="shared" si="15"/>
        <v/>
      </c>
    </row>
    <row r="252" spans="1:12">
      <c r="A252">
        <f>all_data!A252</f>
        <v>250</v>
      </c>
      <c r="B252" t="str">
        <f>IF(all_data!B252&gt;0,all_data!B252,"")</f>
        <v/>
      </c>
      <c r="C252">
        <f>all_data!C252</f>
        <v>0</v>
      </c>
      <c r="D252">
        <f>all_data!D252</f>
        <v>0</v>
      </c>
      <c r="E252" t="str">
        <f>all_data!E252</f>
        <v/>
      </c>
      <c r="F252">
        <f>all_data!F252</f>
        <v>0</v>
      </c>
      <c r="H252">
        <f t="shared" si="12"/>
        <v>0</v>
      </c>
      <c r="J252" s="20" t="str">
        <f t="shared" si="13"/>
        <v/>
      </c>
      <c r="K252" t="str">
        <f t="shared" si="14"/>
        <v/>
      </c>
      <c r="L252" t="str">
        <f t="shared" si="15"/>
        <v/>
      </c>
    </row>
    <row r="253" spans="1:12">
      <c r="A253">
        <f>all_data!A253</f>
        <v>251</v>
      </c>
      <c r="B253" t="str">
        <f>IF(all_data!B253&gt;0,all_data!B253,"")</f>
        <v/>
      </c>
      <c r="C253">
        <f>all_data!C253</f>
        <v>0</v>
      </c>
      <c r="D253">
        <f>all_data!D253</f>
        <v>0</v>
      </c>
      <c r="E253" t="str">
        <f>all_data!E253</f>
        <v/>
      </c>
      <c r="F253">
        <f>all_data!F253</f>
        <v>0</v>
      </c>
      <c r="H253">
        <f t="shared" si="12"/>
        <v>0</v>
      </c>
      <c r="J253" s="20" t="str">
        <f t="shared" si="13"/>
        <v/>
      </c>
      <c r="K253" t="str">
        <f t="shared" si="14"/>
        <v/>
      </c>
      <c r="L253" t="str">
        <f t="shared" si="15"/>
        <v/>
      </c>
    </row>
    <row r="254" spans="1:12">
      <c r="A254">
        <f>all_data!A254</f>
        <v>252</v>
      </c>
      <c r="B254" t="str">
        <f>IF(all_data!B254&gt;0,all_data!B254,"")</f>
        <v/>
      </c>
      <c r="C254">
        <f>all_data!C254</f>
        <v>0</v>
      </c>
      <c r="D254">
        <f>all_data!D254</f>
        <v>0</v>
      </c>
      <c r="E254" t="str">
        <f>all_data!E254</f>
        <v/>
      </c>
      <c r="F254">
        <f>all_data!F254</f>
        <v>0</v>
      </c>
      <c r="H254">
        <f t="shared" si="12"/>
        <v>0</v>
      </c>
      <c r="J254" s="20" t="str">
        <f t="shared" si="13"/>
        <v/>
      </c>
      <c r="K254" t="str">
        <f t="shared" si="14"/>
        <v/>
      </c>
      <c r="L254" t="str">
        <f t="shared" si="15"/>
        <v/>
      </c>
    </row>
    <row r="255" spans="1:12">
      <c r="A255">
        <f>all_data!A255</f>
        <v>253</v>
      </c>
      <c r="B255" t="str">
        <f>IF(all_data!B255&gt;0,all_data!B255,"")</f>
        <v/>
      </c>
      <c r="C255">
        <f>all_data!C255</f>
        <v>0</v>
      </c>
      <c r="D255">
        <f>all_data!D255</f>
        <v>0</v>
      </c>
      <c r="E255" t="str">
        <f>all_data!E255</f>
        <v/>
      </c>
      <c r="F255">
        <f>all_data!F255</f>
        <v>0</v>
      </c>
      <c r="H255">
        <f t="shared" si="12"/>
        <v>0</v>
      </c>
      <c r="J255" s="20" t="str">
        <f t="shared" si="13"/>
        <v/>
      </c>
      <c r="K255" t="str">
        <f t="shared" si="14"/>
        <v/>
      </c>
      <c r="L255" t="str">
        <f t="shared" si="15"/>
        <v/>
      </c>
    </row>
    <row r="256" spans="1:12">
      <c r="A256">
        <f>all_data!A256</f>
        <v>254</v>
      </c>
      <c r="B256" t="str">
        <f>IF(all_data!B256&gt;0,all_data!B256,"")</f>
        <v/>
      </c>
      <c r="C256">
        <f>all_data!C256</f>
        <v>0</v>
      </c>
      <c r="D256">
        <f>all_data!D256</f>
        <v>0</v>
      </c>
      <c r="E256" t="str">
        <f>all_data!E256</f>
        <v/>
      </c>
      <c r="F256">
        <f>all_data!F256</f>
        <v>0</v>
      </c>
      <c r="H256">
        <f t="shared" si="12"/>
        <v>0</v>
      </c>
      <c r="J256" s="20" t="str">
        <f t="shared" si="13"/>
        <v/>
      </c>
      <c r="K256" t="str">
        <f t="shared" si="14"/>
        <v/>
      </c>
      <c r="L256" t="str">
        <f t="shared" si="15"/>
        <v/>
      </c>
    </row>
    <row r="257" spans="1:12">
      <c r="A257">
        <f>all_data!A257</f>
        <v>255</v>
      </c>
      <c r="B257" t="str">
        <f>IF(all_data!B257&gt;0,all_data!B257,"")</f>
        <v/>
      </c>
      <c r="C257">
        <f>all_data!C257</f>
        <v>0</v>
      </c>
      <c r="D257">
        <f>all_data!D257</f>
        <v>0</v>
      </c>
      <c r="E257" t="str">
        <f>all_data!E257</f>
        <v/>
      </c>
      <c r="F257">
        <f>all_data!F257</f>
        <v>0</v>
      </c>
      <c r="H257">
        <f t="shared" si="12"/>
        <v>0</v>
      </c>
      <c r="J257" s="20" t="str">
        <f t="shared" si="13"/>
        <v/>
      </c>
      <c r="K257" t="str">
        <f t="shared" si="14"/>
        <v/>
      </c>
      <c r="L257" t="str">
        <f t="shared" si="15"/>
        <v/>
      </c>
    </row>
    <row r="258" spans="1:12">
      <c r="A258">
        <f>all_data!A258</f>
        <v>256</v>
      </c>
      <c r="B258" t="str">
        <f>IF(all_data!B258&gt;0,all_data!B258,"")</f>
        <v/>
      </c>
      <c r="C258">
        <f>all_data!C258</f>
        <v>0</v>
      </c>
      <c r="D258">
        <f>all_data!D258</f>
        <v>0</v>
      </c>
      <c r="E258" t="str">
        <f>all_data!E258</f>
        <v/>
      </c>
      <c r="F258">
        <f>all_data!F258</f>
        <v>0</v>
      </c>
      <c r="H258">
        <f t="shared" si="12"/>
        <v>0</v>
      </c>
      <c r="J258" s="20" t="str">
        <f t="shared" si="13"/>
        <v/>
      </c>
      <c r="K258" t="str">
        <f t="shared" si="14"/>
        <v/>
      </c>
      <c r="L258" t="str">
        <f t="shared" si="15"/>
        <v/>
      </c>
    </row>
    <row r="259" spans="1:12">
      <c r="A259">
        <f>all_data!A259</f>
        <v>257</v>
      </c>
      <c r="B259" t="str">
        <f>IF(all_data!B259&gt;0,all_data!B259,"")</f>
        <v/>
      </c>
      <c r="C259">
        <f>all_data!C259</f>
        <v>0</v>
      </c>
      <c r="D259">
        <f>all_data!D259</f>
        <v>0</v>
      </c>
      <c r="E259" t="str">
        <f>all_data!E259</f>
        <v/>
      </c>
      <c r="F259">
        <f>all_data!F259</f>
        <v>0</v>
      </c>
      <c r="H259">
        <f t="shared" ref="H259:H300" si="16">IF(C259&lt;=10,D259,0)</f>
        <v>0</v>
      </c>
      <c r="J259" s="20" t="str">
        <f t="shared" ref="J259:J302" si="17">IF(H259&gt;0,B259,"")</f>
        <v/>
      </c>
      <c r="K259" t="str">
        <f t="shared" ref="K259:K302" si="18">IF(H259&gt;0,D259,"")</f>
        <v/>
      </c>
      <c r="L259" t="str">
        <f t="shared" ref="L259:L302" si="19">IF(H259&gt;0,F259,"")</f>
        <v/>
      </c>
    </row>
    <row r="260" spans="1:12">
      <c r="A260">
        <f>all_data!A260</f>
        <v>258</v>
      </c>
      <c r="B260" t="str">
        <f>IF(all_data!B260&gt;0,all_data!B260,"")</f>
        <v/>
      </c>
      <c r="C260">
        <f>all_data!C260</f>
        <v>0</v>
      </c>
      <c r="D260">
        <f>all_data!D260</f>
        <v>0</v>
      </c>
      <c r="E260" t="str">
        <f>all_data!E260</f>
        <v/>
      </c>
      <c r="F260">
        <f>all_data!F260</f>
        <v>0</v>
      </c>
      <c r="H260">
        <f t="shared" si="16"/>
        <v>0</v>
      </c>
      <c r="J260" s="20" t="str">
        <f t="shared" si="17"/>
        <v/>
      </c>
      <c r="K260" t="str">
        <f t="shared" si="18"/>
        <v/>
      </c>
      <c r="L260" t="str">
        <f t="shared" si="19"/>
        <v/>
      </c>
    </row>
    <row r="261" spans="1:12">
      <c r="A261">
        <f>all_data!A261</f>
        <v>259</v>
      </c>
      <c r="B261" t="str">
        <f>IF(all_data!B261&gt;0,all_data!B261,"")</f>
        <v/>
      </c>
      <c r="C261">
        <f>all_data!C261</f>
        <v>0</v>
      </c>
      <c r="D261">
        <f>all_data!D261</f>
        <v>0</v>
      </c>
      <c r="E261" t="str">
        <f>all_data!E261</f>
        <v/>
      </c>
      <c r="F261">
        <f>all_data!F261</f>
        <v>0</v>
      </c>
      <c r="H261">
        <f t="shared" si="16"/>
        <v>0</v>
      </c>
      <c r="J261" s="20" t="str">
        <f t="shared" si="17"/>
        <v/>
      </c>
      <c r="K261" t="str">
        <f t="shared" si="18"/>
        <v/>
      </c>
      <c r="L261" t="str">
        <f t="shared" si="19"/>
        <v/>
      </c>
    </row>
    <row r="262" spans="1:12">
      <c r="A262">
        <f>all_data!A262</f>
        <v>260</v>
      </c>
      <c r="B262" t="str">
        <f>IF(all_data!B262&gt;0,all_data!B262,"")</f>
        <v/>
      </c>
      <c r="C262">
        <f>all_data!C262</f>
        <v>0</v>
      </c>
      <c r="D262">
        <f>all_data!D262</f>
        <v>0</v>
      </c>
      <c r="E262" t="str">
        <f>all_data!E262</f>
        <v/>
      </c>
      <c r="F262">
        <f>all_data!F262</f>
        <v>0</v>
      </c>
      <c r="H262">
        <f t="shared" si="16"/>
        <v>0</v>
      </c>
      <c r="J262" s="20" t="str">
        <f t="shared" si="17"/>
        <v/>
      </c>
      <c r="K262" t="str">
        <f t="shared" si="18"/>
        <v/>
      </c>
      <c r="L262" t="str">
        <f t="shared" si="19"/>
        <v/>
      </c>
    </row>
    <row r="263" spans="1:12">
      <c r="A263">
        <f>all_data!A263</f>
        <v>261</v>
      </c>
      <c r="B263" t="str">
        <f>IF(all_data!B263&gt;0,all_data!B263,"")</f>
        <v/>
      </c>
      <c r="C263">
        <f>all_data!C263</f>
        <v>0</v>
      </c>
      <c r="D263">
        <f>all_data!D263</f>
        <v>0</v>
      </c>
      <c r="E263" t="str">
        <f>all_data!E263</f>
        <v/>
      </c>
      <c r="F263">
        <f>all_data!F263</f>
        <v>0</v>
      </c>
      <c r="H263">
        <f t="shared" si="16"/>
        <v>0</v>
      </c>
      <c r="J263" s="20" t="str">
        <f t="shared" si="17"/>
        <v/>
      </c>
      <c r="K263" t="str">
        <f t="shared" si="18"/>
        <v/>
      </c>
      <c r="L263" t="str">
        <f t="shared" si="19"/>
        <v/>
      </c>
    </row>
    <row r="264" spans="1:12">
      <c r="A264">
        <f>all_data!A264</f>
        <v>262</v>
      </c>
      <c r="B264" t="str">
        <f>IF(all_data!B264&gt;0,all_data!B264,"")</f>
        <v/>
      </c>
      <c r="C264">
        <f>all_data!C264</f>
        <v>0</v>
      </c>
      <c r="D264">
        <f>all_data!D264</f>
        <v>0</v>
      </c>
      <c r="E264" t="str">
        <f>all_data!E264</f>
        <v/>
      </c>
      <c r="F264">
        <f>all_data!F264</f>
        <v>0</v>
      </c>
      <c r="H264">
        <f t="shared" si="16"/>
        <v>0</v>
      </c>
      <c r="J264" s="20" t="str">
        <f t="shared" si="17"/>
        <v/>
      </c>
      <c r="K264" t="str">
        <f t="shared" si="18"/>
        <v/>
      </c>
      <c r="L264" t="str">
        <f t="shared" si="19"/>
        <v/>
      </c>
    </row>
    <row r="265" spans="1:12">
      <c r="A265">
        <f>all_data!A265</f>
        <v>263</v>
      </c>
      <c r="B265" t="str">
        <f>IF(all_data!B265&gt;0,all_data!B265,"")</f>
        <v/>
      </c>
      <c r="C265">
        <f>all_data!C265</f>
        <v>0</v>
      </c>
      <c r="D265">
        <f>all_data!D265</f>
        <v>0</v>
      </c>
      <c r="E265" t="str">
        <f>all_data!E265</f>
        <v/>
      </c>
      <c r="F265">
        <f>all_data!F265</f>
        <v>0</v>
      </c>
      <c r="H265">
        <f t="shared" si="16"/>
        <v>0</v>
      </c>
      <c r="J265" s="20" t="str">
        <f t="shared" si="17"/>
        <v/>
      </c>
      <c r="K265" t="str">
        <f t="shared" si="18"/>
        <v/>
      </c>
      <c r="L265" t="str">
        <f t="shared" si="19"/>
        <v/>
      </c>
    </row>
    <row r="266" spans="1:12">
      <c r="A266">
        <f>all_data!A266</f>
        <v>264</v>
      </c>
      <c r="B266" t="str">
        <f>IF(all_data!B266&gt;0,all_data!B266,"")</f>
        <v/>
      </c>
      <c r="C266">
        <f>all_data!C266</f>
        <v>0</v>
      </c>
      <c r="D266">
        <f>all_data!D266</f>
        <v>0</v>
      </c>
      <c r="E266" t="str">
        <f>all_data!E266</f>
        <v/>
      </c>
      <c r="F266">
        <f>all_data!F266</f>
        <v>0</v>
      </c>
      <c r="H266">
        <f t="shared" si="16"/>
        <v>0</v>
      </c>
      <c r="J266" s="20" t="str">
        <f t="shared" si="17"/>
        <v/>
      </c>
      <c r="K266" t="str">
        <f t="shared" si="18"/>
        <v/>
      </c>
      <c r="L266" t="str">
        <f t="shared" si="19"/>
        <v/>
      </c>
    </row>
    <row r="267" spans="1:12">
      <c r="A267">
        <f>all_data!A267</f>
        <v>265</v>
      </c>
      <c r="B267" t="str">
        <f>IF(all_data!B267&gt;0,all_data!B267,"")</f>
        <v/>
      </c>
      <c r="C267">
        <f>all_data!C267</f>
        <v>0</v>
      </c>
      <c r="D267">
        <f>all_data!D267</f>
        <v>0</v>
      </c>
      <c r="E267" t="str">
        <f>all_data!E267</f>
        <v/>
      </c>
      <c r="F267">
        <f>all_data!F267</f>
        <v>0</v>
      </c>
      <c r="H267">
        <f t="shared" si="16"/>
        <v>0</v>
      </c>
      <c r="J267" s="20" t="str">
        <f t="shared" si="17"/>
        <v/>
      </c>
      <c r="K267" t="str">
        <f t="shared" si="18"/>
        <v/>
      </c>
      <c r="L267" t="str">
        <f t="shared" si="19"/>
        <v/>
      </c>
    </row>
    <row r="268" spans="1:12">
      <c r="A268">
        <f>all_data!A268</f>
        <v>266</v>
      </c>
      <c r="B268" t="str">
        <f>IF(all_data!B268&gt;0,all_data!B268,"")</f>
        <v/>
      </c>
      <c r="C268">
        <f>all_data!C268</f>
        <v>0</v>
      </c>
      <c r="D268">
        <f>all_data!D268</f>
        <v>0</v>
      </c>
      <c r="E268" t="str">
        <f>all_data!E268</f>
        <v/>
      </c>
      <c r="F268">
        <f>all_data!F268</f>
        <v>0</v>
      </c>
      <c r="H268">
        <f t="shared" si="16"/>
        <v>0</v>
      </c>
      <c r="J268" s="20" t="str">
        <f t="shared" si="17"/>
        <v/>
      </c>
      <c r="K268" t="str">
        <f t="shared" si="18"/>
        <v/>
      </c>
      <c r="L268" t="str">
        <f t="shared" si="19"/>
        <v/>
      </c>
    </row>
    <row r="269" spans="1:12">
      <c r="A269">
        <f>all_data!A269</f>
        <v>267</v>
      </c>
      <c r="B269" t="str">
        <f>IF(all_data!B269&gt;0,all_data!B269,"")</f>
        <v/>
      </c>
      <c r="C269">
        <f>all_data!C269</f>
        <v>0</v>
      </c>
      <c r="D269">
        <f>all_data!D269</f>
        <v>0</v>
      </c>
      <c r="E269" t="str">
        <f>all_data!E269</f>
        <v/>
      </c>
      <c r="F269">
        <f>all_data!F269</f>
        <v>0</v>
      </c>
      <c r="H269">
        <f t="shared" si="16"/>
        <v>0</v>
      </c>
      <c r="J269" s="20" t="str">
        <f t="shared" si="17"/>
        <v/>
      </c>
      <c r="K269" t="str">
        <f t="shared" si="18"/>
        <v/>
      </c>
      <c r="L269" t="str">
        <f t="shared" si="19"/>
        <v/>
      </c>
    </row>
    <row r="270" spans="1:12">
      <c r="A270">
        <f>all_data!A270</f>
        <v>268</v>
      </c>
      <c r="B270" t="str">
        <f>IF(all_data!B270&gt;0,all_data!B270,"")</f>
        <v/>
      </c>
      <c r="C270">
        <f>all_data!C270</f>
        <v>0</v>
      </c>
      <c r="D270">
        <f>all_data!D270</f>
        <v>0</v>
      </c>
      <c r="E270" t="str">
        <f>all_data!E270</f>
        <v/>
      </c>
      <c r="F270">
        <f>all_data!F270</f>
        <v>0</v>
      </c>
      <c r="H270">
        <f t="shared" si="16"/>
        <v>0</v>
      </c>
      <c r="J270" s="20" t="str">
        <f t="shared" si="17"/>
        <v/>
      </c>
      <c r="K270" t="str">
        <f t="shared" si="18"/>
        <v/>
      </c>
      <c r="L270" t="str">
        <f t="shared" si="19"/>
        <v/>
      </c>
    </row>
    <row r="271" spans="1:12">
      <c r="A271">
        <f>all_data!A271</f>
        <v>269</v>
      </c>
      <c r="B271" t="str">
        <f>IF(all_data!B271&gt;0,all_data!B271,"")</f>
        <v/>
      </c>
      <c r="C271">
        <f>all_data!C271</f>
        <v>0</v>
      </c>
      <c r="D271">
        <f>all_data!D271</f>
        <v>0</v>
      </c>
      <c r="E271" t="str">
        <f>all_data!E271</f>
        <v/>
      </c>
      <c r="F271">
        <f>all_data!F271</f>
        <v>0</v>
      </c>
      <c r="H271">
        <f t="shared" si="16"/>
        <v>0</v>
      </c>
      <c r="J271" s="20" t="str">
        <f t="shared" si="17"/>
        <v/>
      </c>
      <c r="K271" t="str">
        <f t="shared" si="18"/>
        <v/>
      </c>
      <c r="L271" t="str">
        <f t="shared" si="19"/>
        <v/>
      </c>
    </row>
    <row r="272" spans="1:12">
      <c r="A272">
        <f>all_data!A272</f>
        <v>270</v>
      </c>
      <c r="B272" t="str">
        <f>IF(all_data!B272&gt;0,all_data!B272,"")</f>
        <v/>
      </c>
      <c r="C272">
        <f>all_data!C272</f>
        <v>0</v>
      </c>
      <c r="D272">
        <f>all_data!D272</f>
        <v>0</v>
      </c>
      <c r="E272" t="str">
        <f>all_data!E272</f>
        <v/>
      </c>
      <c r="F272">
        <f>all_data!F272</f>
        <v>0</v>
      </c>
      <c r="H272">
        <f t="shared" si="16"/>
        <v>0</v>
      </c>
      <c r="J272" s="20" t="str">
        <f t="shared" si="17"/>
        <v/>
      </c>
      <c r="K272" t="str">
        <f t="shared" si="18"/>
        <v/>
      </c>
      <c r="L272" t="str">
        <f t="shared" si="19"/>
        <v/>
      </c>
    </row>
    <row r="273" spans="1:12">
      <c r="A273">
        <f>all_data!A273</f>
        <v>271</v>
      </c>
      <c r="B273" t="str">
        <f>IF(all_data!B273&gt;0,all_data!B273,"")</f>
        <v/>
      </c>
      <c r="C273">
        <f>all_data!C273</f>
        <v>0</v>
      </c>
      <c r="D273">
        <f>all_data!D273</f>
        <v>0</v>
      </c>
      <c r="E273" t="str">
        <f>all_data!E273</f>
        <v/>
      </c>
      <c r="F273">
        <f>all_data!F273</f>
        <v>0</v>
      </c>
      <c r="H273">
        <f t="shared" si="16"/>
        <v>0</v>
      </c>
      <c r="J273" s="20" t="str">
        <f t="shared" si="17"/>
        <v/>
      </c>
      <c r="K273" t="str">
        <f t="shared" si="18"/>
        <v/>
      </c>
      <c r="L273" t="str">
        <f t="shared" si="19"/>
        <v/>
      </c>
    </row>
    <row r="274" spans="1:12">
      <c r="A274">
        <f>all_data!A274</f>
        <v>272</v>
      </c>
      <c r="B274" t="str">
        <f>IF(all_data!B274&gt;0,all_data!B274,"")</f>
        <v/>
      </c>
      <c r="C274">
        <f>all_data!C274</f>
        <v>0</v>
      </c>
      <c r="D274">
        <f>all_data!D274</f>
        <v>0</v>
      </c>
      <c r="E274" t="str">
        <f>all_data!E274</f>
        <v/>
      </c>
      <c r="F274">
        <f>all_data!F274</f>
        <v>0</v>
      </c>
      <c r="H274">
        <f t="shared" si="16"/>
        <v>0</v>
      </c>
      <c r="J274" s="20" t="str">
        <f t="shared" si="17"/>
        <v/>
      </c>
      <c r="K274" t="str">
        <f t="shared" si="18"/>
        <v/>
      </c>
      <c r="L274" t="str">
        <f t="shared" si="19"/>
        <v/>
      </c>
    </row>
    <row r="275" spans="1:12">
      <c r="A275">
        <f>all_data!A275</f>
        <v>273</v>
      </c>
      <c r="B275" t="str">
        <f>IF(all_data!B275&gt;0,all_data!B275,"")</f>
        <v/>
      </c>
      <c r="C275">
        <f>all_data!C275</f>
        <v>0</v>
      </c>
      <c r="D275">
        <f>all_data!D275</f>
        <v>0</v>
      </c>
      <c r="E275" t="str">
        <f>all_data!E275</f>
        <v/>
      </c>
      <c r="F275">
        <f>all_data!F275</f>
        <v>0</v>
      </c>
      <c r="H275">
        <f t="shared" si="16"/>
        <v>0</v>
      </c>
      <c r="J275" s="20" t="str">
        <f t="shared" si="17"/>
        <v/>
      </c>
      <c r="K275" t="str">
        <f t="shared" si="18"/>
        <v/>
      </c>
      <c r="L275" t="str">
        <f t="shared" si="19"/>
        <v/>
      </c>
    </row>
    <row r="276" spans="1:12">
      <c r="A276">
        <f>all_data!A276</f>
        <v>274</v>
      </c>
      <c r="B276" t="str">
        <f>IF(all_data!B276&gt;0,all_data!B276,"")</f>
        <v/>
      </c>
      <c r="C276">
        <f>all_data!C276</f>
        <v>0</v>
      </c>
      <c r="D276">
        <f>all_data!D276</f>
        <v>0</v>
      </c>
      <c r="E276" t="str">
        <f>all_data!E276</f>
        <v/>
      </c>
      <c r="F276">
        <f>all_data!F276</f>
        <v>0</v>
      </c>
      <c r="H276">
        <f t="shared" si="16"/>
        <v>0</v>
      </c>
      <c r="J276" s="20" t="str">
        <f t="shared" si="17"/>
        <v/>
      </c>
      <c r="K276" t="str">
        <f t="shared" si="18"/>
        <v/>
      </c>
      <c r="L276" t="str">
        <f t="shared" si="19"/>
        <v/>
      </c>
    </row>
    <row r="277" spans="1:12">
      <c r="A277">
        <f>all_data!A277</f>
        <v>275</v>
      </c>
      <c r="B277" t="str">
        <f>IF(all_data!B277&gt;0,all_data!B277,"")</f>
        <v/>
      </c>
      <c r="C277">
        <f>all_data!C277</f>
        <v>0</v>
      </c>
      <c r="D277">
        <f>all_data!D277</f>
        <v>0</v>
      </c>
      <c r="E277" t="str">
        <f>all_data!E277</f>
        <v/>
      </c>
      <c r="F277">
        <f>all_data!F277</f>
        <v>0</v>
      </c>
      <c r="H277">
        <f t="shared" si="16"/>
        <v>0</v>
      </c>
      <c r="J277" s="20" t="str">
        <f t="shared" si="17"/>
        <v/>
      </c>
      <c r="K277" t="str">
        <f t="shared" si="18"/>
        <v/>
      </c>
      <c r="L277" t="str">
        <f t="shared" si="19"/>
        <v/>
      </c>
    </row>
    <row r="278" spans="1:12">
      <c r="A278">
        <f>all_data!A278</f>
        <v>276</v>
      </c>
      <c r="B278" t="str">
        <f>IF(all_data!B278&gt;0,all_data!B278,"")</f>
        <v/>
      </c>
      <c r="C278">
        <f>all_data!C278</f>
        <v>0</v>
      </c>
      <c r="D278">
        <f>all_data!D278</f>
        <v>0</v>
      </c>
      <c r="E278" t="str">
        <f>all_data!E278</f>
        <v/>
      </c>
      <c r="F278">
        <f>all_data!F278</f>
        <v>0</v>
      </c>
      <c r="H278">
        <f t="shared" si="16"/>
        <v>0</v>
      </c>
      <c r="J278" s="20" t="str">
        <f t="shared" si="17"/>
        <v/>
      </c>
      <c r="K278" t="str">
        <f t="shared" si="18"/>
        <v/>
      </c>
      <c r="L278" t="str">
        <f t="shared" si="19"/>
        <v/>
      </c>
    </row>
    <row r="279" spans="1:12">
      <c r="A279">
        <f>all_data!A279</f>
        <v>277</v>
      </c>
      <c r="B279" t="str">
        <f>IF(all_data!B279&gt;0,all_data!B279,"")</f>
        <v/>
      </c>
      <c r="C279">
        <f>all_data!C279</f>
        <v>0</v>
      </c>
      <c r="D279">
        <f>all_data!D279</f>
        <v>0</v>
      </c>
      <c r="E279" t="str">
        <f>all_data!E279</f>
        <v/>
      </c>
      <c r="F279">
        <f>all_data!F279</f>
        <v>0</v>
      </c>
      <c r="H279">
        <f t="shared" si="16"/>
        <v>0</v>
      </c>
      <c r="J279" s="20" t="str">
        <f t="shared" si="17"/>
        <v/>
      </c>
      <c r="K279" t="str">
        <f t="shared" si="18"/>
        <v/>
      </c>
      <c r="L279" t="str">
        <f t="shared" si="19"/>
        <v/>
      </c>
    </row>
    <row r="280" spans="1:12">
      <c r="A280">
        <f>all_data!A280</f>
        <v>278</v>
      </c>
      <c r="B280" t="str">
        <f>IF(all_data!B280&gt;0,all_data!B280,"")</f>
        <v/>
      </c>
      <c r="C280">
        <f>all_data!C280</f>
        <v>0</v>
      </c>
      <c r="D280">
        <f>all_data!D280</f>
        <v>0</v>
      </c>
      <c r="E280" t="str">
        <f>all_data!E280</f>
        <v/>
      </c>
      <c r="F280">
        <f>all_data!F280</f>
        <v>0</v>
      </c>
      <c r="H280">
        <f t="shared" si="16"/>
        <v>0</v>
      </c>
      <c r="J280" s="20" t="str">
        <f t="shared" si="17"/>
        <v/>
      </c>
      <c r="K280" t="str">
        <f t="shared" si="18"/>
        <v/>
      </c>
      <c r="L280" t="str">
        <f t="shared" si="19"/>
        <v/>
      </c>
    </row>
    <row r="281" spans="1:12">
      <c r="A281">
        <f>all_data!A281</f>
        <v>279</v>
      </c>
      <c r="B281" t="str">
        <f>IF(all_data!B281&gt;0,all_data!B281,"")</f>
        <v/>
      </c>
      <c r="C281">
        <f>all_data!C281</f>
        <v>0</v>
      </c>
      <c r="D281">
        <f>all_data!D281</f>
        <v>0</v>
      </c>
      <c r="E281" t="str">
        <f>all_data!E281</f>
        <v/>
      </c>
      <c r="F281">
        <f>all_data!F281</f>
        <v>0</v>
      </c>
      <c r="H281">
        <f t="shared" si="16"/>
        <v>0</v>
      </c>
      <c r="J281" s="20" t="str">
        <f t="shared" si="17"/>
        <v/>
      </c>
      <c r="K281" t="str">
        <f t="shared" si="18"/>
        <v/>
      </c>
      <c r="L281" t="str">
        <f t="shared" si="19"/>
        <v/>
      </c>
    </row>
    <row r="282" spans="1:12">
      <c r="A282">
        <f>all_data!A282</f>
        <v>280</v>
      </c>
      <c r="B282" t="str">
        <f>IF(all_data!B282&gt;0,all_data!B282,"")</f>
        <v/>
      </c>
      <c r="C282">
        <f>all_data!C282</f>
        <v>0</v>
      </c>
      <c r="D282">
        <f>all_data!D282</f>
        <v>0</v>
      </c>
      <c r="E282" t="str">
        <f>all_data!E282</f>
        <v/>
      </c>
      <c r="F282">
        <f>all_data!F282</f>
        <v>0</v>
      </c>
      <c r="H282">
        <f t="shared" si="16"/>
        <v>0</v>
      </c>
      <c r="J282" s="20" t="str">
        <f t="shared" si="17"/>
        <v/>
      </c>
      <c r="K282" t="str">
        <f t="shared" si="18"/>
        <v/>
      </c>
      <c r="L282" t="str">
        <f t="shared" si="19"/>
        <v/>
      </c>
    </row>
    <row r="283" spans="1:12">
      <c r="A283">
        <f>all_data!A283</f>
        <v>281</v>
      </c>
      <c r="B283" t="str">
        <f>IF(all_data!B283&gt;0,all_data!B283,"")</f>
        <v/>
      </c>
      <c r="C283">
        <f>all_data!C283</f>
        <v>0</v>
      </c>
      <c r="D283">
        <f>all_data!D283</f>
        <v>0</v>
      </c>
      <c r="E283" t="str">
        <f>all_data!E283</f>
        <v/>
      </c>
      <c r="F283">
        <f>all_data!F283</f>
        <v>0</v>
      </c>
      <c r="H283">
        <f t="shared" si="16"/>
        <v>0</v>
      </c>
      <c r="J283" s="20" t="str">
        <f t="shared" si="17"/>
        <v/>
      </c>
      <c r="K283" t="str">
        <f t="shared" si="18"/>
        <v/>
      </c>
      <c r="L283" t="str">
        <f t="shared" si="19"/>
        <v/>
      </c>
    </row>
    <row r="284" spans="1:12">
      <c r="A284">
        <f>all_data!A284</f>
        <v>282</v>
      </c>
      <c r="B284" t="str">
        <f>IF(all_data!B284&gt;0,all_data!B284,"")</f>
        <v/>
      </c>
      <c r="C284">
        <f>all_data!C284</f>
        <v>0</v>
      </c>
      <c r="D284">
        <f>all_data!D284</f>
        <v>0</v>
      </c>
      <c r="E284" t="str">
        <f>all_data!E284</f>
        <v/>
      </c>
      <c r="F284">
        <f>all_data!F284</f>
        <v>0</v>
      </c>
      <c r="H284">
        <f t="shared" si="16"/>
        <v>0</v>
      </c>
      <c r="J284" s="20" t="str">
        <f t="shared" si="17"/>
        <v/>
      </c>
      <c r="K284" t="str">
        <f t="shared" si="18"/>
        <v/>
      </c>
      <c r="L284" t="str">
        <f t="shared" si="19"/>
        <v/>
      </c>
    </row>
    <row r="285" spans="1:12">
      <c r="A285">
        <f>all_data!A285</f>
        <v>283</v>
      </c>
      <c r="B285" t="str">
        <f>IF(all_data!B285&gt;0,all_data!B285,"")</f>
        <v/>
      </c>
      <c r="C285">
        <f>all_data!C285</f>
        <v>0</v>
      </c>
      <c r="D285">
        <f>all_data!D285</f>
        <v>0</v>
      </c>
      <c r="E285" t="str">
        <f>all_data!E285</f>
        <v/>
      </c>
      <c r="F285">
        <f>all_data!F285</f>
        <v>0</v>
      </c>
      <c r="H285">
        <f t="shared" si="16"/>
        <v>0</v>
      </c>
      <c r="J285" s="20" t="str">
        <f t="shared" si="17"/>
        <v/>
      </c>
      <c r="K285" t="str">
        <f t="shared" si="18"/>
        <v/>
      </c>
      <c r="L285" t="str">
        <f t="shared" si="19"/>
        <v/>
      </c>
    </row>
    <row r="286" spans="1:12">
      <c r="A286">
        <f>all_data!A286</f>
        <v>284</v>
      </c>
      <c r="B286" t="str">
        <f>IF(all_data!B286&gt;0,all_data!B286,"")</f>
        <v/>
      </c>
      <c r="C286">
        <f>all_data!C286</f>
        <v>0</v>
      </c>
      <c r="D286">
        <f>all_data!D286</f>
        <v>0</v>
      </c>
      <c r="E286" t="str">
        <f>all_data!E286</f>
        <v/>
      </c>
      <c r="F286">
        <f>all_data!F286</f>
        <v>0</v>
      </c>
      <c r="H286">
        <f t="shared" si="16"/>
        <v>0</v>
      </c>
      <c r="J286" s="20" t="str">
        <f t="shared" si="17"/>
        <v/>
      </c>
      <c r="K286" t="str">
        <f t="shared" si="18"/>
        <v/>
      </c>
      <c r="L286" t="str">
        <f t="shared" si="19"/>
        <v/>
      </c>
    </row>
    <row r="287" spans="1:12">
      <c r="A287">
        <f>all_data!A287</f>
        <v>285</v>
      </c>
      <c r="B287" t="str">
        <f>IF(all_data!B287&gt;0,all_data!B287,"")</f>
        <v/>
      </c>
      <c r="C287">
        <f>all_data!C287</f>
        <v>0</v>
      </c>
      <c r="D287">
        <f>all_data!D287</f>
        <v>0</v>
      </c>
      <c r="E287" t="str">
        <f>all_data!E287</f>
        <v/>
      </c>
      <c r="F287">
        <f>all_data!F287</f>
        <v>0</v>
      </c>
      <c r="H287">
        <f t="shared" si="16"/>
        <v>0</v>
      </c>
      <c r="J287" s="20" t="str">
        <f t="shared" si="17"/>
        <v/>
      </c>
      <c r="K287" t="str">
        <f t="shared" si="18"/>
        <v/>
      </c>
      <c r="L287" t="str">
        <f t="shared" si="19"/>
        <v/>
      </c>
    </row>
    <row r="288" spans="1:12">
      <c r="A288">
        <f>all_data!A288</f>
        <v>286</v>
      </c>
      <c r="B288" t="str">
        <f>IF(all_data!B288&gt;0,all_data!B288,"")</f>
        <v/>
      </c>
      <c r="C288">
        <f>all_data!C288</f>
        <v>0</v>
      </c>
      <c r="D288">
        <f>all_data!D288</f>
        <v>0</v>
      </c>
      <c r="E288" t="str">
        <f>all_data!E288</f>
        <v/>
      </c>
      <c r="F288">
        <f>all_data!F288</f>
        <v>0</v>
      </c>
      <c r="H288">
        <f t="shared" si="16"/>
        <v>0</v>
      </c>
      <c r="J288" s="20" t="str">
        <f t="shared" si="17"/>
        <v/>
      </c>
      <c r="K288" t="str">
        <f t="shared" si="18"/>
        <v/>
      </c>
      <c r="L288" t="str">
        <f t="shared" si="19"/>
        <v/>
      </c>
    </row>
    <row r="289" spans="1:12">
      <c r="A289">
        <f>all_data!A289</f>
        <v>287</v>
      </c>
      <c r="B289" t="str">
        <f>IF(all_data!B289&gt;0,all_data!B289,"")</f>
        <v/>
      </c>
      <c r="C289">
        <f>all_data!C289</f>
        <v>0</v>
      </c>
      <c r="D289">
        <f>all_data!D289</f>
        <v>0</v>
      </c>
      <c r="E289" t="str">
        <f>all_data!E289</f>
        <v/>
      </c>
      <c r="F289">
        <f>all_data!F289</f>
        <v>0</v>
      </c>
      <c r="H289">
        <f t="shared" si="16"/>
        <v>0</v>
      </c>
      <c r="J289" s="20" t="str">
        <f t="shared" si="17"/>
        <v/>
      </c>
      <c r="K289" t="str">
        <f t="shared" si="18"/>
        <v/>
      </c>
      <c r="L289" t="str">
        <f t="shared" si="19"/>
        <v/>
      </c>
    </row>
    <row r="290" spans="1:12">
      <c r="A290">
        <f>all_data!A290</f>
        <v>288</v>
      </c>
      <c r="B290" t="str">
        <f>IF(all_data!B290&gt;0,all_data!B290,"")</f>
        <v/>
      </c>
      <c r="C290">
        <f>all_data!C290</f>
        <v>0</v>
      </c>
      <c r="D290">
        <f>all_data!D290</f>
        <v>0</v>
      </c>
      <c r="E290" t="str">
        <f>all_data!E290</f>
        <v/>
      </c>
      <c r="F290">
        <f>all_data!F290</f>
        <v>0</v>
      </c>
      <c r="H290">
        <f t="shared" si="16"/>
        <v>0</v>
      </c>
      <c r="J290" s="20" t="str">
        <f t="shared" si="17"/>
        <v/>
      </c>
      <c r="K290" t="str">
        <f t="shared" si="18"/>
        <v/>
      </c>
      <c r="L290" t="str">
        <f t="shared" si="19"/>
        <v/>
      </c>
    </row>
    <row r="291" spans="1:12">
      <c r="A291">
        <f>all_data!A291</f>
        <v>289</v>
      </c>
      <c r="B291" t="str">
        <f>IF(all_data!B291&gt;0,all_data!B291,"")</f>
        <v/>
      </c>
      <c r="C291">
        <f>all_data!C291</f>
        <v>0</v>
      </c>
      <c r="D291">
        <f>all_data!D291</f>
        <v>0</v>
      </c>
      <c r="E291" t="str">
        <f>all_data!E291</f>
        <v/>
      </c>
      <c r="F291">
        <f>all_data!F291</f>
        <v>0</v>
      </c>
      <c r="H291">
        <f t="shared" si="16"/>
        <v>0</v>
      </c>
      <c r="J291" s="20" t="str">
        <f t="shared" si="17"/>
        <v/>
      </c>
      <c r="K291" t="str">
        <f t="shared" si="18"/>
        <v/>
      </c>
      <c r="L291" t="str">
        <f t="shared" si="19"/>
        <v/>
      </c>
    </row>
    <row r="292" spans="1:12">
      <c r="A292">
        <f>all_data!A292</f>
        <v>290</v>
      </c>
      <c r="B292" t="str">
        <f>IF(all_data!B292&gt;0,all_data!B292,"")</f>
        <v/>
      </c>
      <c r="C292">
        <f>all_data!C292</f>
        <v>0</v>
      </c>
      <c r="D292">
        <f>all_data!D292</f>
        <v>0</v>
      </c>
      <c r="E292" t="str">
        <f>all_data!E292</f>
        <v/>
      </c>
      <c r="F292">
        <f>all_data!F292</f>
        <v>0</v>
      </c>
      <c r="H292">
        <f t="shared" si="16"/>
        <v>0</v>
      </c>
      <c r="J292" s="20" t="str">
        <f t="shared" si="17"/>
        <v/>
      </c>
      <c r="K292" t="str">
        <f t="shared" si="18"/>
        <v/>
      </c>
      <c r="L292" t="str">
        <f t="shared" si="19"/>
        <v/>
      </c>
    </row>
    <row r="293" spans="1:12">
      <c r="A293">
        <f>all_data!A293</f>
        <v>291</v>
      </c>
      <c r="B293" t="str">
        <f>IF(all_data!B293&gt;0,all_data!B293,"")</f>
        <v/>
      </c>
      <c r="C293">
        <f>all_data!C293</f>
        <v>0</v>
      </c>
      <c r="D293">
        <f>all_data!D293</f>
        <v>0</v>
      </c>
      <c r="E293" t="str">
        <f>all_data!E293</f>
        <v/>
      </c>
      <c r="F293">
        <f>all_data!F293</f>
        <v>0</v>
      </c>
      <c r="H293">
        <f t="shared" si="16"/>
        <v>0</v>
      </c>
      <c r="J293" s="20" t="str">
        <f t="shared" si="17"/>
        <v/>
      </c>
      <c r="K293" t="str">
        <f t="shared" si="18"/>
        <v/>
      </c>
      <c r="L293" t="str">
        <f t="shared" si="19"/>
        <v/>
      </c>
    </row>
    <row r="294" spans="1:12">
      <c r="A294">
        <f>all_data!A294</f>
        <v>292</v>
      </c>
      <c r="B294" t="str">
        <f>IF(all_data!B294&gt;0,all_data!B294,"")</f>
        <v/>
      </c>
      <c r="C294">
        <f>all_data!C294</f>
        <v>0</v>
      </c>
      <c r="D294">
        <f>all_data!D294</f>
        <v>0</v>
      </c>
      <c r="E294" t="str">
        <f>all_data!E294</f>
        <v/>
      </c>
      <c r="F294">
        <f>all_data!F294</f>
        <v>0</v>
      </c>
      <c r="H294">
        <f t="shared" si="16"/>
        <v>0</v>
      </c>
      <c r="J294" s="20" t="str">
        <f t="shared" si="17"/>
        <v/>
      </c>
      <c r="K294" t="str">
        <f t="shared" si="18"/>
        <v/>
      </c>
      <c r="L294" t="str">
        <f t="shared" si="19"/>
        <v/>
      </c>
    </row>
    <row r="295" spans="1:12">
      <c r="A295">
        <f>all_data!A295</f>
        <v>293</v>
      </c>
      <c r="B295" t="str">
        <f>IF(all_data!B295&gt;0,all_data!B295,"")</f>
        <v/>
      </c>
      <c r="C295">
        <f>all_data!C295</f>
        <v>0</v>
      </c>
      <c r="D295">
        <f>all_data!D295</f>
        <v>0</v>
      </c>
      <c r="E295" t="str">
        <f>all_data!E295</f>
        <v/>
      </c>
      <c r="F295">
        <f>all_data!F295</f>
        <v>0</v>
      </c>
      <c r="H295">
        <f t="shared" si="16"/>
        <v>0</v>
      </c>
      <c r="J295" s="20" t="str">
        <f t="shared" si="17"/>
        <v/>
      </c>
      <c r="K295" t="str">
        <f t="shared" si="18"/>
        <v/>
      </c>
      <c r="L295" t="str">
        <f t="shared" si="19"/>
        <v/>
      </c>
    </row>
    <row r="296" spans="1:12">
      <c r="A296">
        <f>all_data!A296</f>
        <v>294</v>
      </c>
      <c r="B296" t="str">
        <f>IF(all_data!B296&gt;0,all_data!B296,"")</f>
        <v/>
      </c>
      <c r="C296">
        <f>all_data!C296</f>
        <v>0</v>
      </c>
      <c r="D296">
        <f>all_data!D296</f>
        <v>0</v>
      </c>
      <c r="E296" t="str">
        <f>all_data!E296</f>
        <v/>
      </c>
      <c r="F296">
        <f>all_data!F296</f>
        <v>0</v>
      </c>
      <c r="H296">
        <f t="shared" si="16"/>
        <v>0</v>
      </c>
      <c r="J296" s="20" t="str">
        <f t="shared" si="17"/>
        <v/>
      </c>
      <c r="K296" t="str">
        <f t="shared" si="18"/>
        <v/>
      </c>
      <c r="L296" t="str">
        <f t="shared" si="19"/>
        <v/>
      </c>
    </row>
    <row r="297" spans="1:12">
      <c r="A297">
        <f>all_data!A297</f>
        <v>295</v>
      </c>
      <c r="B297" t="str">
        <f>IF(all_data!B297&gt;0,all_data!B297,"")</f>
        <v/>
      </c>
      <c r="C297">
        <f>all_data!C297</f>
        <v>0</v>
      </c>
      <c r="D297">
        <f>all_data!D297</f>
        <v>0</v>
      </c>
      <c r="E297" t="str">
        <f>all_data!E297</f>
        <v/>
      </c>
      <c r="F297">
        <f>all_data!F297</f>
        <v>0</v>
      </c>
      <c r="H297">
        <f t="shared" si="16"/>
        <v>0</v>
      </c>
      <c r="J297" s="20" t="str">
        <f t="shared" si="17"/>
        <v/>
      </c>
      <c r="K297" t="str">
        <f t="shared" si="18"/>
        <v/>
      </c>
      <c r="L297" t="str">
        <f t="shared" si="19"/>
        <v/>
      </c>
    </row>
    <row r="298" spans="1:12">
      <c r="A298">
        <f>all_data!A298</f>
        <v>296</v>
      </c>
      <c r="B298" t="str">
        <f>IF(all_data!B298&gt;0,all_data!B298,"")</f>
        <v/>
      </c>
      <c r="C298">
        <f>all_data!C298</f>
        <v>0</v>
      </c>
      <c r="D298">
        <f>all_data!D298</f>
        <v>0</v>
      </c>
      <c r="E298" t="str">
        <f>all_data!E298</f>
        <v/>
      </c>
      <c r="F298">
        <f>all_data!F298</f>
        <v>0</v>
      </c>
      <c r="H298">
        <f t="shared" si="16"/>
        <v>0</v>
      </c>
      <c r="J298" s="20" t="str">
        <f t="shared" si="17"/>
        <v/>
      </c>
      <c r="K298" t="str">
        <f t="shared" si="18"/>
        <v/>
      </c>
      <c r="L298" t="str">
        <f t="shared" si="19"/>
        <v/>
      </c>
    </row>
    <row r="299" spans="1:12">
      <c r="A299">
        <f>all_data!A299</f>
        <v>297</v>
      </c>
      <c r="B299" t="str">
        <f>IF(all_data!B299&gt;0,all_data!B299,"")</f>
        <v/>
      </c>
      <c r="C299">
        <f>all_data!C299</f>
        <v>0</v>
      </c>
      <c r="D299">
        <f>all_data!D299</f>
        <v>0</v>
      </c>
      <c r="E299" t="str">
        <f>all_data!E299</f>
        <v/>
      </c>
      <c r="F299">
        <f>all_data!F299</f>
        <v>0</v>
      </c>
      <c r="H299">
        <f t="shared" si="16"/>
        <v>0</v>
      </c>
      <c r="J299" s="20" t="str">
        <f t="shared" si="17"/>
        <v/>
      </c>
      <c r="K299" t="str">
        <f t="shared" si="18"/>
        <v/>
      </c>
      <c r="L299" t="str">
        <f t="shared" si="19"/>
        <v/>
      </c>
    </row>
    <row r="300" spans="1:12">
      <c r="A300">
        <f>all_data!A300</f>
        <v>298</v>
      </c>
      <c r="B300" t="str">
        <f>IF(all_data!B300&gt;0,all_data!B300,"")</f>
        <v/>
      </c>
      <c r="C300">
        <f>all_data!C300</f>
        <v>0</v>
      </c>
      <c r="D300">
        <f>all_data!D300</f>
        <v>0</v>
      </c>
      <c r="E300" t="str">
        <f>all_data!E300</f>
        <v/>
      </c>
      <c r="F300">
        <f>all_data!F300</f>
        <v>0</v>
      </c>
      <c r="H300">
        <f t="shared" si="16"/>
        <v>0</v>
      </c>
      <c r="J300" s="20" t="str">
        <f t="shared" si="17"/>
        <v/>
      </c>
      <c r="K300" t="str">
        <f t="shared" si="18"/>
        <v/>
      </c>
      <c r="L300" t="str">
        <f t="shared" si="19"/>
        <v/>
      </c>
    </row>
    <row r="301" spans="1:12">
      <c r="A301">
        <f>all_data!A301</f>
        <v>299</v>
      </c>
      <c r="B301" t="str">
        <f>IF(all_data!B301&gt;0,all_data!B301,"")</f>
        <v/>
      </c>
      <c r="C301">
        <f>all_data!C301</f>
        <v>0</v>
      </c>
      <c r="D301">
        <f>all_data!D301</f>
        <v>0</v>
      </c>
      <c r="E301" t="str">
        <f>all_data!E301</f>
        <v/>
      </c>
      <c r="F301">
        <f>all_data!F301</f>
        <v>0</v>
      </c>
      <c r="H301">
        <f t="shared" ref="H301:H302" si="20">IF(C301&lt;=10,D301,0)</f>
        <v>0</v>
      </c>
      <c r="J301" s="20" t="str">
        <f t="shared" si="17"/>
        <v/>
      </c>
      <c r="K301" t="str">
        <f t="shared" si="18"/>
        <v/>
      </c>
      <c r="L301" t="str">
        <f t="shared" si="19"/>
        <v/>
      </c>
    </row>
    <row r="302" spans="1:12">
      <c r="A302">
        <f>all_data!A302</f>
        <v>300</v>
      </c>
      <c r="B302" t="str">
        <f>IF(all_data!B302&gt;0,all_data!B302,"")</f>
        <v/>
      </c>
      <c r="C302">
        <f>all_data!C302</f>
        <v>0</v>
      </c>
      <c r="D302">
        <f>all_data!D302</f>
        <v>0</v>
      </c>
      <c r="E302" t="str">
        <f>all_data!E302</f>
        <v/>
      </c>
      <c r="F302">
        <f>all_data!F302</f>
        <v>0</v>
      </c>
      <c r="H302">
        <f t="shared" si="20"/>
        <v>0</v>
      </c>
      <c r="J302" s="20" t="str">
        <f t="shared" si="17"/>
        <v/>
      </c>
      <c r="K302" t="str">
        <f t="shared" si="18"/>
        <v/>
      </c>
      <c r="L302" t="str">
        <f t="shared" si="19"/>
        <v/>
      </c>
    </row>
  </sheetData>
  <sortState ref="A3:H300">
    <sortCondition descending="1" ref="H3"/>
  </sortState>
  <customSheetViews>
    <customSheetView guid="{78B3A349-4A6A-4124-974B-C4B81C7019CD}" scale="60" showRuler="0" topLeftCell="A10">
      <selection activeCell="J3" sqref="J3"/>
      <pageMargins left="0.78740157499999996" right="0.78740157499999996" top="0.984251969" bottom="0.984251969" header="0.4921259845" footer="0.4921259845"/>
      <headerFooter alignWithMargins="0"/>
    </customSheetView>
    <customSheetView guid="{F48999E8-45B5-4A7E-B3AF-FA7A59AA8144}" scale="60" showRuler="0" topLeftCell="A10">
      <selection activeCell="J3" sqref="J3"/>
      <pageMargins left="0.78740157499999996" right="0.78740157499999996" top="0.984251969" bottom="0.984251969" header="0.4921259845" footer="0.4921259845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02"/>
  <sheetViews>
    <sheetView zoomScale="60" workbookViewId="0">
      <selection activeCell="K3" sqref="K3"/>
    </sheetView>
  </sheetViews>
  <sheetFormatPr baseColWidth="10" defaultRowHeight="12.75"/>
  <cols>
    <col min="1" max="1" width="7.140625" customWidth="1"/>
    <col min="2" max="2" width="18.85546875" customWidth="1"/>
    <col min="5" max="5" width="14" style="5" customWidth="1"/>
    <col min="7" max="7" width="12.42578125" customWidth="1"/>
    <col min="8" max="8" width="23.28515625" customWidth="1"/>
  </cols>
  <sheetData>
    <row r="1" spans="1:8" s="16" customFormat="1" ht="15">
      <c r="A1" s="16" t="str">
        <f>all_data!A1</f>
        <v>Nr.</v>
      </c>
      <c r="B1" s="16" t="str">
        <f>all_data!B1</f>
        <v>SchiffsName</v>
      </c>
      <c r="C1" s="16" t="str">
        <f>all_data!C1</f>
        <v>mLS</v>
      </c>
      <c r="D1" s="16" t="str">
        <f>all_data!D1</f>
        <v>deadweight</v>
      </c>
      <c r="E1" s="18" t="str">
        <f>all_data!E1</f>
        <v>dw/mLS</v>
      </c>
      <c r="F1" s="16" t="str">
        <f>all_data!F1</f>
        <v>prediction</v>
      </c>
      <c r="H1" s="16" t="s">
        <v>28</v>
      </c>
    </row>
    <row r="2" spans="1:8" s="16" customFormat="1" ht="15">
      <c r="A2" s="16">
        <f>all_data!A2</f>
        <v>0</v>
      </c>
      <c r="B2" s="16">
        <f>all_data!B2</f>
        <v>0</v>
      </c>
      <c r="C2" s="16" t="str">
        <f>all_data!C2</f>
        <v>[g]</v>
      </c>
      <c r="D2" s="16" t="str">
        <f>all_data!D2</f>
        <v>[g]</v>
      </c>
      <c r="E2" s="18" t="str">
        <f>all_data!E2</f>
        <v>[-]</v>
      </c>
      <c r="F2" s="16" t="str">
        <f>all_data!F2</f>
        <v>[g]</v>
      </c>
    </row>
    <row r="3" spans="1:8">
      <c r="A3">
        <f>all_data!A58</f>
        <v>56</v>
      </c>
      <c r="B3" t="str">
        <f>IF(D3&gt;0,all_data!B58,"")</f>
        <v>Titanic II</v>
      </c>
      <c r="C3">
        <f>all_data!C58</f>
        <v>6.9</v>
      </c>
      <c r="D3">
        <f>all_data!D58</f>
        <v>9.9179999999999993</v>
      </c>
      <c r="E3" s="5">
        <f t="shared" ref="E3:E66" si="0">IF(D3&lt;=0,,D3/C3)</f>
        <v>1.4373913043478259</v>
      </c>
      <c r="F3">
        <f>all_data!F58</f>
        <v>500</v>
      </c>
      <c r="H3">
        <f t="shared" ref="H3:H66" si="1">IF(C3&lt;=10,D3,0)</f>
        <v>9.9179999999999993</v>
      </c>
    </row>
    <row r="4" spans="1:8">
      <c r="A4">
        <f>all_data!A28</f>
        <v>26</v>
      </c>
      <c r="B4" t="str">
        <f>IF(D4&gt;0,all_data!B28,"")</f>
        <v>Little Nemo</v>
      </c>
      <c r="C4">
        <f>all_data!C28</f>
        <v>9.6999999999999993</v>
      </c>
      <c r="D4">
        <f>all_data!D28</f>
        <v>9.26</v>
      </c>
      <c r="E4" s="5">
        <f t="shared" si="0"/>
        <v>0.95463917525773201</v>
      </c>
      <c r="F4">
        <f>all_data!F28</f>
        <v>1</v>
      </c>
      <c r="H4">
        <f t="shared" si="1"/>
        <v>9.26</v>
      </c>
    </row>
    <row r="5" spans="1:8">
      <c r="A5">
        <f>all_data!A49</f>
        <v>47</v>
      </c>
      <c r="B5" t="str">
        <f>IF(D5&gt;0,all_data!B49,"")</f>
        <v>Hong Nga 1</v>
      </c>
      <c r="C5">
        <f>all_data!C49</f>
        <v>7</v>
      </c>
      <c r="D5">
        <f>all_data!D49</f>
        <v>6.165</v>
      </c>
      <c r="E5" s="5">
        <f t="shared" si="0"/>
        <v>0.88071428571428567</v>
      </c>
      <c r="F5">
        <f>all_data!F49</f>
        <v>200</v>
      </c>
      <c r="H5">
        <f t="shared" si="1"/>
        <v>6.165</v>
      </c>
    </row>
    <row r="6" spans="1:8">
      <c r="A6">
        <f>all_data!A45</f>
        <v>43</v>
      </c>
      <c r="B6" t="str">
        <f>IF(D6&gt;0,all_data!B45,"")</f>
        <v>Under Water</v>
      </c>
      <c r="C6">
        <f>all_data!C45</f>
        <v>10.8</v>
      </c>
      <c r="D6">
        <f>all_data!D45</f>
        <v>7.2779999999999996</v>
      </c>
      <c r="E6" s="5">
        <f t="shared" si="0"/>
        <v>0.67388888888888876</v>
      </c>
      <c r="F6">
        <f>all_data!F45</f>
        <v>1</v>
      </c>
      <c r="H6">
        <f t="shared" si="1"/>
        <v>0</v>
      </c>
    </row>
    <row r="7" spans="1:8">
      <c r="A7">
        <f>all_data!A55</f>
        <v>53</v>
      </c>
      <c r="B7" t="str">
        <f>IF(D7&gt;0,all_data!B55,"")</f>
        <v>Skipper</v>
      </c>
      <c r="C7">
        <f>all_data!C55</f>
        <v>9.1999999999999993</v>
      </c>
      <c r="D7">
        <f>all_data!D55</f>
        <v>3.5619999999999998</v>
      </c>
      <c r="E7" s="5">
        <f t="shared" si="0"/>
        <v>0.38717391304347826</v>
      </c>
      <c r="F7">
        <f>all_data!F55</f>
        <v>350</v>
      </c>
      <c r="H7">
        <f t="shared" si="1"/>
        <v>3.5619999999999998</v>
      </c>
    </row>
    <row r="8" spans="1:8">
      <c r="A8">
        <f>all_data!A39</f>
        <v>37</v>
      </c>
      <c r="B8" t="str">
        <f>IF(D8&gt;0,all_data!B39,"")</f>
        <v>sensor 2013</v>
      </c>
      <c r="C8">
        <f>all_data!C39</f>
        <v>10.1</v>
      </c>
      <c r="D8">
        <f>all_data!D39</f>
        <v>3.8</v>
      </c>
      <c r="E8" s="5">
        <f t="shared" si="0"/>
        <v>0.37623762376237624</v>
      </c>
      <c r="F8">
        <f>all_data!F39</f>
        <v>1</v>
      </c>
      <c r="H8">
        <f t="shared" si="1"/>
        <v>0</v>
      </c>
    </row>
    <row r="9" spans="1:8">
      <c r="A9">
        <f>all_data!A32</f>
        <v>30</v>
      </c>
      <c r="B9" t="str">
        <f>IF(D9&gt;0,all_data!B32,"")</f>
        <v>Mumie</v>
      </c>
      <c r="C9">
        <f>all_data!C32</f>
        <v>11.1</v>
      </c>
      <c r="D9">
        <f>all_data!D32</f>
        <v>3.669</v>
      </c>
      <c r="E9" s="5">
        <f t="shared" si="0"/>
        <v>0.33054054054054055</v>
      </c>
      <c r="F9">
        <f>all_data!F32</f>
        <v>1</v>
      </c>
      <c r="H9">
        <f t="shared" si="1"/>
        <v>0</v>
      </c>
    </row>
    <row r="10" spans="1:8">
      <c r="A10">
        <f>all_data!A40</f>
        <v>38</v>
      </c>
      <c r="B10" t="str">
        <f>IF(D10&gt;0,all_data!B40,"")</f>
        <v/>
      </c>
      <c r="C10">
        <f>all_data!C40</f>
        <v>9.9</v>
      </c>
      <c r="D10">
        <f>all_data!D40</f>
        <v>0</v>
      </c>
      <c r="E10" s="5">
        <f t="shared" si="0"/>
        <v>0</v>
      </c>
      <c r="F10">
        <f>all_data!F40</f>
        <v>1</v>
      </c>
      <c r="H10">
        <f t="shared" si="1"/>
        <v>0</v>
      </c>
    </row>
    <row r="11" spans="1:8">
      <c r="A11">
        <f>all_data!A117</f>
        <v>115</v>
      </c>
      <c r="B11" t="str">
        <f>IF(D11&gt;0,all_data!B117,"")</f>
        <v/>
      </c>
      <c r="C11">
        <f>all_data!C117</f>
        <v>8.6</v>
      </c>
      <c r="D11">
        <f>all_data!D117</f>
        <v>0</v>
      </c>
      <c r="E11" s="5">
        <f t="shared" si="0"/>
        <v>0</v>
      </c>
      <c r="F11">
        <f>all_data!F117</f>
        <v>2000</v>
      </c>
      <c r="H11">
        <f t="shared" si="1"/>
        <v>0</v>
      </c>
    </row>
    <row r="12" spans="1:8">
      <c r="A12">
        <f>all_data!A121</f>
        <v>119</v>
      </c>
      <c r="B12" t="str">
        <f>IF(D12&gt;0,all_data!B121,"")</f>
        <v/>
      </c>
      <c r="C12">
        <f>all_data!C121</f>
        <v>9.5</v>
      </c>
      <c r="D12">
        <f>all_data!D121</f>
        <v>0</v>
      </c>
      <c r="E12" s="5">
        <f t="shared" si="0"/>
        <v>0</v>
      </c>
      <c r="F12">
        <f>all_data!F121</f>
        <v>2000</v>
      </c>
      <c r="H12">
        <f t="shared" si="1"/>
        <v>0</v>
      </c>
    </row>
    <row r="13" spans="1:8">
      <c r="A13">
        <f>all_data!A118</f>
        <v>116</v>
      </c>
      <c r="B13" t="str">
        <f>IF(D13&gt;0,all_data!B118,"")</f>
        <v/>
      </c>
      <c r="C13">
        <f>all_data!C118</f>
        <v>10</v>
      </c>
      <c r="D13">
        <f>all_data!D118</f>
        <v>0</v>
      </c>
      <c r="E13" s="5">
        <f t="shared" si="0"/>
        <v>0</v>
      </c>
      <c r="F13">
        <f>all_data!F118</f>
        <v>2000</v>
      </c>
      <c r="H13">
        <f t="shared" si="1"/>
        <v>0</v>
      </c>
    </row>
    <row r="14" spans="1:8">
      <c r="A14">
        <f>all_data!A125</f>
        <v>123</v>
      </c>
      <c r="B14" t="str">
        <f>IF(D14&gt;0,all_data!B125,"")</f>
        <v/>
      </c>
      <c r="C14">
        <f>all_data!C125</f>
        <v>8.6999999999999993</v>
      </c>
      <c r="D14">
        <f>all_data!D125</f>
        <v>0</v>
      </c>
      <c r="E14" s="5">
        <f t="shared" si="0"/>
        <v>0</v>
      </c>
      <c r="F14">
        <f>all_data!F125</f>
        <v>2000</v>
      </c>
      <c r="H14">
        <f t="shared" si="1"/>
        <v>0</v>
      </c>
    </row>
    <row r="15" spans="1:8">
      <c r="A15">
        <f>all_data!A137</f>
        <v>135</v>
      </c>
      <c r="B15" t="str">
        <f>IF(D15&gt;0,all_data!B137,"")</f>
        <v/>
      </c>
      <c r="C15">
        <f>all_data!C137</f>
        <v>11</v>
      </c>
      <c r="D15">
        <f>all_data!D137</f>
        <v>0</v>
      </c>
      <c r="E15" s="5">
        <f t="shared" si="0"/>
        <v>0</v>
      </c>
      <c r="F15">
        <f>all_data!F137</f>
        <v>4500</v>
      </c>
      <c r="H15">
        <f t="shared" si="1"/>
        <v>0</v>
      </c>
    </row>
    <row r="16" spans="1:8">
      <c r="A16">
        <f>all_data!A76</f>
        <v>74</v>
      </c>
      <c r="B16" t="str">
        <f>IF(D16&gt;0,all_data!B76,"")</f>
        <v/>
      </c>
      <c r="C16">
        <f>all_data!C76</f>
        <v>9.9</v>
      </c>
      <c r="D16">
        <f>all_data!D76</f>
        <v>0</v>
      </c>
      <c r="E16" s="5">
        <f t="shared" si="0"/>
        <v>0</v>
      </c>
      <c r="F16">
        <f>all_data!F76</f>
        <v>1000</v>
      </c>
      <c r="H16">
        <f t="shared" si="1"/>
        <v>0</v>
      </c>
    </row>
    <row r="17" spans="1:11">
      <c r="A17">
        <f>all_data!A102</f>
        <v>100</v>
      </c>
      <c r="B17" t="str">
        <f>IF(D17&gt;0,all_data!B102,"")</f>
        <v/>
      </c>
      <c r="C17">
        <f>all_data!C102</f>
        <v>8.3000000000000007</v>
      </c>
      <c r="D17">
        <f>all_data!D102</f>
        <v>0</v>
      </c>
      <c r="E17" s="5">
        <f t="shared" si="0"/>
        <v>0</v>
      </c>
      <c r="F17">
        <f>all_data!F102</f>
        <v>1500</v>
      </c>
      <c r="H17">
        <f t="shared" si="1"/>
        <v>0</v>
      </c>
    </row>
    <row r="18" spans="1:11">
      <c r="A18">
        <f>all_data!A77</f>
        <v>75</v>
      </c>
      <c r="B18" t="str">
        <f>IF(D18&gt;0,all_data!B77,"")</f>
        <v/>
      </c>
      <c r="C18">
        <f>all_data!C77</f>
        <v>9.5</v>
      </c>
      <c r="D18">
        <f>all_data!D77</f>
        <v>0</v>
      </c>
      <c r="E18" s="5">
        <f t="shared" si="0"/>
        <v>0</v>
      </c>
      <c r="F18">
        <f>all_data!F77</f>
        <v>1000</v>
      </c>
      <c r="H18">
        <f t="shared" si="1"/>
        <v>0</v>
      </c>
      <c r="K18" t="s">
        <v>18</v>
      </c>
    </row>
    <row r="19" spans="1:11">
      <c r="A19">
        <f>all_data!A108</f>
        <v>106</v>
      </c>
      <c r="B19" t="str">
        <f>IF(D19&gt;0,all_data!B108,"")</f>
        <v/>
      </c>
      <c r="C19">
        <f>all_data!C108</f>
        <v>10.199999999999999</v>
      </c>
      <c r="D19">
        <f>all_data!D108</f>
        <v>0</v>
      </c>
      <c r="E19" s="5">
        <f t="shared" si="0"/>
        <v>0</v>
      </c>
      <c r="F19">
        <f>all_data!F108</f>
        <v>1800</v>
      </c>
      <c r="H19">
        <f t="shared" si="1"/>
        <v>0</v>
      </c>
    </row>
    <row r="20" spans="1:11">
      <c r="A20">
        <f>all_data!A126</f>
        <v>124</v>
      </c>
      <c r="B20" t="str">
        <f>IF(D20&gt;0,all_data!B126,"")</f>
        <v/>
      </c>
      <c r="C20">
        <f>all_data!C126</f>
        <v>10</v>
      </c>
      <c r="D20">
        <f>all_data!D126</f>
        <v>0</v>
      </c>
      <c r="E20" s="5">
        <f t="shared" si="0"/>
        <v>0</v>
      </c>
      <c r="F20">
        <f>all_data!F126</f>
        <v>2100</v>
      </c>
      <c r="H20">
        <f t="shared" si="1"/>
        <v>0</v>
      </c>
    </row>
    <row r="21" spans="1:11">
      <c r="A21">
        <f>all_data!A105</f>
        <v>103</v>
      </c>
      <c r="B21" t="str">
        <f>IF(D21&gt;0,all_data!B105,"")</f>
        <v/>
      </c>
      <c r="C21">
        <f>all_data!C105</f>
        <v>9.8000000000000007</v>
      </c>
      <c r="D21">
        <f>all_data!D105</f>
        <v>0</v>
      </c>
      <c r="E21" s="5">
        <f t="shared" si="0"/>
        <v>0</v>
      </c>
      <c r="F21">
        <f>all_data!F105</f>
        <v>1673</v>
      </c>
      <c r="H21">
        <f t="shared" si="1"/>
        <v>0</v>
      </c>
    </row>
    <row r="22" spans="1:11">
      <c r="A22">
        <f>all_data!A113</f>
        <v>111</v>
      </c>
      <c r="B22" t="str">
        <f>IF(D22&gt;0,all_data!B113,"")</f>
        <v/>
      </c>
      <c r="C22">
        <f>all_data!C113</f>
        <v>9.6999999999999993</v>
      </c>
      <c r="D22">
        <f>all_data!D113</f>
        <v>0</v>
      </c>
      <c r="E22" s="5">
        <f t="shared" si="0"/>
        <v>0</v>
      </c>
      <c r="F22">
        <f>all_data!F113</f>
        <v>2000</v>
      </c>
      <c r="H22">
        <f t="shared" si="1"/>
        <v>0</v>
      </c>
    </row>
    <row r="23" spans="1:11">
      <c r="A23">
        <f>all_data!A104</f>
        <v>102</v>
      </c>
      <c r="B23" t="str">
        <f>IF(D23&gt;0,all_data!B104,"")</f>
        <v/>
      </c>
      <c r="C23">
        <f>all_data!C104</f>
        <v>9.9</v>
      </c>
      <c r="D23">
        <f>all_data!D104</f>
        <v>0</v>
      </c>
      <c r="E23" s="5">
        <f t="shared" si="0"/>
        <v>0</v>
      </c>
      <c r="F23">
        <f>all_data!F104</f>
        <v>1600</v>
      </c>
      <c r="H23">
        <f t="shared" si="1"/>
        <v>0</v>
      </c>
    </row>
    <row r="24" spans="1:11">
      <c r="A24">
        <f>all_data!A106</f>
        <v>104</v>
      </c>
      <c r="B24" t="str">
        <f>IF(D24&gt;0,all_data!B106,"")</f>
        <v/>
      </c>
      <c r="C24">
        <f>all_data!C106</f>
        <v>9.6999999999999993</v>
      </c>
      <c r="D24">
        <f>all_data!D106</f>
        <v>0</v>
      </c>
      <c r="E24" s="5">
        <f t="shared" si="0"/>
        <v>0</v>
      </c>
      <c r="F24">
        <f>all_data!F106</f>
        <v>1700</v>
      </c>
      <c r="H24">
        <f t="shared" si="1"/>
        <v>0</v>
      </c>
    </row>
    <row r="25" spans="1:11">
      <c r="A25">
        <f>all_data!A124</f>
        <v>122</v>
      </c>
      <c r="B25" t="str">
        <f>IF(D25&gt;0,all_data!B124,"")</f>
        <v/>
      </c>
      <c r="C25">
        <f>all_data!C124</f>
        <v>9.8000000000000007</v>
      </c>
      <c r="D25">
        <f>all_data!D124</f>
        <v>0</v>
      </c>
      <c r="E25" s="5">
        <f t="shared" si="0"/>
        <v>0</v>
      </c>
      <c r="F25">
        <f>all_data!F124</f>
        <v>2000</v>
      </c>
      <c r="H25">
        <f t="shared" si="1"/>
        <v>0</v>
      </c>
    </row>
    <row r="26" spans="1:11">
      <c r="A26">
        <f>all_data!A112</f>
        <v>110</v>
      </c>
      <c r="B26" t="str">
        <f>IF(D26&gt;0,all_data!B112,"")</f>
        <v/>
      </c>
      <c r="C26">
        <f>all_data!C112</f>
        <v>9.6</v>
      </c>
      <c r="D26">
        <f>all_data!D112</f>
        <v>0</v>
      </c>
      <c r="E26" s="5">
        <f t="shared" si="0"/>
        <v>0</v>
      </c>
      <c r="F26">
        <f>all_data!F112</f>
        <v>2000</v>
      </c>
      <c r="H26">
        <f t="shared" si="1"/>
        <v>0</v>
      </c>
    </row>
    <row r="27" spans="1:11">
      <c r="A27">
        <f>all_data!A131</f>
        <v>129</v>
      </c>
      <c r="B27" t="str">
        <f>IF(D27&gt;0,all_data!B131,"")</f>
        <v/>
      </c>
      <c r="C27">
        <f>all_data!C131</f>
        <v>9.4</v>
      </c>
      <c r="D27">
        <f>all_data!D131</f>
        <v>0</v>
      </c>
      <c r="E27" s="5">
        <f t="shared" si="0"/>
        <v>0</v>
      </c>
      <c r="F27">
        <f>all_data!F131</f>
        <v>2700</v>
      </c>
      <c r="H27">
        <f t="shared" si="1"/>
        <v>0</v>
      </c>
    </row>
    <row r="28" spans="1:11">
      <c r="A28">
        <f>all_data!A51</f>
        <v>49</v>
      </c>
      <c r="B28" t="str">
        <f>IF(D28&gt;0,all_data!B51,"")</f>
        <v/>
      </c>
      <c r="C28">
        <f>all_data!C51</f>
        <v>8.9</v>
      </c>
      <c r="D28">
        <f>all_data!D51</f>
        <v>0</v>
      </c>
      <c r="E28" s="5">
        <f t="shared" si="0"/>
        <v>0</v>
      </c>
      <c r="F28">
        <f>all_data!F51</f>
        <v>200</v>
      </c>
      <c r="H28">
        <f t="shared" si="1"/>
        <v>0</v>
      </c>
    </row>
    <row r="29" spans="1:11">
      <c r="A29">
        <f>all_data!A130</f>
        <v>128</v>
      </c>
      <c r="B29" t="str">
        <f>IF(D29&gt;0,all_data!B130,"")</f>
        <v/>
      </c>
      <c r="C29">
        <f>all_data!C130</f>
        <v>9.8000000000000007</v>
      </c>
      <c r="D29">
        <f>all_data!D130</f>
        <v>0</v>
      </c>
      <c r="E29" s="5">
        <f t="shared" si="0"/>
        <v>0</v>
      </c>
      <c r="F29">
        <f>all_data!F130</f>
        <v>2500</v>
      </c>
      <c r="H29">
        <f t="shared" si="1"/>
        <v>0</v>
      </c>
    </row>
    <row r="30" spans="1:11">
      <c r="A30">
        <f>all_data!A82</f>
        <v>80</v>
      </c>
      <c r="B30" t="str">
        <f>IF(D30&gt;0,all_data!B82,"")</f>
        <v/>
      </c>
      <c r="C30">
        <f>all_data!C82</f>
        <v>4.0999999999999996</v>
      </c>
      <c r="D30">
        <f>all_data!D82</f>
        <v>0</v>
      </c>
      <c r="E30" s="5">
        <f t="shared" si="0"/>
        <v>0</v>
      </c>
      <c r="F30">
        <f>all_data!F82</f>
        <v>1000</v>
      </c>
      <c r="H30">
        <f t="shared" si="1"/>
        <v>0</v>
      </c>
    </row>
    <row r="31" spans="1:11">
      <c r="A31">
        <f>all_data!A115</f>
        <v>113</v>
      </c>
      <c r="B31" t="str">
        <f>IF(D31&gt;0,all_data!B115,"")</f>
        <v/>
      </c>
      <c r="C31">
        <f>all_data!C115</f>
        <v>8.1999999999999993</v>
      </c>
      <c r="D31">
        <f>all_data!D115</f>
        <v>0</v>
      </c>
      <c r="E31" s="5">
        <f t="shared" si="0"/>
        <v>0</v>
      </c>
      <c r="F31">
        <f>all_data!F115</f>
        <v>2000</v>
      </c>
      <c r="H31">
        <f t="shared" si="1"/>
        <v>0</v>
      </c>
    </row>
    <row r="32" spans="1:11">
      <c r="A32">
        <f>all_data!A73</f>
        <v>71</v>
      </c>
      <c r="B32" t="str">
        <f>IF(D32&gt;0,all_data!B73,"")</f>
        <v/>
      </c>
      <c r="C32">
        <f>all_data!C73</f>
        <v>5.0999999999999996</v>
      </c>
      <c r="D32">
        <f>all_data!D73</f>
        <v>0</v>
      </c>
      <c r="E32" s="5">
        <f t="shared" si="0"/>
        <v>0</v>
      </c>
      <c r="F32">
        <f>all_data!F73</f>
        <v>950</v>
      </c>
      <c r="H32">
        <f t="shared" si="1"/>
        <v>0</v>
      </c>
    </row>
    <row r="33" spans="1:8">
      <c r="A33">
        <f>all_data!A134</f>
        <v>132</v>
      </c>
      <c r="B33" t="str">
        <f>IF(D33&gt;0,all_data!B134,"")</f>
        <v/>
      </c>
      <c r="C33">
        <f>all_data!C134</f>
        <v>10</v>
      </c>
      <c r="D33">
        <f>all_data!D134</f>
        <v>0</v>
      </c>
      <c r="E33" s="5">
        <f t="shared" si="0"/>
        <v>0</v>
      </c>
      <c r="F33">
        <f>all_data!F134</f>
        <v>3200</v>
      </c>
      <c r="H33">
        <f t="shared" si="1"/>
        <v>0</v>
      </c>
    </row>
    <row r="34" spans="1:8">
      <c r="A34">
        <f>all_data!A62</f>
        <v>60</v>
      </c>
      <c r="B34" t="str">
        <f>IF(D34&gt;0,all_data!B62,"")</f>
        <v/>
      </c>
      <c r="C34">
        <f>all_data!C62</f>
        <v>5.3</v>
      </c>
      <c r="D34">
        <f>all_data!D62</f>
        <v>0</v>
      </c>
      <c r="E34" s="5">
        <f t="shared" si="0"/>
        <v>0</v>
      </c>
      <c r="F34">
        <f>all_data!F62</f>
        <v>660</v>
      </c>
      <c r="H34">
        <f t="shared" si="1"/>
        <v>0</v>
      </c>
    </row>
    <row r="35" spans="1:8">
      <c r="A35">
        <f>all_data!A107</f>
        <v>105</v>
      </c>
      <c r="B35" t="str">
        <f>IF(D35&gt;0,all_data!B107,"")</f>
        <v/>
      </c>
      <c r="C35">
        <f>all_data!C107</f>
        <v>9.6999999999999993</v>
      </c>
      <c r="D35">
        <f>all_data!D107</f>
        <v>0</v>
      </c>
      <c r="E35" s="5">
        <f t="shared" si="0"/>
        <v>0</v>
      </c>
      <c r="F35">
        <f>all_data!F107</f>
        <v>1700</v>
      </c>
      <c r="H35">
        <f t="shared" si="1"/>
        <v>0</v>
      </c>
    </row>
    <row r="36" spans="1:8">
      <c r="A36">
        <f>all_data!A100</f>
        <v>98</v>
      </c>
      <c r="B36" t="str">
        <f>IF(D36&gt;0,all_data!B100,"")</f>
        <v/>
      </c>
      <c r="C36">
        <f>all_data!C100</f>
        <v>9.5</v>
      </c>
      <c r="D36">
        <f>all_data!D100</f>
        <v>0</v>
      </c>
      <c r="E36" s="5">
        <f t="shared" si="0"/>
        <v>0</v>
      </c>
      <c r="F36">
        <f>all_data!F100</f>
        <v>1400</v>
      </c>
      <c r="H36">
        <f t="shared" si="1"/>
        <v>0</v>
      </c>
    </row>
    <row r="37" spans="1:8">
      <c r="A37">
        <f>all_data!A110</f>
        <v>108</v>
      </c>
      <c r="B37" t="str">
        <f>IF(D37&gt;0,all_data!B110,"")</f>
        <v/>
      </c>
      <c r="C37">
        <f>all_data!C110</f>
        <v>9.8000000000000007</v>
      </c>
      <c r="D37">
        <f>all_data!D110</f>
        <v>0</v>
      </c>
      <c r="E37" s="5">
        <f t="shared" si="0"/>
        <v>0</v>
      </c>
      <c r="F37">
        <f>all_data!F110</f>
        <v>1863</v>
      </c>
      <c r="H37">
        <f t="shared" si="1"/>
        <v>0</v>
      </c>
    </row>
    <row r="38" spans="1:8">
      <c r="A38">
        <f>all_data!A80</f>
        <v>78</v>
      </c>
      <c r="B38" t="str">
        <f>IF(D38&gt;0,all_data!B80,"")</f>
        <v/>
      </c>
      <c r="C38">
        <f>all_data!C80</f>
        <v>9.5</v>
      </c>
      <c r="D38">
        <f>all_data!D80</f>
        <v>0</v>
      </c>
      <c r="E38" s="5">
        <f t="shared" si="0"/>
        <v>0</v>
      </c>
      <c r="F38">
        <f>all_data!F80</f>
        <v>1000</v>
      </c>
      <c r="H38">
        <f t="shared" si="1"/>
        <v>0</v>
      </c>
    </row>
    <row r="39" spans="1:8">
      <c r="A39">
        <f>all_data!A94</f>
        <v>92</v>
      </c>
      <c r="B39" t="str">
        <f>IF(D39&gt;0,all_data!B94,"")</f>
        <v/>
      </c>
      <c r="C39">
        <f>all_data!C94</f>
        <v>10.5</v>
      </c>
      <c r="D39">
        <f>all_data!D94</f>
        <v>0</v>
      </c>
      <c r="E39" s="5">
        <f t="shared" si="0"/>
        <v>0</v>
      </c>
      <c r="F39">
        <f>all_data!F94</f>
        <v>1300</v>
      </c>
      <c r="H39">
        <f t="shared" si="1"/>
        <v>0</v>
      </c>
    </row>
    <row r="40" spans="1:8">
      <c r="A40">
        <f>all_data!A123</f>
        <v>121</v>
      </c>
      <c r="B40" t="str">
        <f>IF(D40&gt;0,all_data!B123,"")</f>
        <v/>
      </c>
      <c r="C40">
        <f>all_data!C123</f>
        <v>8.1999999999999993</v>
      </c>
      <c r="D40">
        <f>all_data!D123</f>
        <v>0</v>
      </c>
      <c r="E40" s="5">
        <f t="shared" si="0"/>
        <v>0</v>
      </c>
      <c r="F40">
        <f>all_data!F123</f>
        <v>2000</v>
      </c>
      <c r="H40">
        <f t="shared" si="1"/>
        <v>0</v>
      </c>
    </row>
    <row r="41" spans="1:8">
      <c r="A41">
        <f>all_data!A129</f>
        <v>127</v>
      </c>
      <c r="B41" t="str">
        <f>IF(D41&gt;0,all_data!B129,"")</f>
        <v/>
      </c>
      <c r="C41">
        <f>all_data!C129</f>
        <v>9.5</v>
      </c>
      <c r="D41">
        <f>all_data!D129</f>
        <v>0</v>
      </c>
      <c r="E41" s="5">
        <f t="shared" si="0"/>
        <v>0</v>
      </c>
      <c r="F41">
        <f>all_data!F129</f>
        <v>2250</v>
      </c>
      <c r="H41">
        <f t="shared" si="1"/>
        <v>0</v>
      </c>
    </row>
    <row r="42" spans="1:8">
      <c r="A42">
        <f>all_data!A128</f>
        <v>126</v>
      </c>
      <c r="B42" t="str">
        <f>IF(D42&gt;0,all_data!B128,"")</f>
        <v/>
      </c>
      <c r="C42">
        <f>all_data!C128</f>
        <v>9.4</v>
      </c>
      <c r="D42">
        <f>all_data!D128</f>
        <v>0</v>
      </c>
      <c r="E42" s="5">
        <f t="shared" si="0"/>
        <v>0</v>
      </c>
      <c r="F42">
        <f>all_data!F128</f>
        <v>2225</v>
      </c>
      <c r="H42">
        <f t="shared" si="1"/>
        <v>0</v>
      </c>
    </row>
    <row r="43" spans="1:8">
      <c r="A43">
        <f>all_data!A79</f>
        <v>77</v>
      </c>
      <c r="B43" t="str">
        <f>IF(D43&gt;0,all_data!B79,"")</f>
        <v/>
      </c>
      <c r="C43">
        <f>all_data!C79</f>
        <v>9.1999999999999993</v>
      </c>
      <c r="D43">
        <f>all_data!D79</f>
        <v>0</v>
      </c>
      <c r="E43" s="5">
        <f t="shared" si="0"/>
        <v>0</v>
      </c>
      <c r="F43">
        <f>all_data!F79</f>
        <v>1000</v>
      </c>
      <c r="H43">
        <f t="shared" si="1"/>
        <v>0</v>
      </c>
    </row>
    <row r="44" spans="1:8">
      <c r="A44">
        <f>all_data!A93</f>
        <v>91</v>
      </c>
      <c r="B44" t="str">
        <f>IF(D44&gt;0,all_data!B93,"")</f>
        <v/>
      </c>
      <c r="C44">
        <f>all_data!C93</f>
        <v>10</v>
      </c>
      <c r="D44">
        <f>all_data!D93</f>
        <v>0</v>
      </c>
      <c r="E44" s="5">
        <f t="shared" si="0"/>
        <v>0</v>
      </c>
      <c r="F44">
        <f>all_data!F93</f>
        <v>1200</v>
      </c>
      <c r="H44">
        <f t="shared" si="1"/>
        <v>0</v>
      </c>
    </row>
    <row r="45" spans="1:8">
      <c r="A45">
        <f>all_data!A109</f>
        <v>107</v>
      </c>
      <c r="B45" t="str">
        <f>IF(D45&gt;0,all_data!B109,"")</f>
        <v/>
      </c>
      <c r="C45">
        <f>all_data!C109</f>
        <v>9.4</v>
      </c>
      <c r="D45">
        <f>all_data!D109</f>
        <v>0</v>
      </c>
      <c r="E45" s="5">
        <f t="shared" si="0"/>
        <v>0</v>
      </c>
      <c r="F45">
        <f>all_data!F109</f>
        <v>1800</v>
      </c>
      <c r="H45">
        <f t="shared" si="1"/>
        <v>0</v>
      </c>
    </row>
    <row r="46" spans="1:8">
      <c r="A46">
        <f>all_data!A97</f>
        <v>95</v>
      </c>
      <c r="B46" t="str">
        <f>IF(D46&gt;0,all_data!B97,"")</f>
        <v/>
      </c>
      <c r="C46">
        <f>all_data!C97</f>
        <v>9.1999999999999993</v>
      </c>
      <c r="D46">
        <f>all_data!D97</f>
        <v>0</v>
      </c>
      <c r="E46" s="5">
        <f t="shared" si="0"/>
        <v>0</v>
      </c>
      <c r="F46">
        <f>all_data!F97</f>
        <v>1353</v>
      </c>
      <c r="H46">
        <f t="shared" si="1"/>
        <v>0</v>
      </c>
    </row>
    <row r="47" spans="1:8">
      <c r="A47">
        <f>all_data!A111</f>
        <v>109</v>
      </c>
      <c r="B47" t="str">
        <f>IF(D47&gt;0,all_data!B111,"")</f>
        <v/>
      </c>
      <c r="C47">
        <f>all_data!C111</f>
        <v>9.8000000000000007</v>
      </c>
      <c r="D47">
        <f>all_data!D111</f>
        <v>0</v>
      </c>
      <c r="E47" s="5">
        <f t="shared" si="0"/>
        <v>0</v>
      </c>
      <c r="F47">
        <f>all_data!F111</f>
        <v>1900</v>
      </c>
      <c r="H47">
        <f t="shared" si="1"/>
        <v>0</v>
      </c>
    </row>
    <row r="48" spans="1:8">
      <c r="A48">
        <f>all_data!A83</f>
        <v>81</v>
      </c>
      <c r="B48" t="str">
        <f>IF(D48&gt;0,all_data!B83,"")</f>
        <v/>
      </c>
      <c r="C48">
        <f>all_data!C83</f>
        <v>10</v>
      </c>
      <c r="D48">
        <f>all_data!D83</f>
        <v>0</v>
      </c>
      <c r="E48" s="5">
        <f t="shared" si="0"/>
        <v>0</v>
      </c>
      <c r="F48">
        <f>all_data!F83</f>
        <v>1000</v>
      </c>
      <c r="H48">
        <f t="shared" si="1"/>
        <v>0</v>
      </c>
    </row>
    <row r="49" spans="1:11">
      <c r="A49">
        <f>all_data!A47</f>
        <v>45</v>
      </c>
      <c r="B49" t="str">
        <f>IF(D49&gt;0,all_data!B47,"")</f>
        <v/>
      </c>
      <c r="C49">
        <f>all_data!C47</f>
        <v>1.4</v>
      </c>
      <c r="D49">
        <f>all_data!D47</f>
        <v>0</v>
      </c>
      <c r="E49" s="5">
        <f t="shared" si="0"/>
        <v>0</v>
      </c>
      <c r="F49">
        <f>all_data!F47</f>
        <v>8</v>
      </c>
      <c r="H49">
        <f t="shared" si="1"/>
        <v>0</v>
      </c>
    </row>
    <row r="50" spans="1:11">
      <c r="A50">
        <f>all_data!A99</f>
        <v>97</v>
      </c>
      <c r="B50" t="str">
        <f>IF(D50&gt;0,all_data!B99,"")</f>
        <v/>
      </c>
      <c r="C50">
        <f>all_data!C99</f>
        <v>8.6999999999999993</v>
      </c>
      <c r="D50">
        <f>all_data!D99</f>
        <v>0</v>
      </c>
      <c r="E50" s="5">
        <f t="shared" si="0"/>
        <v>0</v>
      </c>
      <c r="F50">
        <f>all_data!F99</f>
        <v>1400</v>
      </c>
      <c r="H50">
        <f t="shared" si="1"/>
        <v>0</v>
      </c>
    </row>
    <row r="51" spans="1:11">
      <c r="A51">
        <f>all_data!A72</f>
        <v>70</v>
      </c>
      <c r="B51" t="str">
        <f>IF(D51&gt;0,all_data!B72,"")</f>
        <v/>
      </c>
      <c r="C51">
        <f>all_data!C72</f>
        <v>6</v>
      </c>
      <c r="D51">
        <f>all_data!D72</f>
        <v>0</v>
      </c>
      <c r="E51" s="5">
        <f t="shared" si="0"/>
        <v>0</v>
      </c>
      <c r="F51">
        <f>all_data!F72</f>
        <v>900</v>
      </c>
      <c r="H51">
        <f t="shared" si="1"/>
        <v>0</v>
      </c>
    </row>
    <row r="52" spans="1:11">
      <c r="A52">
        <f>all_data!A95</f>
        <v>93</v>
      </c>
      <c r="B52" t="str">
        <f>IF(D52&gt;0,all_data!B95,"")</f>
        <v/>
      </c>
      <c r="C52">
        <f>all_data!C95</f>
        <v>5.3</v>
      </c>
      <c r="D52">
        <f>all_data!D95</f>
        <v>0</v>
      </c>
      <c r="E52" s="5">
        <f t="shared" si="0"/>
        <v>0</v>
      </c>
      <c r="F52">
        <f>all_data!F95</f>
        <v>1300</v>
      </c>
      <c r="H52">
        <f t="shared" si="1"/>
        <v>0</v>
      </c>
    </row>
    <row r="53" spans="1:11">
      <c r="A53">
        <f>all_data!A120</f>
        <v>118</v>
      </c>
      <c r="B53" t="str">
        <f>IF(D53&gt;0,all_data!B120,"")</f>
        <v/>
      </c>
      <c r="C53">
        <f>all_data!C120</f>
        <v>10.199999999999999</v>
      </c>
      <c r="D53">
        <f>all_data!D120</f>
        <v>0</v>
      </c>
      <c r="E53" s="5">
        <f t="shared" si="0"/>
        <v>0</v>
      </c>
      <c r="F53">
        <f>all_data!F120</f>
        <v>2000</v>
      </c>
      <c r="H53">
        <f t="shared" si="1"/>
        <v>0</v>
      </c>
    </row>
    <row r="54" spans="1:11">
      <c r="A54">
        <f>all_data!A89</f>
        <v>87</v>
      </c>
      <c r="B54" t="str">
        <f>IF(D54&gt;0,all_data!B89,"")</f>
        <v/>
      </c>
      <c r="C54">
        <f>all_data!C89</f>
        <v>9.6999999999999993</v>
      </c>
      <c r="D54">
        <f>all_data!D89</f>
        <v>0</v>
      </c>
      <c r="E54" s="5">
        <f t="shared" si="0"/>
        <v>0</v>
      </c>
      <c r="F54">
        <f>all_data!F89</f>
        <v>1000</v>
      </c>
      <c r="H54">
        <f t="shared" si="1"/>
        <v>0</v>
      </c>
    </row>
    <row r="55" spans="1:11">
      <c r="A55">
        <f>all_data!A116</f>
        <v>114</v>
      </c>
      <c r="B55" t="str">
        <f>IF(D55&gt;0,all_data!B116,"")</f>
        <v/>
      </c>
      <c r="C55">
        <f>all_data!C116</f>
        <v>9.8000000000000007</v>
      </c>
      <c r="D55">
        <f>all_data!D116</f>
        <v>0</v>
      </c>
      <c r="E55" s="5">
        <f t="shared" si="0"/>
        <v>0</v>
      </c>
      <c r="F55">
        <f>all_data!F116</f>
        <v>2000</v>
      </c>
      <c r="H55">
        <f t="shared" si="1"/>
        <v>0</v>
      </c>
    </row>
    <row r="56" spans="1:11">
      <c r="A56">
        <f>all_data!A114</f>
        <v>112</v>
      </c>
      <c r="B56" t="str">
        <f>IF(D56&gt;0,all_data!B114,"")</f>
        <v/>
      </c>
      <c r="C56">
        <f>all_data!C114</f>
        <v>10.5</v>
      </c>
      <c r="D56">
        <f>all_data!D114</f>
        <v>0</v>
      </c>
      <c r="E56" s="5">
        <f t="shared" si="0"/>
        <v>0</v>
      </c>
      <c r="F56">
        <f>all_data!F114</f>
        <v>2000</v>
      </c>
      <c r="H56">
        <f t="shared" si="1"/>
        <v>0</v>
      </c>
    </row>
    <row r="57" spans="1:11">
      <c r="A57">
        <f>all_data!A92</f>
        <v>90</v>
      </c>
      <c r="B57" t="str">
        <f>IF(D57&gt;0,all_data!B92,"")</f>
        <v/>
      </c>
      <c r="C57">
        <f>all_data!C92</f>
        <v>14</v>
      </c>
      <c r="D57">
        <f>all_data!D92</f>
        <v>0</v>
      </c>
      <c r="E57" s="5">
        <f t="shared" si="0"/>
        <v>0</v>
      </c>
      <c r="F57">
        <f>all_data!F92</f>
        <v>1200</v>
      </c>
      <c r="H57">
        <f t="shared" si="1"/>
        <v>0</v>
      </c>
    </row>
    <row r="58" spans="1:11">
      <c r="A58">
        <f>all_data!A119</f>
        <v>117</v>
      </c>
      <c r="B58" t="str">
        <f>IF(D58&gt;0,all_data!B119,"")</f>
        <v/>
      </c>
      <c r="C58">
        <f>all_data!C119</f>
        <v>8.6999999999999993</v>
      </c>
      <c r="D58">
        <f>all_data!D119</f>
        <v>0</v>
      </c>
      <c r="E58" s="5">
        <f t="shared" si="0"/>
        <v>0</v>
      </c>
      <c r="F58">
        <f>all_data!F119</f>
        <v>2000</v>
      </c>
      <c r="H58">
        <f t="shared" si="1"/>
        <v>0</v>
      </c>
    </row>
    <row r="59" spans="1:11">
      <c r="A59">
        <f>all_data!A81</f>
        <v>79</v>
      </c>
      <c r="B59" t="str">
        <f>IF(D59&gt;0,all_data!B81,"")</f>
        <v/>
      </c>
      <c r="C59">
        <f>all_data!C81</f>
        <v>7.4</v>
      </c>
      <c r="D59">
        <f>all_data!D81</f>
        <v>0</v>
      </c>
      <c r="E59" s="5">
        <f t="shared" si="0"/>
        <v>0</v>
      </c>
      <c r="F59">
        <f>all_data!F81</f>
        <v>1000</v>
      </c>
      <c r="H59">
        <f t="shared" si="1"/>
        <v>0</v>
      </c>
    </row>
    <row r="60" spans="1:11">
      <c r="A60">
        <f>all_data!A78</f>
        <v>76</v>
      </c>
      <c r="B60" t="str">
        <f>IF(D60&gt;0,all_data!B78,"")</f>
        <v/>
      </c>
      <c r="C60">
        <f>all_data!C78</f>
        <v>9.6999999999999993</v>
      </c>
      <c r="D60">
        <f>all_data!D78</f>
        <v>0</v>
      </c>
      <c r="E60" s="5">
        <f t="shared" si="0"/>
        <v>0</v>
      </c>
      <c r="F60">
        <f>all_data!F78</f>
        <v>1000</v>
      </c>
      <c r="H60">
        <f t="shared" si="1"/>
        <v>0</v>
      </c>
    </row>
    <row r="61" spans="1:11">
      <c r="A61">
        <f>all_data!A98</f>
        <v>96</v>
      </c>
      <c r="B61" t="str">
        <f>IF(D61&gt;0,all_data!B98,"")</f>
        <v/>
      </c>
      <c r="C61">
        <f>all_data!C98</f>
        <v>9.6</v>
      </c>
      <c r="D61">
        <f>all_data!D98</f>
        <v>0</v>
      </c>
      <c r="E61" s="5">
        <f t="shared" si="0"/>
        <v>0</v>
      </c>
      <c r="F61">
        <f>all_data!F98</f>
        <v>1397</v>
      </c>
      <c r="H61">
        <f t="shared" si="1"/>
        <v>0</v>
      </c>
      <c r="K61" t="s">
        <v>18</v>
      </c>
    </row>
    <row r="62" spans="1:11">
      <c r="A62">
        <f>all_data!A88</f>
        <v>86</v>
      </c>
      <c r="B62" t="str">
        <f>IF(D62&gt;0,all_data!B88,"")</f>
        <v/>
      </c>
      <c r="C62">
        <f>all_data!C88</f>
        <v>8.9</v>
      </c>
      <c r="D62">
        <f>all_data!D88</f>
        <v>0</v>
      </c>
      <c r="E62" s="5">
        <f t="shared" si="0"/>
        <v>0</v>
      </c>
      <c r="F62">
        <f>all_data!F88</f>
        <v>1000</v>
      </c>
      <c r="H62">
        <f t="shared" si="1"/>
        <v>0</v>
      </c>
    </row>
    <row r="63" spans="1:11">
      <c r="A63">
        <f>all_data!A90</f>
        <v>88</v>
      </c>
      <c r="B63" t="str">
        <f>IF(D63&gt;0,all_data!B90,"")</f>
        <v/>
      </c>
      <c r="C63">
        <f>all_data!C90</f>
        <v>9.6999999999999993</v>
      </c>
      <c r="D63">
        <f>all_data!D90</f>
        <v>0</v>
      </c>
      <c r="E63" s="5">
        <f t="shared" si="0"/>
        <v>0</v>
      </c>
      <c r="F63">
        <f>all_data!F90</f>
        <v>1000</v>
      </c>
      <c r="H63">
        <f t="shared" si="1"/>
        <v>0</v>
      </c>
    </row>
    <row r="64" spans="1:11">
      <c r="A64">
        <f>all_data!A24</f>
        <v>22</v>
      </c>
      <c r="B64" t="str">
        <f>IF(D64&gt;0,all_data!B24,"")</f>
        <v/>
      </c>
      <c r="C64">
        <f>all_data!C24</f>
        <v>5.3</v>
      </c>
      <c r="D64">
        <f>all_data!D24</f>
        <v>0</v>
      </c>
      <c r="E64" s="5">
        <f t="shared" si="0"/>
        <v>0</v>
      </c>
      <c r="F64">
        <f>all_data!F24</f>
        <v>1</v>
      </c>
      <c r="H64">
        <f t="shared" si="1"/>
        <v>0</v>
      </c>
      <c r="K64" t="s">
        <v>18</v>
      </c>
    </row>
    <row r="65" spans="1:11">
      <c r="A65">
        <f>all_data!A37</f>
        <v>35</v>
      </c>
      <c r="B65" t="str">
        <f>IF(D65&gt;0,all_data!B37,"")</f>
        <v/>
      </c>
      <c r="C65">
        <f>all_data!C37</f>
        <v>9.4</v>
      </c>
      <c r="D65">
        <f>all_data!D37</f>
        <v>0</v>
      </c>
      <c r="E65" s="5">
        <f t="shared" si="0"/>
        <v>0</v>
      </c>
      <c r="F65">
        <f>all_data!F37</f>
        <v>1</v>
      </c>
      <c r="H65">
        <f t="shared" si="1"/>
        <v>0</v>
      </c>
      <c r="K65" t="s">
        <v>18</v>
      </c>
    </row>
    <row r="66" spans="1:11">
      <c r="A66">
        <f>all_data!A122</f>
        <v>120</v>
      </c>
      <c r="B66" t="str">
        <f>IF(D66&gt;0,all_data!B122,"")</f>
        <v/>
      </c>
      <c r="C66">
        <f>all_data!C122</f>
        <v>8.3000000000000007</v>
      </c>
      <c r="D66">
        <f>all_data!D122</f>
        <v>0</v>
      </c>
      <c r="E66" s="5">
        <f t="shared" si="0"/>
        <v>0</v>
      </c>
      <c r="F66">
        <f>all_data!F122</f>
        <v>2000</v>
      </c>
      <c r="H66">
        <f t="shared" si="1"/>
        <v>0</v>
      </c>
      <c r="K66" t="s">
        <v>18</v>
      </c>
    </row>
    <row r="67" spans="1:11">
      <c r="A67">
        <f>all_data!A12</f>
        <v>10</v>
      </c>
      <c r="B67" t="str">
        <f>IF(D67&gt;0,all_data!B12,"")</f>
        <v/>
      </c>
      <c r="C67">
        <f>all_data!C12</f>
        <v>10</v>
      </c>
      <c r="D67">
        <f>all_data!D12</f>
        <v>0</v>
      </c>
      <c r="E67" s="5">
        <f t="shared" ref="E67:E130" si="2">IF(D67&lt;=0,,D67/C67)</f>
        <v>0</v>
      </c>
      <c r="F67">
        <f>all_data!F12</f>
        <v>1</v>
      </c>
      <c r="H67">
        <f t="shared" ref="H67:H130" si="3">IF(C67&lt;=10,D67,0)</f>
        <v>0</v>
      </c>
    </row>
    <row r="68" spans="1:11">
      <c r="A68">
        <f>all_data!A86</f>
        <v>84</v>
      </c>
      <c r="B68" t="str">
        <f>IF(D68&gt;0,all_data!B86,"")</f>
        <v/>
      </c>
      <c r="C68">
        <f>all_data!C86</f>
        <v>10</v>
      </c>
      <c r="D68">
        <f>all_data!D86</f>
        <v>0</v>
      </c>
      <c r="E68" s="5">
        <f t="shared" si="2"/>
        <v>0</v>
      </c>
      <c r="F68">
        <f>all_data!F86</f>
        <v>1000</v>
      </c>
      <c r="H68">
        <f t="shared" si="3"/>
        <v>0</v>
      </c>
      <c r="K68" t="s">
        <v>18</v>
      </c>
    </row>
    <row r="69" spans="1:11">
      <c r="A69">
        <f>all_data!A87</f>
        <v>85</v>
      </c>
      <c r="B69" t="str">
        <f>IF(D69&gt;0,all_data!B87,"")</f>
        <v/>
      </c>
      <c r="C69">
        <f>all_data!C87</f>
        <v>8.3000000000000007</v>
      </c>
      <c r="D69">
        <f>all_data!D87</f>
        <v>0</v>
      </c>
      <c r="E69" s="5">
        <f t="shared" si="2"/>
        <v>0</v>
      </c>
      <c r="F69">
        <f>all_data!F87</f>
        <v>1000</v>
      </c>
      <c r="H69">
        <f t="shared" si="3"/>
        <v>0</v>
      </c>
    </row>
    <row r="70" spans="1:11">
      <c r="A70">
        <f>all_data!A26</f>
        <v>24</v>
      </c>
      <c r="B70" t="str">
        <f>IF(D70&gt;0,all_data!B26,"")</f>
        <v/>
      </c>
      <c r="C70">
        <f>all_data!C26</f>
        <v>8.9</v>
      </c>
      <c r="D70">
        <f>all_data!D26</f>
        <v>0</v>
      </c>
      <c r="E70" s="5">
        <f t="shared" si="2"/>
        <v>0</v>
      </c>
      <c r="F70">
        <f>all_data!F26</f>
        <v>1</v>
      </c>
      <c r="H70">
        <f t="shared" si="3"/>
        <v>0</v>
      </c>
    </row>
    <row r="71" spans="1:11">
      <c r="A71">
        <f>all_data!A66</f>
        <v>64</v>
      </c>
      <c r="B71" t="str">
        <f>IF(D71&gt;0,all_data!B66,"")</f>
        <v/>
      </c>
      <c r="C71">
        <f>all_data!C66</f>
        <v>6.8</v>
      </c>
      <c r="D71">
        <f>all_data!D66</f>
        <v>0</v>
      </c>
      <c r="E71" s="5">
        <f t="shared" si="2"/>
        <v>0</v>
      </c>
      <c r="F71">
        <f>all_data!F66</f>
        <v>800</v>
      </c>
      <c r="H71">
        <f t="shared" si="3"/>
        <v>0</v>
      </c>
    </row>
    <row r="72" spans="1:11">
      <c r="A72">
        <f>all_data!A103</f>
        <v>101</v>
      </c>
      <c r="B72" t="str">
        <f>IF(D72&gt;0,all_data!B103,"")</f>
        <v/>
      </c>
      <c r="C72">
        <f>all_data!C103</f>
        <v>9.6999999999999993</v>
      </c>
      <c r="D72">
        <f>all_data!D103</f>
        <v>0</v>
      </c>
      <c r="E72" s="5">
        <f t="shared" si="2"/>
        <v>0</v>
      </c>
      <c r="F72">
        <f>all_data!F103</f>
        <v>1600</v>
      </c>
      <c r="H72">
        <f t="shared" si="3"/>
        <v>0</v>
      </c>
    </row>
    <row r="73" spans="1:11">
      <c r="A73">
        <f>all_data!A61</f>
        <v>59</v>
      </c>
      <c r="B73" t="str">
        <f>IF(D73&gt;0,all_data!B61,"")</f>
        <v/>
      </c>
      <c r="C73">
        <f>all_data!C61</f>
        <v>6.4</v>
      </c>
      <c r="D73">
        <f>all_data!D61</f>
        <v>0</v>
      </c>
      <c r="E73" s="5">
        <f t="shared" si="2"/>
        <v>0</v>
      </c>
      <c r="F73">
        <f>all_data!F61</f>
        <v>648</v>
      </c>
      <c r="H73">
        <f t="shared" si="3"/>
        <v>0</v>
      </c>
    </row>
    <row r="74" spans="1:11">
      <c r="A74">
        <f>all_data!A101</f>
        <v>99</v>
      </c>
      <c r="B74" t="str">
        <f>IF(D74&gt;0,all_data!B101,"")</f>
        <v/>
      </c>
      <c r="C74">
        <f>all_data!C101</f>
        <v>9.8000000000000007</v>
      </c>
      <c r="D74">
        <f>all_data!D101</f>
        <v>0</v>
      </c>
      <c r="E74" s="5">
        <f t="shared" si="2"/>
        <v>0</v>
      </c>
      <c r="F74">
        <f>all_data!F101</f>
        <v>1500</v>
      </c>
      <c r="H74">
        <f t="shared" si="3"/>
        <v>0</v>
      </c>
    </row>
    <row r="75" spans="1:11">
      <c r="A75">
        <f>all_data!A43</f>
        <v>41</v>
      </c>
      <c r="B75" t="str">
        <f>IF(D75&gt;0,all_data!B43,"")</f>
        <v/>
      </c>
      <c r="C75">
        <f>all_data!C43</f>
        <v>4.9000000000000004</v>
      </c>
      <c r="D75">
        <f>all_data!D43</f>
        <v>0</v>
      </c>
      <c r="E75" s="5">
        <f t="shared" si="2"/>
        <v>0</v>
      </c>
      <c r="F75">
        <f>all_data!F43</f>
        <v>1</v>
      </c>
      <c r="H75">
        <f t="shared" si="3"/>
        <v>0</v>
      </c>
    </row>
    <row r="76" spans="1:11">
      <c r="A76">
        <f>all_data!A84</f>
        <v>82</v>
      </c>
      <c r="B76" t="str">
        <f>IF(D76&gt;0,all_data!B84,"")</f>
        <v/>
      </c>
      <c r="C76">
        <f>all_data!C84</f>
        <v>10.7</v>
      </c>
      <c r="D76">
        <f>all_data!D84</f>
        <v>0</v>
      </c>
      <c r="E76" s="5">
        <f t="shared" si="2"/>
        <v>0</v>
      </c>
      <c r="F76">
        <f>all_data!F84</f>
        <v>1000</v>
      </c>
      <c r="H76">
        <f t="shared" si="3"/>
        <v>0</v>
      </c>
    </row>
    <row r="77" spans="1:11">
      <c r="A77">
        <f>all_data!A68</f>
        <v>66</v>
      </c>
      <c r="B77" t="str">
        <f>IF(D77&gt;0,all_data!B68,"")</f>
        <v/>
      </c>
      <c r="C77">
        <f>all_data!C68</f>
        <v>9.9</v>
      </c>
      <c r="D77">
        <f>all_data!D68</f>
        <v>0</v>
      </c>
      <c r="E77" s="5">
        <f t="shared" si="2"/>
        <v>0</v>
      </c>
      <c r="F77">
        <f>all_data!F68</f>
        <v>800</v>
      </c>
      <c r="H77">
        <f t="shared" si="3"/>
        <v>0</v>
      </c>
    </row>
    <row r="78" spans="1:11">
      <c r="A78">
        <f>all_data!A44</f>
        <v>42</v>
      </c>
      <c r="B78" t="str">
        <f>IF(D78&gt;0,all_data!B44,"")</f>
        <v/>
      </c>
      <c r="C78">
        <f>all_data!C44</f>
        <v>10.6</v>
      </c>
      <c r="D78">
        <f>all_data!D44</f>
        <v>0</v>
      </c>
      <c r="E78" s="5">
        <f t="shared" si="2"/>
        <v>0</v>
      </c>
      <c r="F78">
        <f>all_data!F44</f>
        <v>1</v>
      </c>
      <c r="H78">
        <f t="shared" si="3"/>
        <v>0</v>
      </c>
    </row>
    <row r="79" spans="1:11">
      <c r="A79">
        <f>all_data!A22</f>
        <v>20</v>
      </c>
      <c r="B79" t="str">
        <f>IF(D79&gt;0,all_data!B22,"")</f>
        <v/>
      </c>
      <c r="C79">
        <f>all_data!C22</f>
        <v>6.9</v>
      </c>
      <c r="D79">
        <f>all_data!D22</f>
        <v>0</v>
      </c>
      <c r="E79" s="5">
        <f t="shared" si="2"/>
        <v>0</v>
      </c>
      <c r="F79">
        <f>all_data!F22</f>
        <v>1</v>
      </c>
      <c r="H79">
        <f t="shared" si="3"/>
        <v>0</v>
      </c>
    </row>
    <row r="80" spans="1:11">
      <c r="A80">
        <f>all_data!A70</f>
        <v>68</v>
      </c>
      <c r="B80" t="str">
        <f>IF(D80&gt;0,all_data!B70,"")</f>
        <v/>
      </c>
      <c r="C80">
        <f>all_data!C70</f>
        <v>10</v>
      </c>
      <c r="D80">
        <f>all_data!D70</f>
        <v>0</v>
      </c>
      <c r="E80" s="5">
        <f t="shared" si="2"/>
        <v>0</v>
      </c>
      <c r="F80">
        <f>all_data!F70</f>
        <v>900</v>
      </c>
      <c r="H80">
        <f t="shared" si="3"/>
        <v>0</v>
      </c>
    </row>
    <row r="81" spans="1:8">
      <c r="A81">
        <f>all_data!A54</f>
        <v>52</v>
      </c>
      <c r="B81" t="str">
        <f>IF(D81&gt;0,all_data!B54,"")</f>
        <v/>
      </c>
      <c r="C81">
        <f>all_data!C54</f>
        <v>10.1</v>
      </c>
      <c r="D81">
        <f>all_data!D54</f>
        <v>0</v>
      </c>
      <c r="E81" s="5">
        <f t="shared" si="2"/>
        <v>0</v>
      </c>
      <c r="F81">
        <f>all_data!F54</f>
        <v>300</v>
      </c>
      <c r="H81">
        <f t="shared" si="3"/>
        <v>0</v>
      </c>
    </row>
    <row r="82" spans="1:8">
      <c r="A82">
        <f>all_data!A71</f>
        <v>69</v>
      </c>
      <c r="B82" t="str">
        <f>IF(D82&gt;0,all_data!B71,"")</f>
        <v/>
      </c>
      <c r="C82">
        <f>all_data!C71</f>
        <v>9.5</v>
      </c>
      <c r="D82">
        <f>all_data!D71</f>
        <v>0</v>
      </c>
      <c r="E82" s="5">
        <f t="shared" si="2"/>
        <v>0</v>
      </c>
      <c r="F82">
        <f>all_data!F71</f>
        <v>900</v>
      </c>
      <c r="H82">
        <f t="shared" si="3"/>
        <v>0</v>
      </c>
    </row>
    <row r="83" spans="1:8">
      <c r="A83">
        <f>all_data!A74</f>
        <v>72</v>
      </c>
      <c r="B83" t="str">
        <f>IF(D83&gt;0,all_data!B74,"")</f>
        <v/>
      </c>
      <c r="C83">
        <f>all_data!C74</f>
        <v>8.6999999999999993</v>
      </c>
      <c r="D83">
        <f>all_data!D74</f>
        <v>0</v>
      </c>
      <c r="E83" s="5">
        <f t="shared" si="2"/>
        <v>0</v>
      </c>
      <c r="F83">
        <f>all_data!F74</f>
        <v>964</v>
      </c>
      <c r="H83">
        <f t="shared" si="3"/>
        <v>0</v>
      </c>
    </row>
    <row r="84" spans="1:8">
      <c r="A84">
        <f>all_data!A23</f>
        <v>21</v>
      </c>
      <c r="B84" t="str">
        <f>IF(D84&gt;0,all_data!B23,"")</f>
        <v/>
      </c>
      <c r="C84">
        <f>all_data!C23</f>
        <v>8.1999999999999993</v>
      </c>
      <c r="D84">
        <f>all_data!D23</f>
        <v>0</v>
      </c>
      <c r="E84" s="5">
        <f t="shared" si="2"/>
        <v>0</v>
      </c>
      <c r="F84">
        <f>all_data!F23</f>
        <v>1</v>
      </c>
      <c r="H84">
        <f t="shared" si="3"/>
        <v>0</v>
      </c>
    </row>
    <row r="85" spans="1:8">
      <c r="A85">
        <f>all_data!A25</f>
        <v>23</v>
      </c>
      <c r="B85" t="str">
        <f>IF(D85&gt;0,all_data!B25,"")</f>
        <v/>
      </c>
      <c r="C85">
        <f>all_data!C25</f>
        <v>9.4</v>
      </c>
      <c r="D85">
        <f>all_data!D25</f>
        <v>0</v>
      </c>
      <c r="E85" s="5">
        <f t="shared" si="2"/>
        <v>0</v>
      </c>
      <c r="F85">
        <f>all_data!F25</f>
        <v>1</v>
      </c>
      <c r="H85">
        <f t="shared" si="3"/>
        <v>0</v>
      </c>
    </row>
    <row r="86" spans="1:8">
      <c r="A86">
        <f>all_data!A8</f>
        <v>6</v>
      </c>
      <c r="B86" t="str">
        <f>IF(D86&gt;0,all_data!B8,"")</f>
        <v/>
      </c>
      <c r="C86">
        <f>all_data!C8</f>
        <v>9.4</v>
      </c>
      <c r="D86">
        <f>all_data!D8</f>
        <v>0</v>
      </c>
      <c r="E86" s="5">
        <f t="shared" si="2"/>
        <v>0</v>
      </c>
      <c r="F86">
        <f>all_data!F8</f>
        <v>1</v>
      </c>
      <c r="H86">
        <f t="shared" si="3"/>
        <v>0</v>
      </c>
    </row>
    <row r="87" spans="1:8">
      <c r="A87">
        <f>all_data!A85</f>
        <v>83</v>
      </c>
      <c r="B87" t="str">
        <f>IF(D87&gt;0,all_data!B85,"")</f>
        <v/>
      </c>
      <c r="C87">
        <f>all_data!C85</f>
        <v>9.1999999999999993</v>
      </c>
      <c r="D87">
        <f>all_data!D85</f>
        <v>0</v>
      </c>
      <c r="E87" s="5">
        <f t="shared" si="2"/>
        <v>0</v>
      </c>
      <c r="F87">
        <f>all_data!F85</f>
        <v>1000</v>
      </c>
      <c r="H87">
        <f t="shared" si="3"/>
        <v>0</v>
      </c>
    </row>
    <row r="88" spans="1:8">
      <c r="A88">
        <f>all_data!A56</f>
        <v>54</v>
      </c>
      <c r="B88" t="str">
        <f>IF(D88&gt;0,all_data!B56,"")</f>
        <v/>
      </c>
      <c r="C88">
        <f>all_data!C56</f>
        <v>10</v>
      </c>
      <c r="D88">
        <f>all_data!D56</f>
        <v>0</v>
      </c>
      <c r="E88" s="5">
        <f t="shared" si="2"/>
        <v>0</v>
      </c>
      <c r="F88">
        <f>all_data!F56</f>
        <v>500</v>
      </c>
      <c r="H88">
        <f t="shared" si="3"/>
        <v>0</v>
      </c>
    </row>
    <row r="89" spans="1:8">
      <c r="A89">
        <f>all_data!A138</f>
        <v>136</v>
      </c>
      <c r="B89" t="str">
        <f>IF(D89&gt;0,all_data!B138,"")</f>
        <v/>
      </c>
      <c r="C89">
        <f>all_data!C138</f>
        <v>11.3</v>
      </c>
      <c r="D89">
        <f>all_data!D138</f>
        <v>0</v>
      </c>
      <c r="E89" s="5">
        <f t="shared" si="2"/>
        <v>0</v>
      </c>
      <c r="F89">
        <f>all_data!F138</f>
        <v>4500</v>
      </c>
      <c r="H89">
        <f t="shared" si="3"/>
        <v>0</v>
      </c>
    </row>
    <row r="90" spans="1:8">
      <c r="A90">
        <f>all_data!A75</f>
        <v>73</v>
      </c>
      <c r="B90" t="str">
        <f>IF(D90&gt;0,all_data!B75,"")</f>
        <v/>
      </c>
      <c r="C90">
        <f>all_data!C75</f>
        <v>9.5</v>
      </c>
      <c r="D90">
        <f>all_data!D75</f>
        <v>0</v>
      </c>
      <c r="E90" s="5">
        <f t="shared" si="2"/>
        <v>0</v>
      </c>
      <c r="F90">
        <f>all_data!F75</f>
        <v>1000</v>
      </c>
      <c r="H90">
        <f t="shared" si="3"/>
        <v>0</v>
      </c>
    </row>
    <row r="91" spans="1:8">
      <c r="A91">
        <f>all_data!A132</f>
        <v>130</v>
      </c>
      <c r="B91" t="str">
        <f>IF(D91&gt;0,all_data!B132,"")</f>
        <v/>
      </c>
      <c r="C91">
        <f>all_data!C132</f>
        <v>10</v>
      </c>
      <c r="D91">
        <f>all_data!D132</f>
        <v>0</v>
      </c>
      <c r="E91" s="5">
        <f t="shared" si="2"/>
        <v>0</v>
      </c>
      <c r="F91">
        <f>all_data!F132</f>
        <v>2800</v>
      </c>
      <c r="H91">
        <f t="shared" si="3"/>
        <v>0</v>
      </c>
    </row>
    <row r="92" spans="1:8">
      <c r="A92">
        <f>all_data!A15</f>
        <v>13</v>
      </c>
      <c r="B92" t="str">
        <f>IF(D92&gt;0,all_data!B15,"")</f>
        <v/>
      </c>
      <c r="C92">
        <f>all_data!C15</f>
        <v>10.1</v>
      </c>
      <c r="D92">
        <f>all_data!D15</f>
        <v>0</v>
      </c>
      <c r="E92" s="5">
        <f t="shared" si="2"/>
        <v>0</v>
      </c>
      <c r="F92">
        <f>all_data!F15</f>
        <v>1</v>
      </c>
      <c r="H92">
        <f t="shared" si="3"/>
        <v>0</v>
      </c>
    </row>
    <row r="93" spans="1:8">
      <c r="A93">
        <f>all_data!A18</f>
        <v>16</v>
      </c>
      <c r="B93" t="str">
        <f>IF(D93&gt;0,all_data!B18,"")</f>
        <v/>
      </c>
      <c r="C93">
        <f>all_data!C18</f>
        <v>9.5</v>
      </c>
      <c r="D93">
        <f>all_data!D18</f>
        <v>0</v>
      </c>
      <c r="E93" s="5">
        <f t="shared" si="2"/>
        <v>0</v>
      </c>
      <c r="F93">
        <f>all_data!F18</f>
        <v>1</v>
      </c>
      <c r="H93">
        <f t="shared" si="3"/>
        <v>0</v>
      </c>
    </row>
    <row r="94" spans="1:8">
      <c r="A94">
        <f>all_data!A34</f>
        <v>32</v>
      </c>
      <c r="B94" t="str">
        <f>IF(D94&gt;0,all_data!B34,"")</f>
        <v/>
      </c>
      <c r="C94">
        <f>all_data!C34</f>
        <v>9.1999999999999993</v>
      </c>
      <c r="D94">
        <f>all_data!D34</f>
        <v>0</v>
      </c>
      <c r="E94" s="5">
        <f t="shared" si="2"/>
        <v>0</v>
      </c>
      <c r="F94">
        <f>all_data!F34</f>
        <v>1</v>
      </c>
      <c r="H94">
        <f t="shared" si="3"/>
        <v>0</v>
      </c>
    </row>
    <row r="95" spans="1:8">
      <c r="A95">
        <f>all_data!A59</f>
        <v>57</v>
      </c>
      <c r="B95" t="str">
        <f>IF(D95&gt;0,all_data!B59,"")</f>
        <v/>
      </c>
      <c r="C95">
        <f>all_data!C59</f>
        <v>5.9</v>
      </c>
      <c r="D95">
        <f>all_data!D59</f>
        <v>0</v>
      </c>
      <c r="E95" s="5">
        <f t="shared" si="2"/>
        <v>0</v>
      </c>
      <c r="F95">
        <f>all_data!F59</f>
        <v>600</v>
      </c>
      <c r="H95">
        <f t="shared" si="3"/>
        <v>0</v>
      </c>
    </row>
    <row r="96" spans="1:8">
      <c r="A96">
        <f>all_data!A20</f>
        <v>18</v>
      </c>
      <c r="B96" t="str">
        <f>IF(D96&gt;0,all_data!B20,"")</f>
        <v/>
      </c>
      <c r="C96">
        <f>all_data!C20</f>
        <v>7.8</v>
      </c>
      <c r="D96">
        <f>all_data!D20</f>
        <v>0</v>
      </c>
      <c r="E96" s="5">
        <f t="shared" si="2"/>
        <v>0</v>
      </c>
      <c r="F96">
        <f>all_data!F20</f>
        <v>1</v>
      </c>
      <c r="H96">
        <f t="shared" si="3"/>
        <v>0</v>
      </c>
    </row>
    <row r="97" spans="1:8">
      <c r="A97">
        <f>all_data!A52</f>
        <v>50</v>
      </c>
      <c r="B97" t="str">
        <f>IF(D97&gt;0,all_data!B52,"")</f>
        <v/>
      </c>
      <c r="C97">
        <f>all_data!C52</f>
        <v>10</v>
      </c>
      <c r="D97">
        <f>all_data!D52</f>
        <v>0</v>
      </c>
      <c r="E97" s="5">
        <f t="shared" si="2"/>
        <v>0</v>
      </c>
      <c r="F97">
        <f>all_data!F52</f>
        <v>220</v>
      </c>
      <c r="H97">
        <f t="shared" si="3"/>
        <v>0</v>
      </c>
    </row>
    <row r="98" spans="1:8">
      <c r="A98">
        <f>all_data!A69</f>
        <v>67</v>
      </c>
      <c r="B98" t="str">
        <f>IF(D98&gt;0,all_data!B69,"")</f>
        <v/>
      </c>
      <c r="C98">
        <f>all_data!C69</f>
        <v>9.8000000000000007</v>
      </c>
      <c r="D98">
        <f>all_data!D69</f>
        <v>0</v>
      </c>
      <c r="E98" s="5">
        <f t="shared" si="2"/>
        <v>0</v>
      </c>
      <c r="F98">
        <f>all_data!F69</f>
        <v>876</v>
      </c>
      <c r="H98">
        <f t="shared" si="3"/>
        <v>0</v>
      </c>
    </row>
    <row r="99" spans="1:8">
      <c r="A99">
        <f>all_data!A127</f>
        <v>125</v>
      </c>
      <c r="B99" t="str">
        <f>IF(D99&gt;0,all_data!B127,"")</f>
        <v/>
      </c>
      <c r="C99">
        <f>all_data!C127</f>
        <v>10.4</v>
      </c>
      <c r="D99">
        <f>all_data!D127</f>
        <v>0</v>
      </c>
      <c r="E99" s="5">
        <f t="shared" si="2"/>
        <v>0</v>
      </c>
      <c r="F99">
        <f>all_data!F127</f>
        <v>2200</v>
      </c>
      <c r="H99">
        <f t="shared" si="3"/>
        <v>0</v>
      </c>
    </row>
    <row r="100" spans="1:8">
      <c r="A100">
        <f>all_data!A4</f>
        <v>2</v>
      </c>
      <c r="B100" t="str">
        <f>IF(D100&gt;0,all_data!B4,"")</f>
        <v/>
      </c>
      <c r="C100">
        <f>all_data!C4</f>
        <v>8.5</v>
      </c>
      <c r="D100">
        <f>all_data!D4</f>
        <v>0</v>
      </c>
      <c r="E100" s="5">
        <f t="shared" si="2"/>
        <v>0</v>
      </c>
      <c r="F100">
        <f>all_data!F4</f>
        <v>1</v>
      </c>
      <c r="H100">
        <f t="shared" si="3"/>
        <v>0</v>
      </c>
    </row>
    <row r="101" spans="1:8">
      <c r="A101">
        <f>all_data!A27</f>
        <v>25</v>
      </c>
      <c r="B101" t="str">
        <f>IF(D101&gt;0,all_data!B27,"")</f>
        <v/>
      </c>
      <c r="C101">
        <f>all_data!C27</f>
        <v>7.5</v>
      </c>
      <c r="D101">
        <f>all_data!D27</f>
        <v>0</v>
      </c>
      <c r="E101" s="5">
        <f t="shared" si="2"/>
        <v>0</v>
      </c>
      <c r="F101">
        <f>all_data!F27</f>
        <v>1</v>
      </c>
      <c r="H101">
        <f t="shared" si="3"/>
        <v>0</v>
      </c>
    </row>
    <row r="102" spans="1:8">
      <c r="A102">
        <f>all_data!A96</f>
        <v>94</v>
      </c>
      <c r="B102" t="str">
        <f>IF(D102&gt;0,all_data!B96,"")</f>
        <v/>
      </c>
      <c r="C102">
        <f>all_data!C96</f>
        <v>8.4</v>
      </c>
      <c r="D102">
        <f>all_data!D96</f>
        <v>0</v>
      </c>
      <c r="E102" s="5">
        <f t="shared" si="2"/>
        <v>0</v>
      </c>
      <c r="F102">
        <f>all_data!F96</f>
        <v>1350</v>
      </c>
      <c r="H102">
        <f t="shared" si="3"/>
        <v>0</v>
      </c>
    </row>
    <row r="103" spans="1:8">
      <c r="A103">
        <f>all_data!A9</f>
        <v>7</v>
      </c>
      <c r="B103" t="str">
        <f>IF(D103&gt;0,all_data!B9,"")</f>
        <v/>
      </c>
      <c r="C103">
        <f>all_data!C9</f>
        <v>9.4</v>
      </c>
      <c r="D103">
        <f>all_data!D9</f>
        <v>0</v>
      </c>
      <c r="E103" s="5">
        <f t="shared" si="2"/>
        <v>0</v>
      </c>
      <c r="F103">
        <f>all_data!F9</f>
        <v>1</v>
      </c>
      <c r="H103">
        <f t="shared" si="3"/>
        <v>0</v>
      </c>
    </row>
    <row r="104" spans="1:8">
      <c r="A104">
        <f>all_data!A133</f>
        <v>131</v>
      </c>
      <c r="B104" t="str">
        <f>IF(D104&gt;0,all_data!B133,"")</f>
        <v/>
      </c>
      <c r="C104">
        <f>all_data!C133</f>
        <v>11.2</v>
      </c>
      <c r="D104">
        <f>all_data!D133</f>
        <v>0</v>
      </c>
      <c r="E104" s="5">
        <f t="shared" si="2"/>
        <v>0</v>
      </c>
      <c r="F104">
        <f>all_data!F133</f>
        <v>2900</v>
      </c>
      <c r="H104">
        <f t="shared" si="3"/>
        <v>0</v>
      </c>
    </row>
    <row r="105" spans="1:8">
      <c r="A105">
        <f>all_data!A10</f>
        <v>8</v>
      </c>
      <c r="B105" t="str">
        <f>IF(D105&gt;0,all_data!B10,"")</f>
        <v/>
      </c>
      <c r="C105">
        <f>all_data!C10</f>
        <v>12</v>
      </c>
      <c r="D105">
        <f>all_data!D10</f>
        <v>0</v>
      </c>
      <c r="E105" s="5">
        <f t="shared" si="2"/>
        <v>0</v>
      </c>
      <c r="F105">
        <f>all_data!F10</f>
        <v>1</v>
      </c>
      <c r="H105">
        <f t="shared" si="3"/>
        <v>0</v>
      </c>
    </row>
    <row r="106" spans="1:8">
      <c r="A106">
        <f>all_data!A64</f>
        <v>62</v>
      </c>
      <c r="B106" t="str">
        <f>IF(D106&gt;0,all_data!B64,"")</f>
        <v/>
      </c>
      <c r="C106">
        <f>all_data!C64</f>
        <v>10.5</v>
      </c>
      <c r="D106">
        <f>all_data!D64</f>
        <v>0</v>
      </c>
      <c r="E106" s="5">
        <f t="shared" si="2"/>
        <v>0</v>
      </c>
      <c r="F106">
        <f>all_data!F64</f>
        <v>750</v>
      </c>
      <c r="H106">
        <f t="shared" si="3"/>
        <v>0</v>
      </c>
    </row>
    <row r="107" spans="1:8">
      <c r="A107">
        <f>all_data!A29</f>
        <v>27</v>
      </c>
      <c r="B107" t="str">
        <f>IF(D107&gt;0,all_data!B29,"")</f>
        <v/>
      </c>
      <c r="C107">
        <f>all_data!C29</f>
        <v>14.8</v>
      </c>
      <c r="D107">
        <f>all_data!D29</f>
        <v>0</v>
      </c>
      <c r="E107" s="5">
        <f t="shared" si="2"/>
        <v>0</v>
      </c>
      <c r="F107">
        <f>all_data!F29</f>
        <v>1</v>
      </c>
      <c r="H107">
        <f t="shared" si="3"/>
        <v>0</v>
      </c>
    </row>
    <row r="108" spans="1:8">
      <c r="A108">
        <f>all_data!A19</f>
        <v>17</v>
      </c>
      <c r="B108" t="str">
        <f>IF(D108&gt;0,all_data!B19,"")</f>
        <v/>
      </c>
      <c r="C108">
        <f>all_data!C19</f>
        <v>4.5</v>
      </c>
      <c r="D108">
        <f>all_data!D19</f>
        <v>0</v>
      </c>
      <c r="E108" s="5">
        <f t="shared" si="2"/>
        <v>0</v>
      </c>
      <c r="F108">
        <f>all_data!F19</f>
        <v>1</v>
      </c>
      <c r="H108">
        <f t="shared" si="3"/>
        <v>0</v>
      </c>
    </row>
    <row r="109" spans="1:8">
      <c r="A109">
        <f>all_data!A11</f>
        <v>9</v>
      </c>
      <c r="B109" t="str">
        <f>IF(D109&gt;0,all_data!B11,"")</f>
        <v/>
      </c>
      <c r="C109">
        <f>all_data!C11</f>
        <v>9.3000000000000007</v>
      </c>
      <c r="D109">
        <f>all_data!D11</f>
        <v>0</v>
      </c>
      <c r="E109" s="5">
        <f t="shared" si="2"/>
        <v>0</v>
      </c>
      <c r="F109">
        <f>all_data!F11</f>
        <v>1</v>
      </c>
      <c r="H109">
        <f t="shared" si="3"/>
        <v>0</v>
      </c>
    </row>
    <row r="110" spans="1:8">
      <c r="A110">
        <f>all_data!A35</f>
        <v>33</v>
      </c>
      <c r="B110" t="str">
        <f>IF(D110&gt;0,all_data!B35,"")</f>
        <v/>
      </c>
      <c r="C110">
        <f>all_data!C35</f>
        <v>9.1999999999999993</v>
      </c>
      <c r="D110">
        <f>all_data!D35</f>
        <v>0</v>
      </c>
      <c r="E110" s="5">
        <f t="shared" si="2"/>
        <v>0</v>
      </c>
      <c r="F110">
        <f>all_data!F35</f>
        <v>1</v>
      </c>
      <c r="H110">
        <f t="shared" si="3"/>
        <v>0</v>
      </c>
    </row>
    <row r="111" spans="1:8">
      <c r="A111">
        <f>all_data!A7</f>
        <v>5</v>
      </c>
      <c r="B111" t="str">
        <f>IF(D111&gt;0,all_data!B7,"")</f>
        <v/>
      </c>
      <c r="C111">
        <f>all_data!C7</f>
        <v>9</v>
      </c>
      <c r="D111">
        <f>all_data!D7</f>
        <v>0</v>
      </c>
      <c r="E111" s="5">
        <f t="shared" si="2"/>
        <v>0</v>
      </c>
      <c r="F111">
        <f>all_data!F7</f>
        <v>1</v>
      </c>
      <c r="H111">
        <f t="shared" si="3"/>
        <v>0</v>
      </c>
    </row>
    <row r="112" spans="1:8">
      <c r="A112">
        <f>all_data!A6</f>
        <v>4</v>
      </c>
      <c r="B112" t="str">
        <f>IF(D112&gt;0,all_data!B6,"")</f>
        <v/>
      </c>
      <c r="C112">
        <f>all_data!C6</f>
        <v>8.5</v>
      </c>
      <c r="D112">
        <f>all_data!D6</f>
        <v>0</v>
      </c>
      <c r="E112" s="5">
        <f t="shared" si="2"/>
        <v>0</v>
      </c>
      <c r="F112">
        <f>all_data!F6</f>
        <v>1</v>
      </c>
      <c r="H112">
        <f t="shared" si="3"/>
        <v>0</v>
      </c>
    </row>
    <row r="113" spans="1:8">
      <c r="A113">
        <f>all_data!A17</f>
        <v>15</v>
      </c>
      <c r="B113" t="str">
        <f>IF(D113&gt;0,all_data!B17,"")</f>
        <v/>
      </c>
      <c r="C113">
        <f>all_data!C17</f>
        <v>6.5</v>
      </c>
      <c r="D113">
        <f>all_data!D17</f>
        <v>0</v>
      </c>
      <c r="E113" s="5">
        <f t="shared" si="2"/>
        <v>0</v>
      </c>
      <c r="F113">
        <f>all_data!F17</f>
        <v>1</v>
      </c>
      <c r="H113">
        <f t="shared" si="3"/>
        <v>0</v>
      </c>
    </row>
    <row r="114" spans="1:8">
      <c r="A114">
        <f>all_data!A60</f>
        <v>58</v>
      </c>
      <c r="B114" t="str">
        <f>IF(D114&gt;0,all_data!B60,"")</f>
        <v/>
      </c>
      <c r="C114">
        <f>all_data!C60</f>
        <v>9.8000000000000007</v>
      </c>
      <c r="D114">
        <f>all_data!D60</f>
        <v>0</v>
      </c>
      <c r="E114" s="5">
        <f t="shared" si="2"/>
        <v>0</v>
      </c>
      <c r="F114">
        <f>all_data!F60</f>
        <v>600</v>
      </c>
      <c r="H114">
        <f t="shared" si="3"/>
        <v>0</v>
      </c>
    </row>
    <row r="115" spans="1:8">
      <c r="A115">
        <f>all_data!A67</f>
        <v>65</v>
      </c>
      <c r="B115" t="str">
        <f>IF(D115&gt;0,all_data!B67,"")</f>
        <v/>
      </c>
      <c r="C115">
        <f>all_data!C67</f>
        <v>7.2</v>
      </c>
      <c r="D115">
        <f>all_data!D67</f>
        <v>0</v>
      </c>
      <c r="E115" s="5">
        <f t="shared" si="2"/>
        <v>0</v>
      </c>
      <c r="F115">
        <f>all_data!F67</f>
        <v>800</v>
      </c>
      <c r="H115">
        <f t="shared" si="3"/>
        <v>0</v>
      </c>
    </row>
    <row r="116" spans="1:8">
      <c r="A116">
        <f>all_data!A65</f>
        <v>63</v>
      </c>
      <c r="B116" t="str">
        <f>IF(D116&gt;0,all_data!B65,"")</f>
        <v/>
      </c>
      <c r="C116">
        <f>all_data!C65</f>
        <v>9.8000000000000007</v>
      </c>
      <c r="D116">
        <f>all_data!D65</f>
        <v>0</v>
      </c>
      <c r="E116" s="5">
        <f t="shared" si="2"/>
        <v>0</v>
      </c>
      <c r="F116">
        <f>all_data!F65</f>
        <v>752</v>
      </c>
      <c r="H116">
        <f t="shared" si="3"/>
        <v>0</v>
      </c>
    </row>
    <row r="117" spans="1:8">
      <c r="A117">
        <f>all_data!A57</f>
        <v>55</v>
      </c>
      <c r="B117" t="str">
        <f>IF(D117&gt;0,all_data!B57,"")</f>
        <v/>
      </c>
      <c r="C117">
        <f>all_data!C57</f>
        <v>10</v>
      </c>
      <c r="D117">
        <f>all_data!D57</f>
        <v>0</v>
      </c>
      <c r="E117" s="5">
        <f t="shared" si="2"/>
        <v>0</v>
      </c>
      <c r="F117">
        <f>all_data!F57</f>
        <v>500</v>
      </c>
      <c r="H117">
        <f t="shared" si="3"/>
        <v>0</v>
      </c>
    </row>
    <row r="118" spans="1:8">
      <c r="A118">
        <f>all_data!A14</f>
        <v>12</v>
      </c>
      <c r="B118" t="str">
        <f>IF(D118&gt;0,all_data!B14,"")</f>
        <v/>
      </c>
      <c r="C118">
        <f>all_data!C14</f>
        <v>8.5</v>
      </c>
      <c r="D118">
        <f>all_data!D14</f>
        <v>0</v>
      </c>
      <c r="E118" s="5">
        <f t="shared" si="2"/>
        <v>0</v>
      </c>
      <c r="F118">
        <f>all_data!F14</f>
        <v>1</v>
      </c>
      <c r="H118">
        <f t="shared" si="3"/>
        <v>0</v>
      </c>
    </row>
    <row r="119" spans="1:8">
      <c r="A119">
        <f>all_data!A136</f>
        <v>134</v>
      </c>
      <c r="B119" t="str">
        <f>IF(D119&gt;0,all_data!B136,"")</f>
        <v/>
      </c>
      <c r="C119">
        <f>all_data!C136</f>
        <v>7.7</v>
      </c>
      <c r="D119">
        <f>all_data!D136</f>
        <v>0</v>
      </c>
      <c r="E119" s="5">
        <f t="shared" si="2"/>
        <v>0</v>
      </c>
      <c r="F119">
        <f>all_data!F136</f>
        <v>4000</v>
      </c>
      <c r="H119">
        <f t="shared" si="3"/>
        <v>0</v>
      </c>
    </row>
    <row r="120" spans="1:8">
      <c r="A120">
        <f>all_data!A135</f>
        <v>133</v>
      </c>
      <c r="B120" t="str">
        <f>IF(D120&gt;0,all_data!B135,"")</f>
        <v/>
      </c>
      <c r="C120">
        <f>all_data!C135</f>
        <v>7.5</v>
      </c>
      <c r="D120">
        <f>all_data!D135</f>
        <v>0</v>
      </c>
      <c r="E120" s="5">
        <f t="shared" si="2"/>
        <v>0</v>
      </c>
      <c r="F120">
        <f>all_data!F135</f>
        <v>3500</v>
      </c>
      <c r="H120">
        <f t="shared" si="3"/>
        <v>0</v>
      </c>
    </row>
    <row r="121" spans="1:8">
      <c r="A121">
        <f>all_data!A41</f>
        <v>39</v>
      </c>
      <c r="B121" t="str">
        <f>IF(D121&gt;0,all_data!B41,"")</f>
        <v/>
      </c>
      <c r="C121">
        <f>all_data!C41</f>
        <v>18.600000000000001</v>
      </c>
      <c r="D121">
        <f>all_data!D41</f>
        <v>0</v>
      </c>
      <c r="E121" s="5">
        <f t="shared" si="2"/>
        <v>0</v>
      </c>
      <c r="F121">
        <f>all_data!F41</f>
        <v>1</v>
      </c>
      <c r="H121">
        <f t="shared" si="3"/>
        <v>0</v>
      </c>
    </row>
    <row r="122" spans="1:8">
      <c r="A122">
        <f>all_data!A38</f>
        <v>36</v>
      </c>
      <c r="B122" t="str">
        <f>IF(D122&gt;0,all_data!B38,"")</f>
        <v/>
      </c>
      <c r="C122">
        <f>all_data!C38</f>
        <v>10</v>
      </c>
      <c r="D122">
        <f>all_data!D38</f>
        <v>0</v>
      </c>
      <c r="E122" s="5">
        <f t="shared" si="2"/>
        <v>0</v>
      </c>
      <c r="F122">
        <f>all_data!F38</f>
        <v>1</v>
      </c>
      <c r="H122">
        <f t="shared" si="3"/>
        <v>0</v>
      </c>
    </row>
    <row r="123" spans="1:8">
      <c r="A123">
        <f>all_data!A33</f>
        <v>31</v>
      </c>
      <c r="B123" t="str">
        <f>IF(D123&gt;0,all_data!B33,"")</f>
        <v/>
      </c>
      <c r="C123">
        <f>all_data!C33</f>
        <v>9.6999999999999993</v>
      </c>
      <c r="D123">
        <f>all_data!D33</f>
        <v>0</v>
      </c>
      <c r="E123" s="5">
        <f t="shared" si="2"/>
        <v>0</v>
      </c>
      <c r="F123">
        <f>all_data!F33</f>
        <v>1</v>
      </c>
      <c r="H123">
        <f t="shared" si="3"/>
        <v>0</v>
      </c>
    </row>
    <row r="124" spans="1:8">
      <c r="A124">
        <f>all_data!A42</f>
        <v>40</v>
      </c>
      <c r="B124" t="str">
        <f>IF(D124&gt;0,all_data!B42,"")</f>
        <v/>
      </c>
      <c r="C124">
        <f>all_data!C42</f>
        <v>8.4</v>
      </c>
      <c r="D124">
        <f>all_data!D42</f>
        <v>0</v>
      </c>
      <c r="E124" s="5">
        <f t="shared" si="2"/>
        <v>0</v>
      </c>
      <c r="F124">
        <f>all_data!F42</f>
        <v>1</v>
      </c>
      <c r="H124">
        <f t="shared" si="3"/>
        <v>0</v>
      </c>
    </row>
    <row r="125" spans="1:8">
      <c r="A125">
        <f>all_data!A13</f>
        <v>11</v>
      </c>
      <c r="B125" t="str">
        <f>IF(D125&gt;0,all_data!B13,"")</f>
        <v/>
      </c>
      <c r="C125">
        <f>all_data!C13</f>
        <v>9.6</v>
      </c>
      <c r="D125">
        <f>all_data!D13</f>
        <v>0</v>
      </c>
      <c r="E125" s="5">
        <f t="shared" si="2"/>
        <v>0</v>
      </c>
      <c r="F125">
        <f>all_data!F13</f>
        <v>1</v>
      </c>
      <c r="H125">
        <f t="shared" si="3"/>
        <v>0</v>
      </c>
    </row>
    <row r="126" spans="1:8">
      <c r="A126">
        <f>all_data!A91</f>
        <v>89</v>
      </c>
      <c r="B126" t="str">
        <f>IF(D126&gt;0,all_data!B91,"")</f>
        <v/>
      </c>
      <c r="C126">
        <f>all_data!C91</f>
        <v>8.1999999999999993</v>
      </c>
      <c r="D126">
        <f>all_data!D91</f>
        <v>0</v>
      </c>
      <c r="E126" s="5">
        <f t="shared" si="2"/>
        <v>0</v>
      </c>
      <c r="F126">
        <f>all_data!F91</f>
        <v>1000</v>
      </c>
      <c r="H126">
        <f t="shared" si="3"/>
        <v>0</v>
      </c>
    </row>
    <row r="127" spans="1:8">
      <c r="A127">
        <f>all_data!A48</f>
        <v>46</v>
      </c>
      <c r="B127" t="str">
        <f>IF(D127&gt;0,all_data!B48,"")</f>
        <v/>
      </c>
      <c r="C127">
        <f>all_data!C48</f>
        <v>9.3000000000000007</v>
      </c>
      <c r="D127">
        <f>all_data!D48</f>
        <v>0</v>
      </c>
      <c r="E127" s="5">
        <f t="shared" si="2"/>
        <v>0</v>
      </c>
      <c r="F127">
        <f>all_data!F48</f>
        <v>200</v>
      </c>
      <c r="H127">
        <f t="shared" si="3"/>
        <v>0</v>
      </c>
    </row>
    <row r="128" spans="1:8">
      <c r="A128">
        <f>all_data!A16</f>
        <v>14</v>
      </c>
      <c r="B128" t="str">
        <f>IF(D128&gt;0,all_data!B16,"")</f>
        <v/>
      </c>
      <c r="C128">
        <f>all_data!C16</f>
        <v>9.1</v>
      </c>
      <c r="D128">
        <f>all_data!D16</f>
        <v>0</v>
      </c>
      <c r="E128" s="5">
        <f t="shared" si="2"/>
        <v>0</v>
      </c>
      <c r="F128">
        <f>all_data!F16</f>
        <v>1</v>
      </c>
      <c r="H128">
        <f t="shared" si="3"/>
        <v>0</v>
      </c>
    </row>
    <row r="129" spans="1:8">
      <c r="A129">
        <f>all_data!A50</f>
        <v>48</v>
      </c>
      <c r="B129" t="str">
        <f>IF(D129&gt;0,all_data!B50,"")</f>
        <v/>
      </c>
      <c r="C129">
        <f>all_data!C50</f>
        <v>7.1</v>
      </c>
      <c r="D129">
        <f>all_data!D50</f>
        <v>0</v>
      </c>
      <c r="E129" s="5">
        <f t="shared" si="2"/>
        <v>0</v>
      </c>
      <c r="F129">
        <f>all_data!F50</f>
        <v>200</v>
      </c>
      <c r="H129">
        <f t="shared" si="3"/>
        <v>0</v>
      </c>
    </row>
    <row r="130" spans="1:8">
      <c r="A130">
        <f>all_data!A5</f>
        <v>3</v>
      </c>
      <c r="B130" t="str">
        <f>IF(D130&gt;0,all_data!B5,"")</f>
        <v/>
      </c>
      <c r="C130">
        <f>all_data!C5</f>
        <v>8.8000000000000007</v>
      </c>
      <c r="D130">
        <f>all_data!D5</f>
        <v>0</v>
      </c>
      <c r="E130" s="5">
        <f t="shared" si="2"/>
        <v>0</v>
      </c>
      <c r="F130">
        <f>all_data!F5</f>
        <v>1</v>
      </c>
      <c r="H130">
        <f t="shared" si="3"/>
        <v>0</v>
      </c>
    </row>
    <row r="131" spans="1:8">
      <c r="A131">
        <f>all_data!A63</f>
        <v>61</v>
      </c>
      <c r="B131" t="str">
        <f>IF(D131&gt;0,all_data!B63,"")</f>
        <v/>
      </c>
      <c r="C131">
        <f>all_data!C63</f>
        <v>5.4</v>
      </c>
      <c r="D131">
        <f>all_data!D63</f>
        <v>0</v>
      </c>
      <c r="E131" s="5">
        <f t="shared" ref="E131:E194" si="4">IF(D131&lt;=0,,D131/C131)</f>
        <v>0</v>
      </c>
      <c r="F131">
        <f>all_data!F63</f>
        <v>700</v>
      </c>
      <c r="H131">
        <f t="shared" ref="H131:H194" si="5">IF(C131&lt;=10,D131,0)</f>
        <v>0</v>
      </c>
    </row>
    <row r="132" spans="1:8">
      <c r="A132">
        <f>all_data!A30</f>
        <v>28</v>
      </c>
      <c r="B132" t="str">
        <f>IF(D132&gt;0,all_data!B30,"")</f>
        <v/>
      </c>
      <c r="C132">
        <f>all_data!C30</f>
        <v>9.6999999999999993</v>
      </c>
      <c r="D132">
        <f>all_data!D30</f>
        <v>0</v>
      </c>
      <c r="E132" s="5">
        <f t="shared" si="4"/>
        <v>0</v>
      </c>
      <c r="F132">
        <f>all_data!F30</f>
        <v>1</v>
      </c>
      <c r="H132">
        <f t="shared" si="5"/>
        <v>0</v>
      </c>
    </row>
    <row r="133" spans="1:8">
      <c r="A133">
        <f>all_data!A21</f>
        <v>19</v>
      </c>
      <c r="B133" t="str">
        <f>IF(D133&gt;0,all_data!B21,"")</f>
        <v/>
      </c>
      <c r="C133">
        <f>all_data!C21</f>
        <v>9.9</v>
      </c>
      <c r="D133">
        <f>all_data!D21</f>
        <v>0</v>
      </c>
      <c r="E133" s="5">
        <f t="shared" si="4"/>
        <v>0</v>
      </c>
      <c r="F133">
        <f>all_data!F21</f>
        <v>1</v>
      </c>
      <c r="H133">
        <f t="shared" si="5"/>
        <v>0</v>
      </c>
    </row>
    <row r="134" spans="1:8">
      <c r="A134">
        <f>all_data!A36</f>
        <v>34</v>
      </c>
      <c r="B134" t="str">
        <f>IF(D134&gt;0,all_data!B36,"")</f>
        <v/>
      </c>
      <c r="C134">
        <f>all_data!C36</f>
        <v>5.6</v>
      </c>
      <c r="D134">
        <f>all_data!D36</f>
        <v>0</v>
      </c>
      <c r="E134" s="5">
        <f t="shared" si="4"/>
        <v>0</v>
      </c>
      <c r="F134">
        <f>all_data!F36</f>
        <v>1</v>
      </c>
      <c r="H134">
        <f t="shared" si="5"/>
        <v>0</v>
      </c>
    </row>
    <row r="135" spans="1:8">
      <c r="A135">
        <f>all_data!A3</f>
        <v>1</v>
      </c>
      <c r="B135" t="str">
        <f>IF(D135&gt;0,all_data!B3,"")</f>
        <v/>
      </c>
      <c r="C135">
        <f>all_data!C3</f>
        <v>8.1</v>
      </c>
      <c r="D135">
        <f>all_data!D3</f>
        <v>0</v>
      </c>
      <c r="E135" s="5">
        <f t="shared" si="4"/>
        <v>0</v>
      </c>
      <c r="F135">
        <f>all_data!F3</f>
        <v>1</v>
      </c>
      <c r="H135">
        <f t="shared" si="5"/>
        <v>0</v>
      </c>
    </row>
    <row r="136" spans="1:8">
      <c r="A136">
        <f>all_data!A46</f>
        <v>44</v>
      </c>
      <c r="B136" t="str">
        <f>IF(D136&gt;0,all_data!B46,"")</f>
        <v/>
      </c>
      <c r="C136">
        <f>all_data!C46</f>
        <v>9.5</v>
      </c>
      <c r="D136">
        <f>all_data!D46</f>
        <v>0</v>
      </c>
      <c r="E136" s="5">
        <f t="shared" si="4"/>
        <v>0</v>
      </c>
      <c r="F136">
        <f>all_data!F46</f>
        <v>1</v>
      </c>
      <c r="H136">
        <f t="shared" si="5"/>
        <v>0</v>
      </c>
    </row>
    <row r="137" spans="1:8">
      <c r="A137">
        <f>all_data!A53</f>
        <v>51</v>
      </c>
      <c r="B137" t="str">
        <f>IF(D137&gt;0,all_data!B53,"")</f>
        <v/>
      </c>
      <c r="C137">
        <f>all_data!C53</f>
        <v>10.3</v>
      </c>
      <c r="D137">
        <f>all_data!D53</f>
        <v>0</v>
      </c>
      <c r="E137" s="5">
        <f t="shared" si="4"/>
        <v>0</v>
      </c>
      <c r="F137">
        <f>all_data!F53</f>
        <v>300</v>
      </c>
      <c r="H137">
        <f t="shared" si="5"/>
        <v>0</v>
      </c>
    </row>
    <row r="138" spans="1:8">
      <c r="A138">
        <f>all_data!A31</f>
        <v>29</v>
      </c>
      <c r="B138" t="str">
        <f>IF(D138&gt;0,all_data!B31,"")</f>
        <v/>
      </c>
      <c r="C138">
        <f>all_data!C31</f>
        <v>7.9</v>
      </c>
      <c r="D138">
        <f>all_data!D31</f>
        <v>0</v>
      </c>
      <c r="E138" s="5">
        <f t="shared" si="4"/>
        <v>0</v>
      </c>
      <c r="F138">
        <f>all_data!F31</f>
        <v>1</v>
      </c>
      <c r="H138">
        <f t="shared" si="5"/>
        <v>0</v>
      </c>
    </row>
    <row r="139" spans="1:8">
      <c r="A139">
        <f>all_data!A139</f>
        <v>137</v>
      </c>
      <c r="B139" t="str">
        <f>IF(D139&gt;0,all_data!B139,"")</f>
        <v/>
      </c>
      <c r="C139">
        <f>all_data!C139</f>
        <v>0</v>
      </c>
      <c r="D139">
        <f>all_data!D139</f>
        <v>0</v>
      </c>
      <c r="E139" s="5">
        <f t="shared" si="4"/>
        <v>0</v>
      </c>
      <c r="F139">
        <f>all_data!F139</f>
        <v>0</v>
      </c>
      <c r="H139">
        <f t="shared" si="5"/>
        <v>0</v>
      </c>
    </row>
    <row r="140" spans="1:8">
      <c r="A140">
        <f>all_data!A140</f>
        <v>138</v>
      </c>
      <c r="B140" t="str">
        <f>IF(D140&gt;0,all_data!B140,"")</f>
        <v/>
      </c>
      <c r="C140">
        <f>all_data!C140</f>
        <v>0</v>
      </c>
      <c r="D140">
        <f>all_data!D140</f>
        <v>0</v>
      </c>
      <c r="E140" s="5">
        <f t="shared" si="4"/>
        <v>0</v>
      </c>
      <c r="F140">
        <f>all_data!F140</f>
        <v>0</v>
      </c>
      <c r="H140">
        <f t="shared" si="5"/>
        <v>0</v>
      </c>
    </row>
    <row r="141" spans="1:8">
      <c r="A141">
        <f>all_data!A141</f>
        <v>139</v>
      </c>
      <c r="B141" t="str">
        <f>IF(D141&gt;0,all_data!B141,"")</f>
        <v/>
      </c>
      <c r="C141">
        <f>all_data!C141</f>
        <v>0</v>
      </c>
      <c r="D141">
        <f>all_data!D141</f>
        <v>0</v>
      </c>
      <c r="E141" s="5">
        <f t="shared" si="4"/>
        <v>0</v>
      </c>
      <c r="F141">
        <f>all_data!F141</f>
        <v>0</v>
      </c>
      <c r="H141">
        <f t="shared" si="5"/>
        <v>0</v>
      </c>
    </row>
    <row r="142" spans="1:8">
      <c r="A142">
        <f>all_data!A142</f>
        <v>140</v>
      </c>
      <c r="B142" t="str">
        <f>IF(D142&gt;0,all_data!B142,"")</f>
        <v/>
      </c>
      <c r="C142">
        <f>all_data!C142</f>
        <v>0</v>
      </c>
      <c r="D142">
        <f>all_data!D142</f>
        <v>0</v>
      </c>
      <c r="E142" s="5">
        <f t="shared" si="4"/>
        <v>0</v>
      </c>
      <c r="F142">
        <f>all_data!F142</f>
        <v>0</v>
      </c>
      <c r="H142">
        <f t="shared" si="5"/>
        <v>0</v>
      </c>
    </row>
    <row r="143" spans="1:8">
      <c r="A143">
        <f>all_data!A143</f>
        <v>141</v>
      </c>
      <c r="B143" t="str">
        <f>IF(D143&gt;0,all_data!B143,"")</f>
        <v/>
      </c>
      <c r="C143">
        <f>all_data!C143</f>
        <v>0</v>
      </c>
      <c r="D143">
        <f>all_data!D143</f>
        <v>0</v>
      </c>
      <c r="E143" s="5">
        <f t="shared" si="4"/>
        <v>0</v>
      </c>
      <c r="F143">
        <f>all_data!F143</f>
        <v>0</v>
      </c>
      <c r="H143">
        <f t="shared" si="5"/>
        <v>0</v>
      </c>
    </row>
    <row r="144" spans="1:8">
      <c r="A144">
        <f>all_data!A144</f>
        <v>142</v>
      </c>
      <c r="B144" t="str">
        <f>IF(D144&gt;0,all_data!B144,"")</f>
        <v/>
      </c>
      <c r="C144">
        <f>all_data!C144</f>
        <v>0</v>
      </c>
      <c r="D144">
        <f>all_data!D144</f>
        <v>0</v>
      </c>
      <c r="E144" s="5">
        <f t="shared" si="4"/>
        <v>0</v>
      </c>
      <c r="F144">
        <f>all_data!F144</f>
        <v>0</v>
      </c>
      <c r="H144">
        <f t="shared" si="5"/>
        <v>0</v>
      </c>
    </row>
    <row r="145" spans="1:8">
      <c r="A145">
        <f>all_data!A145</f>
        <v>143</v>
      </c>
      <c r="B145" t="str">
        <f>IF(D145&gt;0,all_data!B145,"")</f>
        <v/>
      </c>
      <c r="C145">
        <f>all_data!C145</f>
        <v>0</v>
      </c>
      <c r="D145">
        <f>all_data!D145</f>
        <v>0</v>
      </c>
      <c r="E145" s="5">
        <f t="shared" si="4"/>
        <v>0</v>
      </c>
      <c r="F145">
        <f>all_data!F145</f>
        <v>0</v>
      </c>
      <c r="H145">
        <f t="shared" si="5"/>
        <v>0</v>
      </c>
    </row>
    <row r="146" spans="1:8">
      <c r="A146">
        <f>all_data!A146</f>
        <v>144</v>
      </c>
      <c r="B146" t="str">
        <f>IF(D146&gt;0,all_data!B146,"")</f>
        <v/>
      </c>
      <c r="C146">
        <f>all_data!C146</f>
        <v>0</v>
      </c>
      <c r="D146">
        <f>all_data!D146</f>
        <v>0</v>
      </c>
      <c r="E146" s="5">
        <f t="shared" si="4"/>
        <v>0</v>
      </c>
      <c r="F146">
        <f>all_data!F146</f>
        <v>0</v>
      </c>
      <c r="H146">
        <f t="shared" si="5"/>
        <v>0</v>
      </c>
    </row>
    <row r="147" spans="1:8">
      <c r="A147">
        <f>all_data!A147</f>
        <v>145</v>
      </c>
      <c r="B147" t="str">
        <f>IF(D147&gt;0,all_data!B147,"")</f>
        <v/>
      </c>
      <c r="C147">
        <f>all_data!C147</f>
        <v>0</v>
      </c>
      <c r="D147">
        <f>all_data!D147</f>
        <v>0</v>
      </c>
      <c r="E147" s="5">
        <f t="shared" si="4"/>
        <v>0</v>
      </c>
      <c r="F147">
        <f>all_data!F147</f>
        <v>0</v>
      </c>
      <c r="H147">
        <f t="shared" si="5"/>
        <v>0</v>
      </c>
    </row>
    <row r="148" spans="1:8">
      <c r="A148">
        <f>all_data!A148</f>
        <v>146</v>
      </c>
      <c r="B148" t="str">
        <f>IF(D148&gt;0,all_data!B148,"")</f>
        <v/>
      </c>
      <c r="C148">
        <f>all_data!C148</f>
        <v>0</v>
      </c>
      <c r="D148">
        <f>all_data!D148</f>
        <v>0</v>
      </c>
      <c r="E148" s="5">
        <f t="shared" si="4"/>
        <v>0</v>
      </c>
      <c r="F148">
        <f>all_data!F148</f>
        <v>0</v>
      </c>
      <c r="H148">
        <f t="shared" si="5"/>
        <v>0</v>
      </c>
    </row>
    <row r="149" spans="1:8">
      <c r="A149">
        <f>all_data!A149</f>
        <v>147</v>
      </c>
      <c r="B149" t="str">
        <f>IF(D149&gt;0,all_data!B149,"")</f>
        <v/>
      </c>
      <c r="C149">
        <f>all_data!C149</f>
        <v>0</v>
      </c>
      <c r="D149">
        <f>all_data!D149</f>
        <v>0</v>
      </c>
      <c r="E149" s="5">
        <f t="shared" si="4"/>
        <v>0</v>
      </c>
      <c r="F149">
        <f>all_data!F149</f>
        <v>0</v>
      </c>
      <c r="H149">
        <f t="shared" si="5"/>
        <v>0</v>
      </c>
    </row>
    <row r="150" spans="1:8">
      <c r="A150">
        <f>all_data!A150</f>
        <v>148</v>
      </c>
      <c r="B150" t="str">
        <f>IF(D150&gt;0,all_data!B150,"")</f>
        <v/>
      </c>
      <c r="C150">
        <f>all_data!C150</f>
        <v>0</v>
      </c>
      <c r="D150">
        <f>all_data!D150</f>
        <v>0</v>
      </c>
      <c r="E150" s="5">
        <f t="shared" si="4"/>
        <v>0</v>
      </c>
      <c r="F150">
        <f>all_data!F150</f>
        <v>0</v>
      </c>
      <c r="H150">
        <f t="shared" si="5"/>
        <v>0</v>
      </c>
    </row>
    <row r="151" spans="1:8">
      <c r="A151">
        <f>all_data!A151</f>
        <v>149</v>
      </c>
      <c r="B151" t="str">
        <f>IF(D151&gt;0,all_data!B151,"")</f>
        <v/>
      </c>
      <c r="C151">
        <f>all_data!C151</f>
        <v>0</v>
      </c>
      <c r="D151">
        <f>all_data!D151</f>
        <v>0</v>
      </c>
      <c r="E151" s="5">
        <f t="shared" si="4"/>
        <v>0</v>
      </c>
      <c r="F151">
        <f>all_data!F151</f>
        <v>0</v>
      </c>
      <c r="H151">
        <f t="shared" si="5"/>
        <v>0</v>
      </c>
    </row>
    <row r="152" spans="1:8">
      <c r="A152">
        <f>all_data!A152</f>
        <v>150</v>
      </c>
      <c r="B152" t="str">
        <f>IF(D152&gt;0,all_data!B152,"")</f>
        <v/>
      </c>
      <c r="C152">
        <f>all_data!C152</f>
        <v>0</v>
      </c>
      <c r="D152">
        <f>all_data!D152</f>
        <v>0</v>
      </c>
      <c r="E152" s="5">
        <f t="shared" si="4"/>
        <v>0</v>
      </c>
      <c r="F152">
        <f>all_data!F152</f>
        <v>0</v>
      </c>
      <c r="H152">
        <f t="shared" si="5"/>
        <v>0</v>
      </c>
    </row>
    <row r="153" spans="1:8">
      <c r="A153">
        <f>all_data!A153</f>
        <v>151</v>
      </c>
      <c r="B153" t="str">
        <f>IF(D153&gt;0,all_data!B153,"")</f>
        <v/>
      </c>
      <c r="C153">
        <f>all_data!C153</f>
        <v>0</v>
      </c>
      <c r="D153">
        <f>all_data!D153</f>
        <v>0</v>
      </c>
      <c r="E153" s="5">
        <f t="shared" si="4"/>
        <v>0</v>
      </c>
      <c r="F153">
        <f>all_data!F153</f>
        <v>0</v>
      </c>
      <c r="H153">
        <f t="shared" si="5"/>
        <v>0</v>
      </c>
    </row>
    <row r="154" spans="1:8">
      <c r="A154">
        <f>all_data!A154</f>
        <v>152</v>
      </c>
      <c r="B154" t="str">
        <f>IF(D154&gt;0,all_data!B154,"")</f>
        <v/>
      </c>
      <c r="C154">
        <f>all_data!C154</f>
        <v>0</v>
      </c>
      <c r="D154">
        <f>all_data!D154</f>
        <v>0</v>
      </c>
      <c r="E154" s="5">
        <f t="shared" si="4"/>
        <v>0</v>
      </c>
      <c r="F154">
        <f>all_data!F154</f>
        <v>0</v>
      </c>
      <c r="H154">
        <f t="shared" si="5"/>
        <v>0</v>
      </c>
    </row>
    <row r="155" spans="1:8">
      <c r="A155">
        <f>all_data!A155</f>
        <v>153</v>
      </c>
      <c r="B155" t="str">
        <f>IF(D155&gt;0,all_data!B155,"")</f>
        <v/>
      </c>
      <c r="C155">
        <f>all_data!C155</f>
        <v>0</v>
      </c>
      <c r="D155">
        <f>all_data!D155</f>
        <v>0</v>
      </c>
      <c r="E155" s="5">
        <f t="shared" si="4"/>
        <v>0</v>
      </c>
      <c r="F155">
        <f>all_data!F155</f>
        <v>0</v>
      </c>
      <c r="H155">
        <f t="shared" si="5"/>
        <v>0</v>
      </c>
    </row>
    <row r="156" spans="1:8">
      <c r="A156">
        <f>all_data!A156</f>
        <v>154</v>
      </c>
      <c r="B156" t="str">
        <f>IF(D156&gt;0,all_data!B156,"")</f>
        <v/>
      </c>
      <c r="C156">
        <f>all_data!C156</f>
        <v>0</v>
      </c>
      <c r="D156">
        <f>all_data!D156</f>
        <v>0</v>
      </c>
      <c r="E156" s="5">
        <f t="shared" si="4"/>
        <v>0</v>
      </c>
      <c r="F156">
        <f>all_data!F156</f>
        <v>0</v>
      </c>
      <c r="H156">
        <f t="shared" si="5"/>
        <v>0</v>
      </c>
    </row>
    <row r="157" spans="1:8">
      <c r="A157">
        <f>all_data!A157</f>
        <v>155</v>
      </c>
      <c r="B157" t="str">
        <f>IF(D157&gt;0,all_data!B157,"")</f>
        <v/>
      </c>
      <c r="C157">
        <f>all_data!C157</f>
        <v>0</v>
      </c>
      <c r="D157">
        <f>all_data!D157</f>
        <v>0</v>
      </c>
      <c r="E157" s="5">
        <f t="shared" si="4"/>
        <v>0</v>
      </c>
      <c r="F157">
        <f>all_data!F157</f>
        <v>0</v>
      </c>
      <c r="H157">
        <f t="shared" si="5"/>
        <v>0</v>
      </c>
    </row>
    <row r="158" spans="1:8">
      <c r="A158">
        <f>all_data!A158</f>
        <v>156</v>
      </c>
      <c r="B158" t="str">
        <f>IF(D158&gt;0,all_data!B158,"")</f>
        <v/>
      </c>
      <c r="C158">
        <f>all_data!C158</f>
        <v>0</v>
      </c>
      <c r="D158">
        <f>all_data!D158</f>
        <v>0</v>
      </c>
      <c r="E158" s="5">
        <f t="shared" si="4"/>
        <v>0</v>
      </c>
      <c r="F158">
        <f>all_data!F158</f>
        <v>0</v>
      </c>
      <c r="H158">
        <f t="shared" si="5"/>
        <v>0</v>
      </c>
    </row>
    <row r="159" spans="1:8">
      <c r="A159">
        <f>all_data!A159</f>
        <v>157</v>
      </c>
      <c r="B159" t="str">
        <f>IF(D159&gt;0,all_data!B159,"")</f>
        <v/>
      </c>
      <c r="C159">
        <f>all_data!C159</f>
        <v>0</v>
      </c>
      <c r="D159">
        <f>all_data!D159</f>
        <v>0</v>
      </c>
      <c r="E159" s="5">
        <f t="shared" si="4"/>
        <v>0</v>
      </c>
      <c r="F159">
        <f>all_data!F159</f>
        <v>0</v>
      </c>
      <c r="H159">
        <f t="shared" si="5"/>
        <v>0</v>
      </c>
    </row>
    <row r="160" spans="1:8">
      <c r="A160">
        <f>all_data!A160</f>
        <v>158</v>
      </c>
      <c r="B160" t="str">
        <f>IF(D160&gt;0,all_data!B160,"")</f>
        <v/>
      </c>
      <c r="C160">
        <f>all_data!C160</f>
        <v>0</v>
      </c>
      <c r="D160">
        <f>all_data!D160</f>
        <v>0</v>
      </c>
      <c r="E160" s="5">
        <f t="shared" si="4"/>
        <v>0</v>
      </c>
      <c r="F160">
        <f>all_data!F160</f>
        <v>0</v>
      </c>
      <c r="H160">
        <f t="shared" si="5"/>
        <v>0</v>
      </c>
    </row>
    <row r="161" spans="1:8">
      <c r="A161">
        <f>all_data!A161</f>
        <v>159</v>
      </c>
      <c r="B161" t="str">
        <f>IF(D161&gt;0,all_data!B161,"")</f>
        <v/>
      </c>
      <c r="C161">
        <f>all_data!C161</f>
        <v>0</v>
      </c>
      <c r="D161">
        <f>all_data!D161</f>
        <v>0</v>
      </c>
      <c r="E161" s="5">
        <f t="shared" si="4"/>
        <v>0</v>
      </c>
      <c r="F161">
        <f>all_data!F161</f>
        <v>0</v>
      </c>
      <c r="H161">
        <f t="shared" si="5"/>
        <v>0</v>
      </c>
    </row>
    <row r="162" spans="1:8">
      <c r="A162">
        <f>all_data!A162</f>
        <v>160</v>
      </c>
      <c r="B162" t="str">
        <f>IF(D162&gt;0,all_data!B162,"")</f>
        <v/>
      </c>
      <c r="C162">
        <f>all_data!C162</f>
        <v>0</v>
      </c>
      <c r="D162">
        <f>all_data!D162</f>
        <v>0</v>
      </c>
      <c r="E162" s="5">
        <f t="shared" si="4"/>
        <v>0</v>
      </c>
      <c r="F162">
        <f>all_data!F162</f>
        <v>0</v>
      </c>
      <c r="H162">
        <f t="shared" si="5"/>
        <v>0</v>
      </c>
    </row>
    <row r="163" spans="1:8">
      <c r="A163">
        <f>all_data!A163</f>
        <v>161</v>
      </c>
      <c r="B163" t="str">
        <f>IF(D163&gt;0,all_data!B163,"")</f>
        <v/>
      </c>
      <c r="C163">
        <f>all_data!C163</f>
        <v>0</v>
      </c>
      <c r="D163">
        <f>all_data!D163</f>
        <v>0</v>
      </c>
      <c r="E163" s="5">
        <f t="shared" si="4"/>
        <v>0</v>
      </c>
      <c r="F163">
        <f>all_data!F163</f>
        <v>0</v>
      </c>
      <c r="H163">
        <f t="shared" si="5"/>
        <v>0</v>
      </c>
    </row>
    <row r="164" spans="1:8">
      <c r="A164">
        <f>all_data!A164</f>
        <v>162</v>
      </c>
      <c r="B164" t="str">
        <f>IF(D164&gt;0,all_data!B164,"")</f>
        <v/>
      </c>
      <c r="C164">
        <f>all_data!C164</f>
        <v>0</v>
      </c>
      <c r="D164">
        <f>all_data!D164</f>
        <v>0</v>
      </c>
      <c r="E164" s="5">
        <f t="shared" si="4"/>
        <v>0</v>
      </c>
      <c r="F164">
        <f>all_data!F164</f>
        <v>0</v>
      </c>
      <c r="H164">
        <f t="shared" si="5"/>
        <v>0</v>
      </c>
    </row>
    <row r="165" spans="1:8">
      <c r="A165">
        <f>all_data!A165</f>
        <v>163</v>
      </c>
      <c r="B165" t="str">
        <f>IF(D165&gt;0,all_data!B165,"")</f>
        <v/>
      </c>
      <c r="C165">
        <f>all_data!C165</f>
        <v>0</v>
      </c>
      <c r="D165">
        <f>all_data!D165</f>
        <v>0</v>
      </c>
      <c r="E165" s="5">
        <f t="shared" si="4"/>
        <v>0</v>
      </c>
      <c r="F165">
        <f>all_data!F165</f>
        <v>0</v>
      </c>
      <c r="H165">
        <f t="shared" si="5"/>
        <v>0</v>
      </c>
    </row>
    <row r="166" spans="1:8">
      <c r="A166">
        <f>all_data!A166</f>
        <v>164</v>
      </c>
      <c r="B166" t="str">
        <f>IF(D166&gt;0,all_data!B166,"")</f>
        <v/>
      </c>
      <c r="C166">
        <f>all_data!C166</f>
        <v>0</v>
      </c>
      <c r="D166">
        <f>all_data!D166</f>
        <v>0</v>
      </c>
      <c r="E166" s="5">
        <f t="shared" si="4"/>
        <v>0</v>
      </c>
      <c r="F166">
        <f>all_data!F166</f>
        <v>0</v>
      </c>
      <c r="H166">
        <f t="shared" si="5"/>
        <v>0</v>
      </c>
    </row>
    <row r="167" spans="1:8">
      <c r="A167">
        <f>all_data!A167</f>
        <v>165</v>
      </c>
      <c r="B167" t="str">
        <f>IF(D167&gt;0,all_data!B167,"")</f>
        <v/>
      </c>
      <c r="C167">
        <f>all_data!C167</f>
        <v>0</v>
      </c>
      <c r="D167">
        <f>all_data!D167</f>
        <v>0</v>
      </c>
      <c r="E167" s="5">
        <f t="shared" si="4"/>
        <v>0</v>
      </c>
      <c r="F167">
        <f>all_data!F167</f>
        <v>0</v>
      </c>
      <c r="H167">
        <f t="shared" si="5"/>
        <v>0</v>
      </c>
    </row>
    <row r="168" spans="1:8">
      <c r="A168">
        <f>all_data!A168</f>
        <v>166</v>
      </c>
      <c r="B168" t="str">
        <f>IF(D168&gt;0,all_data!B168,"")</f>
        <v/>
      </c>
      <c r="C168">
        <f>all_data!C168</f>
        <v>0</v>
      </c>
      <c r="D168">
        <f>all_data!D168</f>
        <v>0</v>
      </c>
      <c r="E168" s="5">
        <f t="shared" si="4"/>
        <v>0</v>
      </c>
      <c r="F168">
        <f>all_data!F168</f>
        <v>0</v>
      </c>
      <c r="H168">
        <f t="shared" si="5"/>
        <v>0</v>
      </c>
    </row>
    <row r="169" spans="1:8">
      <c r="A169">
        <f>all_data!A169</f>
        <v>167</v>
      </c>
      <c r="B169" t="str">
        <f>IF(D169&gt;0,all_data!B169,"")</f>
        <v/>
      </c>
      <c r="C169">
        <f>all_data!C169</f>
        <v>0</v>
      </c>
      <c r="D169">
        <f>all_data!D169</f>
        <v>0</v>
      </c>
      <c r="E169" s="5">
        <f t="shared" si="4"/>
        <v>0</v>
      </c>
      <c r="F169">
        <f>all_data!F169</f>
        <v>0</v>
      </c>
      <c r="H169">
        <f t="shared" si="5"/>
        <v>0</v>
      </c>
    </row>
    <row r="170" spans="1:8">
      <c r="A170">
        <f>all_data!A170</f>
        <v>168</v>
      </c>
      <c r="B170" t="str">
        <f>IF(D170&gt;0,all_data!B170,"")</f>
        <v/>
      </c>
      <c r="C170">
        <f>all_data!C170</f>
        <v>0</v>
      </c>
      <c r="D170">
        <f>all_data!D170</f>
        <v>0</v>
      </c>
      <c r="E170" s="5">
        <f t="shared" si="4"/>
        <v>0</v>
      </c>
      <c r="F170">
        <f>all_data!F170</f>
        <v>0</v>
      </c>
      <c r="H170">
        <f t="shared" si="5"/>
        <v>0</v>
      </c>
    </row>
    <row r="171" spans="1:8">
      <c r="A171">
        <f>all_data!A171</f>
        <v>169</v>
      </c>
      <c r="B171" t="str">
        <f>IF(D171&gt;0,all_data!B171,"")</f>
        <v/>
      </c>
      <c r="C171">
        <f>all_data!C171</f>
        <v>0</v>
      </c>
      <c r="D171">
        <f>all_data!D171</f>
        <v>0</v>
      </c>
      <c r="E171" s="5">
        <f t="shared" si="4"/>
        <v>0</v>
      </c>
      <c r="F171">
        <f>all_data!F171</f>
        <v>0</v>
      </c>
      <c r="H171">
        <f t="shared" si="5"/>
        <v>0</v>
      </c>
    </row>
    <row r="172" spans="1:8">
      <c r="A172">
        <f>all_data!A172</f>
        <v>170</v>
      </c>
      <c r="B172" t="str">
        <f>IF(D172&gt;0,all_data!B172,"")</f>
        <v/>
      </c>
      <c r="C172">
        <f>all_data!C172</f>
        <v>0</v>
      </c>
      <c r="D172">
        <f>all_data!D172</f>
        <v>0</v>
      </c>
      <c r="E172" s="5">
        <f t="shared" si="4"/>
        <v>0</v>
      </c>
      <c r="F172">
        <f>all_data!F172</f>
        <v>0</v>
      </c>
      <c r="H172">
        <f t="shared" si="5"/>
        <v>0</v>
      </c>
    </row>
    <row r="173" spans="1:8">
      <c r="A173">
        <f>all_data!A173</f>
        <v>171</v>
      </c>
      <c r="B173" t="str">
        <f>IF(D173&gt;0,all_data!B173,"")</f>
        <v/>
      </c>
      <c r="C173">
        <f>all_data!C173</f>
        <v>0</v>
      </c>
      <c r="D173">
        <f>all_data!D173</f>
        <v>0</v>
      </c>
      <c r="E173" s="5">
        <f t="shared" si="4"/>
        <v>0</v>
      </c>
      <c r="F173">
        <f>all_data!F173</f>
        <v>0</v>
      </c>
      <c r="H173">
        <f t="shared" si="5"/>
        <v>0</v>
      </c>
    </row>
    <row r="174" spans="1:8">
      <c r="A174">
        <f>all_data!A174</f>
        <v>172</v>
      </c>
      <c r="B174" t="str">
        <f>IF(D174&gt;0,all_data!B174,"")</f>
        <v/>
      </c>
      <c r="C174">
        <f>all_data!C174</f>
        <v>0</v>
      </c>
      <c r="D174">
        <f>all_data!D174</f>
        <v>0</v>
      </c>
      <c r="E174" s="5">
        <f t="shared" si="4"/>
        <v>0</v>
      </c>
      <c r="F174">
        <f>all_data!F174</f>
        <v>0</v>
      </c>
      <c r="H174">
        <f t="shared" si="5"/>
        <v>0</v>
      </c>
    </row>
    <row r="175" spans="1:8">
      <c r="A175">
        <f>all_data!A175</f>
        <v>173</v>
      </c>
      <c r="B175" t="str">
        <f>IF(D175&gt;0,all_data!B175,"")</f>
        <v/>
      </c>
      <c r="C175">
        <f>all_data!C175</f>
        <v>0</v>
      </c>
      <c r="D175">
        <f>all_data!D175</f>
        <v>0</v>
      </c>
      <c r="E175" s="5">
        <f t="shared" si="4"/>
        <v>0</v>
      </c>
      <c r="F175">
        <f>all_data!F175</f>
        <v>0</v>
      </c>
      <c r="H175">
        <f t="shared" si="5"/>
        <v>0</v>
      </c>
    </row>
    <row r="176" spans="1:8">
      <c r="A176">
        <f>all_data!A176</f>
        <v>174</v>
      </c>
      <c r="B176" t="str">
        <f>IF(D176&gt;0,all_data!B176,"")</f>
        <v/>
      </c>
      <c r="C176">
        <f>all_data!C176</f>
        <v>0</v>
      </c>
      <c r="D176">
        <f>all_data!D176</f>
        <v>0</v>
      </c>
      <c r="E176" s="5">
        <f t="shared" si="4"/>
        <v>0</v>
      </c>
      <c r="F176">
        <f>all_data!F176</f>
        <v>0</v>
      </c>
      <c r="H176">
        <f t="shared" si="5"/>
        <v>0</v>
      </c>
    </row>
    <row r="177" spans="1:8">
      <c r="A177">
        <f>all_data!A177</f>
        <v>175</v>
      </c>
      <c r="B177" t="str">
        <f>IF(D177&gt;0,all_data!B177,"")</f>
        <v/>
      </c>
      <c r="C177">
        <f>all_data!C177</f>
        <v>0</v>
      </c>
      <c r="D177">
        <f>all_data!D177</f>
        <v>0</v>
      </c>
      <c r="E177" s="5">
        <f t="shared" si="4"/>
        <v>0</v>
      </c>
      <c r="F177">
        <f>all_data!F177</f>
        <v>0</v>
      </c>
      <c r="H177">
        <f t="shared" si="5"/>
        <v>0</v>
      </c>
    </row>
    <row r="178" spans="1:8">
      <c r="A178">
        <f>all_data!A178</f>
        <v>176</v>
      </c>
      <c r="B178" t="str">
        <f>IF(D178&gt;0,all_data!B178,"")</f>
        <v/>
      </c>
      <c r="C178">
        <f>all_data!C178</f>
        <v>0</v>
      </c>
      <c r="D178">
        <f>all_data!D178</f>
        <v>0</v>
      </c>
      <c r="E178" s="5">
        <f t="shared" si="4"/>
        <v>0</v>
      </c>
      <c r="F178">
        <f>all_data!F178</f>
        <v>0</v>
      </c>
      <c r="H178">
        <f t="shared" si="5"/>
        <v>0</v>
      </c>
    </row>
    <row r="179" spans="1:8">
      <c r="A179">
        <f>all_data!A179</f>
        <v>177</v>
      </c>
      <c r="B179" t="str">
        <f>IF(D179&gt;0,all_data!B179,"")</f>
        <v/>
      </c>
      <c r="C179">
        <f>all_data!C179</f>
        <v>0</v>
      </c>
      <c r="D179">
        <f>all_data!D179</f>
        <v>0</v>
      </c>
      <c r="E179" s="5">
        <f t="shared" si="4"/>
        <v>0</v>
      </c>
      <c r="F179">
        <f>all_data!F179</f>
        <v>0</v>
      </c>
      <c r="H179">
        <f t="shared" si="5"/>
        <v>0</v>
      </c>
    </row>
    <row r="180" spans="1:8">
      <c r="A180">
        <f>all_data!A180</f>
        <v>178</v>
      </c>
      <c r="B180" t="str">
        <f>IF(D180&gt;0,all_data!B180,"")</f>
        <v/>
      </c>
      <c r="C180">
        <f>all_data!C180</f>
        <v>0</v>
      </c>
      <c r="D180">
        <f>all_data!D180</f>
        <v>0</v>
      </c>
      <c r="E180" s="5">
        <f t="shared" si="4"/>
        <v>0</v>
      </c>
      <c r="F180">
        <f>all_data!F180</f>
        <v>0</v>
      </c>
      <c r="H180">
        <f t="shared" si="5"/>
        <v>0</v>
      </c>
    </row>
    <row r="181" spans="1:8">
      <c r="A181">
        <f>all_data!A181</f>
        <v>179</v>
      </c>
      <c r="B181" t="str">
        <f>IF(D181&gt;0,all_data!B181,"")</f>
        <v/>
      </c>
      <c r="C181">
        <f>all_data!C181</f>
        <v>0</v>
      </c>
      <c r="D181">
        <f>all_data!D181</f>
        <v>0</v>
      </c>
      <c r="E181" s="5">
        <f t="shared" si="4"/>
        <v>0</v>
      </c>
      <c r="F181">
        <f>all_data!F181</f>
        <v>0</v>
      </c>
      <c r="H181">
        <f t="shared" si="5"/>
        <v>0</v>
      </c>
    </row>
    <row r="182" spans="1:8">
      <c r="A182">
        <f>all_data!A182</f>
        <v>180</v>
      </c>
      <c r="B182" t="str">
        <f>IF(D182&gt;0,all_data!B182,"")</f>
        <v/>
      </c>
      <c r="C182">
        <f>all_data!C182</f>
        <v>0</v>
      </c>
      <c r="D182">
        <f>all_data!D182</f>
        <v>0</v>
      </c>
      <c r="E182" s="5">
        <f t="shared" si="4"/>
        <v>0</v>
      </c>
      <c r="F182">
        <f>all_data!F182</f>
        <v>0</v>
      </c>
      <c r="H182">
        <f t="shared" si="5"/>
        <v>0</v>
      </c>
    </row>
    <row r="183" spans="1:8">
      <c r="A183">
        <f>all_data!A183</f>
        <v>181</v>
      </c>
      <c r="B183" t="str">
        <f>IF(D183&gt;0,all_data!B183,"")</f>
        <v/>
      </c>
      <c r="C183">
        <f>all_data!C183</f>
        <v>0</v>
      </c>
      <c r="D183">
        <f>all_data!D183</f>
        <v>0</v>
      </c>
      <c r="E183" s="5">
        <f t="shared" si="4"/>
        <v>0</v>
      </c>
      <c r="F183">
        <f>all_data!F183</f>
        <v>0</v>
      </c>
      <c r="H183">
        <f t="shared" si="5"/>
        <v>0</v>
      </c>
    </row>
    <row r="184" spans="1:8">
      <c r="A184">
        <f>all_data!A184</f>
        <v>182</v>
      </c>
      <c r="B184" t="str">
        <f>IF(D184&gt;0,all_data!B184,"")</f>
        <v/>
      </c>
      <c r="C184">
        <f>all_data!C184</f>
        <v>0</v>
      </c>
      <c r="D184">
        <f>all_data!D184</f>
        <v>0</v>
      </c>
      <c r="E184" s="5">
        <f t="shared" si="4"/>
        <v>0</v>
      </c>
      <c r="F184">
        <f>all_data!F184</f>
        <v>0</v>
      </c>
      <c r="H184">
        <f t="shared" si="5"/>
        <v>0</v>
      </c>
    </row>
    <row r="185" spans="1:8">
      <c r="A185">
        <f>all_data!A185</f>
        <v>183</v>
      </c>
      <c r="B185" t="str">
        <f>IF(D185&gt;0,all_data!B185,"")</f>
        <v/>
      </c>
      <c r="C185">
        <f>all_data!C185</f>
        <v>0</v>
      </c>
      <c r="D185">
        <f>all_data!D185</f>
        <v>0</v>
      </c>
      <c r="E185" s="5">
        <f t="shared" si="4"/>
        <v>0</v>
      </c>
      <c r="F185">
        <f>all_data!F185</f>
        <v>0</v>
      </c>
      <c r="H185">
        <f t="shared" si="5"/>
        <v>0</v>
      </c>
    </row>
    <row r="186" spans="1:8">
      <c r="A186">
        <f>all_data!A186</f>
        <v>184</v>
      </c>
      <c r="B186" t="str">
        <f>IF(D186&gt;0,all_data!B186,"")</f>
        <v/>
      </c>
      <c r="C186">
        <f>all_data!C186</f>
        <v>0</v>
      </c>
      <c r="D186">
        <f>all_data!D186</f>
        <v>0</v>
      </c>
      <c r="E186" s="5">
        <f t="shared" si="4"/>
        <v>0</v>
      </c>
      <c r="F186">
        <f>all_data!F186</f>
        <v>0</v>
      </c>
      <c r="H186">
        <f t="shared" si="5"/>
        <v>0</v>
      </c>
    </row>
    <row r="187" spans="1:8">
      <c r="A187">
        <f>all_data!A187</f>
        <v>185</v>
      </c>
      <c r="B187" t="str">
        <f>IF(D187&gt;0,all_data!B187,"")</f>
        <v/>
      </c>
      <c r="C187">
        <f>all_data!C187</f>
        <v>0</v>
      </c>
      <c r="D187">
        <f>all_data!D187</f>
        <v>0</v>
      </c>
      <c r="E187" s="5">
        <f t="shared" si="4"/>
        <v>0</v>
      </c>
      <c r="F187">
        <f>all_data!F187</f>
        <v>0</v>
      </c>
      <c r="H187">
        <f t="shared" si="5"/>
        <v>0</v>
      </c>
    </row>
    <row r="188" spans="1:8">
      <c r="A188">
        <f>all_data!A188</f>
        <v>186</v>
      </c>
      <c r="B188" t="str">
        <f>IF(D188&gt;0,all_data!B188,"")</f>
        <v/>
      </c>
      <c r="C188">
        <f>all_data!C188</f>
        <v>0</v>
      </c>
      <c r="D188">
        <f>all_data!D188</f>
        <v>0</v>
      </c>
      <c r="E188" s="5">
        <f t="shared" si="4"/>
        <v>0</v>
      </c>
      <c r="F188">
        <f>all_data!F188</f>
        <v>0</v>
      </c>
      <c r="H188">
        <f t="shared" si="5"/>
        <v>0</v>
      </c>
    </row>
    <row r="189" spans="1:8">
      <c r="A189">
        <f>all_data!A189</f>
        <v>187</v>
      </c>
      <c r="B189" t="str">
        <f>IF(D189&gt;0,all_data!B189,"")</f>
        <v/>
      </c>
      <c r="C189">
        <f>all_data!C189</f>
        <v>0</v>
      </c>
      <c r="D189">
        <f>all_data!D189</f>
        <v>0</v>
      </c>
      <c r="E189" s="5">
        <f t="shared" si="4"/>
        <v>0</v>
      </c>
      <c r="F189">
        <f>all_data!F189</f>
        <v>0</v>
      </c>
      <c r="H189">
        <f t="shared" si="5"/>
        <v>0</v>
      </c>
    </row>
    <row r="190" spans="1:8">
      <c r="A190">
        <f>all_data!A190</f>
        <v>188</v>
      </c>
      <c r="B190" t="str">
        <f>IF(D190&gt;0,all_data!B190,"")</f>
        <v/>
      </c>
      <c r="C190">
        <f>all_data!C190</f>
        <v>0</v>
      </c>
      <c r="D190">
        <f>all_data!D190</f>
        <v>0</v>
      </c>
      <c r="E190" s="5">
        <f t="shared" si="4"/>
        <v>0</v>
      </c>
      <c r="F190">
        <f>all_data!F190</f>
        <v>0</v>
      </c>
      <c r="H190">
        <f t="shared" si="5"/>
        <v>0</v>
      </c>
    </row>
    <row r="191" spans="1:8">
      <c r="A191">
        <f>all_data!A191</f>
        <v>189</v>
      </c>
      <c r="B191" t="str">
        <f>IF(D191&gt;0,all_data!B191,"")</f>
        <v/>
      </c>
      <c r="C191">
        <f>all_data!C191</f>
        <v>0</v>
      </c>
      <c r="D191">
        <f>all_data!D191</f>
        <v>0</v>
      </c>
      <c r="E191" s="5">
        <f t="shared" si="4"/>
        <v>0</v>
      </c>
      <c r="F191">
        <f>all_data!F191</f>
        <v>0</v>
      </c>
      <c r="H191">
        <f t="shared" si="5"/>
        <v>0</v>
      </c>
    </row>
    <row r="192" spans="1:8">
      <c r="A192">
        <f>all_data!A192</f>
        <v>190</v>
      </c>
      <c r="B192" t="str">
        <f>IF(D192&gt;0,all_data!B192,"")</f>
        <v/>
      </c>
      <c r="C192">
        <f>all_data!C192</f>
        <v>0</v>
      </c>
      <c r="D192">
        <f>all_data!D192</f>
        <v>0</v>
      </c>
      <c r="E192" s="5">
        <f t="shared" si="4"/>
        <v>0</v>
      </c>
      <c r="F192">
        <f>all_data!F192</f>
        <v>0</v>
      </c>
      <c r="H192">
        <f t="shared" si="5"/>
        <v>0</v>
      </c>
    </row>
    <row r="193" spans="1:8">
      <c r="A193">
        <f>all_data!A193</f>
        <v>191</v>
      </c>
      <c r="B193" t="str">
        <f>IF(D193&gt;0,all_data!B193,"")</f>
        <v/>
      </c>
      <c r="C193">
        <f>all_data!C193</f>
        <v>0</v>
      </c>
      <c r="D193">
        <f>all_data!D193</f>
        <v>0</v>
      </c>
      <c r="E193" s="5">
        <f t="shared" si="4"/>
        <v>0</v>
      </c>
      <c r="F193">
        <f>all_data!F193</f>
        <v>0</v>
      </c>
      <c r="H193">
        <f t="shared" si="5"/>
        <v>0</v>
      </c>
    </row>
    <row r="194" spans="1:8">
      <c r="A194">
        <f>all_data!A194</f>
        <v>192</v>
      </c>
      <c r="B194" t="str">
        <f>IF(D194&gt;0,all_data!B194,"")</f>
        <v/>
      </c>
      <c r="C194">
        <f>all_data!C194</f>
        <v>0</v>
      </c>
      <c r="D194">
        <f>all_data!D194</f>
        <v>0</v>
      </c>
      <c r="E194" s="5">
        <f t="shared" si="4"/>
        <v>0</v>
      </c>
      <c r="F194">
        <f>all_data!F194</f>
        <v>0</v>
      </c>
      <c r="H194">
        <f t="shared" si="5"/>
        <v>0</v>
      </c>
    </row>
    <row r="195" spans="1:8">
      <c r="A195">
        <f>all_data!A195</f>
        <v>193</v>
      </c>
      <c r="B195" t="str">
        <f>IF(D195&gt;0,all_data!B195,"")</f>
        <v/>
      </c>
      <c r="C195">
        <f>all_data!C195</f>
        <v>0</v>
      </c>
      <c r="D195">
        <f>all_data!D195</f>
        <v>0</v>
      </c>
      <c r="E195" s="5">
        <f t="shared" ref="E195:E258" si="6">IF(D195&lt;=0,,D195/C195)</f>
        <v>0</v>
      </c>
      <c r="F195">
        <f>all_data!F195</f>
        <v>0</v>
      </c>
      <c r="H195">
        <f t="shared" ref="H195:H258" si="7">IF(C195&lt;=10,D195,0)</f>
        <v>0</v>
      </c>
    </row>
    <row r="196" spans="1:8">
      <c r="A196">
        <f>all_data!A196</f>
        <v>194</v>
      </c>
      <c r="B196" t="str">
        <f>IF(D196&gt;0,all_data!B196,"")</f>
        <v/>
      </c>
      <c r="C196">
        <f>all_data!C196</f>
        <v>0</v>
      </c>
      <c r="D196">
        <f>all_data!D196</f>
        <v>0</v>
      </c>
      <c r="E196" s="5">
        <f t="shared" si="6"/>
        <v>0</v>
      </c>
      <c r="F196">
        <f>all_data!F196</f>
        <v>0</v>
      </c>
      <c r="H196">
        <f t="shared" si="7"/>
        <v>0</v>
      </c>
    </row>
    <row r="197" spans="1:8">
      <c r="A197">
        <f>all_data!A197</f>
        <v>195</v>
      </c>
      <c r="B197" t="str">
        <f>IF(D197&gt;0,all_data!B197,"")</f>
        <v/>
      </c>
      <c r="C197">
        <f>all_data!C197</f>
        <v>0</v>
      </c>
      <c r="D197">
        <f>all_data!D197</f>
        <v>0</v>
      </c>
      <c r="E197" s="5">
        <f t="shared" si="6"/>
        <v>0</v>
      </c>
      <c r="F197">
        <f>all_data!F197</f>
        <v>0</v>
      </c>
      <c r="H197">
        <f t="shared" si="7"/>
        <v>0</v>
      </c>
    </row>
    <row r="198" spans="1:8">
      <c r="A198">
        <f>all_data!A198</f>
        <v>196</v>
      </c>
      <c r="B198" t="str">
        <f>IF(D198&gt;0,all_data!B198,"")</f>
        <v/>
      </c>
      <c r="C198">
        <f>all_data!C198</f>
        <v>0</v>
      </c>
      <c r="D198">
        <f>all_data!D198</f>
        <v>0</v>
      </c>
      <c r="E198" s="5">
        <f t="shared" si="6"/>
        <v>0</v>
      </c>
      <c r="F198">
        <f>all_data!F198</f>
        <v>0</v>
      </c>
      <c r="H198">
        <f t="shared" si="7"/>
        <v>0</v>
      </c>
    </row>
    <row r="199" spans="1:8">
      <c r="A199">
        <f>all_data!A199</f>
        <v>197</v>
      </c>
      <c r="B199" t="str">
        <f>IF(D199&gt;0,all_data!B199,"")</f>
        <v/>
      </c>
      <c r="C199">
        <f>all_data!C199</f>
        <v>0</v>
      </c>
      <c r="D199">
        <f>all_data!D199</f>
        <v>0</v>
      </c>
      <c r="E199" s="5">
        <f t="shared" si="6"/>
        <v>0</v>
      </c>
      <c r="F199">
        <f>all_data!F199</f>
        <v>0</v>
      </c>
      <c r="H199">
        <f t="shared" si="7"/>
        <v>0</v>
      </c>
    </row>
    <row r="200" spans="1:8">
      <c r="A200">
        <f>all_data!A200</f>
        <v>198</v>
      </c>
      <c r="B200" t="str">
        <f>IF(D200&gt;0,all_data!B200,"")</f>
        <v/>
      </c>
      <c r="C200">
        <f>all_data!C200</f>
        <v>0</v>
      </c>
      <c r="D200">
        <f>all_data!D200</f>
        <v>0</v>
      </c>
      <c r="E200" s="5">
        <f t="shared" si="6"/>
        <v>0</v>
      </c>
      <c r="F200">
        <f>all_data!F200</f>
        <v>0</v>
      </c>
      <c r="H200">
        <f t="shared" si="7"/>
        <v>0</v>
      </c>
    </row>
    <row r="201" spans="1:8">
      <c r="A201">
        <f>all_data!A201</f>
        <v>199</v>
      </c>
      <c r="B201" t="str">
        <f>IF(D201&gt;0,all_data!B201,"")</f>
        <v/>
      </c>
      <c r="C201">
        <f>all_data!C201</f>
        <v>0</v>
      </c>
      <c r="D201">
        <f>all_data!D201</f>
        <v>0</v>
      </c>
      <c r="E201" s="5">
        <f t="shared" si="6"/>
        <v>0</v>
      </c>
      <c r="F201">
        <f>all_data!F201</f>
        <v>0</v>
      </c>
      <c r="H201">
        <f t="shared" si="7"/>
        <v>0</v>
      </c>
    </row>
    <row r="202" spans="1:8">
      <c r="A202">
        <f>all_data!A202</f>
        <v>200</v>
      </c>
      <c r="B202" t="str">
        <f>IF(D202&gt;0,all_data!B202,"")</f>
        <v/>
      </c>
      <c r="C202">
        <f>all_data!C202</f>
        <v>0</v>
      </c>
      <c r="D202">
        <f>all_data!D202</f>
        <v>0</v>
      </c>
      <c r="E202" s="5">
        <f t="shared" si="6"/>
        <v>0</v>
      </c>
      <c r="F202">
        <f>all_data!F202</f>
        <v>0</v>
      </c>
      <c r="H202">
        <f t="shared" si="7"/>
        <v>0</v>
      </c>
    </row>
    <row r="203" spans="1:8">
      <c r="A203">
        <f>all_data!A203</f>
        <v>201</v>
      </c>
      <c r="B203" t="str">
        <f>IF(D203&gt;0,all_data!B203,"")</f>
        <v/>
      </c>
      <c r="C203">
        <f>all_data!C203</f>
        <v>0</v>
      </c>
      <c r="D203">
        <f>all_data!D203</f>
        <v>0</v>
      </c>
      <c r="E203" s="5">
        <f t="shared" si="6"/>
        <v>0</v>
      </c>
      <c r="F203">
        <f>all_data!F203</f>
        <v>0</v>
      </c>
      <c r="H203">
        <f t="shared" si="7"/>
        <v>0</v>
      </c>
    </row>
    <row r="204" spans="1:8">
      <c r="A204">
        <f>all_data!A204</f>
        <v>202</v>
      </c>
      <c r="B204" t="str">
        <f>IF(D204&gt;0,all_data!B204,"")</f>
        <v/>
      </c>
      <c r="C204">
        <f>all_data!C204</f>
        <v>0</v>
      </c>
      <c r="D204">
        <f>all_data!D204</f>
        <v>0</v>
      </c>
      <c r="E204" s="5">
        <f t="shared" si="6"/>
        <v>0</v>
      </c>
      <c r="F204">
        <f>all_data!F204</f>
        <v>0</v>
      </c>
      <c r="H204">
        <f t="shared" si="7"/>
        <v>0</v>
      </c>
    </row>
    <row r="205" spans="1:8">
      <c r="A205">
        <f>all_data!A205</f>
        <v>203</v>
      </c>
      <c r="B205" t="str">
        <f>IF(D205&gt;0,all_data!B205,"")</f>
        <v/>
      </c>
      <c r="C205">
        <f>all_data!C205</f>
        <v>0</v>
      </c>
      <c r="D205">
        <f>all_data!D205</f>
        <v>0</v>
      </c>
      <c r="E205" s="5">
        <f t="shared" si="6"/>
        <v>0</v>
      </c>
      <c r="F205">
        <f>all_data!F205</f>
        <v>0</v>
      </c>
      <c r="H205">
        <f t="shared" si="7"/>
        <v>0</v>
      </c>
    </row>
    <row r="206" spans="1:8">
      <c r="A206">
        <f>all_data!A206</f>
        <v>204</v>
      </c>
      <c r="B206" t="str">
        <f>IF(D206&gt;0,all_data!B206,"")</f>
        <v/>
      </c>
      <c r="C206">
        <f>all_data!C206</f>
        <v>0</v>
      </c>
      <c r="D206">
        <f>all_data!D206</f>
        <v>0</v>
      </c>
      <c r="E206" s="5">
        <f t="shared" si="6"/>
        <v>0</v>
      </c>
      <c r="F206">
        <f>all_data!F206</f>
        <v>0</v>
      </c>
      <c r="H206">
        <f t="shared" si="7"/>
        <v>0</v>
      </c>
    </row>
    <row r="207" spans="1:8">
      <c r="A207">
        <f>all_data!A207</f>
        <v>205</v>
      </c>
      <c r="B207" t="str">
        <f>IF(D207&gt;0,all_data!B207,"")</f>
        <v/>
      </c>
      <c r="C207">
        <f>all_data!C207</f>
        <v>0</v>
      </c>
      <c r="D207">
        <f>all_data!D207</f>
        <v>0</v>
      </c>
      <c r="E207" s="5">
        <f t="shared" si="6"/>
        <v>0</v>
      </c>
      <c r="F207">
        <f>all_data!F207</f>
        <v>0</v>
      </c>
      <c r="H207">
        <f t="shared" si="7"/>
        <v>0</v>
      </c>
    </row>
    <row r="208" spans="1:8">
      <c r="A208">
        <f>all_data!A208</f>
        <v>206</v>
      </c>
      <c r="B208" t="str">
        <f>IF(D208&gt;0,all_data!B208,"")</f>
        <v/>
      </c>
      <c r="C208">
        <f>all_data!C208</f>
        <v>0</v>
      </c>
      <c r="D208">
        <f>all_data!D208</f>
        <v>0</v>
      </c>
      <c r="E208" s="5">
        <f t="shared" si="6"/>
        <v>0</v>
      </c>
      <c r="F208">
        <f>all_data!F208</f>
        <v>0</v>
      </c>
      <c r="H208">
        <f t="shared" si="7"/>
        <v>0</v>
      </c>
    </row>
    <row r="209" spans="1:8">
      <c r="A209">
        <f>all_data!A209</f>
        <v>207</v>
      </c>
      <c r="B209" t="str">
        <f>IF(D209&gt;0,all_data!B209,"")</f>
        <v/>
      </c>
      <c r="C209">
        <f>all_data!C209</f>
        <v>0</v>
      </c>
      <c r="D209">
        <f>all_data!D209</f>
        <v>0</v>
      </c>
      <c r="E209" s="5">
        <f t="shared" si="6"/>
        <v>0</v>
      </c>
      <c r="F209">
        <f>all_data!F209</f>
        <v>0</v>
      </c>
      <c r="H209">
        <f t="shared" si="7"/>
        <v>0</v>
      </c>
    </row>
    <row r="210" spans="1:8">
      <c r="A210">
        <f>all_data!A210</f>
        <v>208</v>
      </c>
      <c r="B210" t="str">
        <f>IF(D210&gt;0,all_data!B210,"")</f>
        <v/>
      </c>
      <c r="C210">
        <f>all_data!C210</f>
        <v>0</v>
      </c>
      <c r="D210">
        <f>all_data!D210</f>
        <v>0</v>
      </c>
      <c r="E210" s="5">
        <f t="shared" si="6"/>
        <v>0</v>
      </c>
      <c r="F210">
        <f>all_data!F210</f>
        <v>0</v>
      </c>
      <c r="H210">
        <f t="shared" si="7"/>
        <v>0</v>
      </c>
    </row>
    <row r="211" spans="1:8">
      <c r="A211">
        <f>all_data!A211</f>
        <v>209</v>
      </c>
      <c r="B211" t="str">
        <f>IF(D211&gt;0,all_data!B211,"")</f>
        <v/>
      </c>
      <c r="C211">
        <f>all_data!C211</f>
        <v>0</v>
      </c>
      <c r="D211">
        <f>all_data!D211</f>
        <v>0</v>
      </c>
      <c r="E211" s="5">
        <f t="shared" si="6"/>
        <v>0</v>
      </c>
      <c r="F211">
        <f>all_data!F211</f>
        <v>0</v>
      </c>
      <c r="H211">
        <f t="shared" si="7"/>
        <v>0</v>
      </c>
    </row>
    <row r="212" spans="1:8">
      <c r="A212">
        <f>all_data!A212</f>
        <v>210</v>
      </c>
      <c r="B212" t="str">
        <f>IF(D212&gt;0,all_data!B212,"")</f>
        <v/>
      </c>
      <c r="C212">
        <f>all_data!C212</f>
        <v>0</v>
      </c>
      <c r="D212">
        <f>all_data!D212</f>
        <v>0</v>
      </c>
      <c r="E212" s="5">
        <f t="shared" si="6"/>
        <v>0</v>
      </c>
      <c r="F212">
        <f>all_data!F212</f>
        <v>0</v>
      </c>
      <c r="H212">
        <f t="shared" si="7"/>
        <v>0</v>
      </c>
    </row>
    <row r="213" spans="1:8">
      <c r="A213">
        <f>all_data!A213</f>
        <v>211</v>
      </c>
      <c r="B213" t="str">
        <f>IF(D213&gt;0,all_data!B213,"")</f>
        <v/>
      </c>
      <c r="C213">
        <f>all_data!C213</f>
        <v>0</v>
      </c>
      <c r="D213">
        <f>all_data!D213</f>
        <v>0</v>
      </c>
      <c r="E213" s="5">
        <f t="shared" si="6"/>
        <v>0</v>
      </c>
      <c r="F213">
        <f>all_data!F213</f>
        <v>0</v>
      </c>
      <c r="H213">
        <f t="shared" si="7"/>
        <v>0</v>
      </c>
    </row>
    <row r="214" spans="1:8">
      <c r="A214">
        <f>all_data!A214</f>
        <v>212</v>
      </c>
      <c r="B214" t="str">
        <f>IF(D214&gt;0,all_data!B214,"")</f>
        <v/>
      </c>
      <c r="C214">
        <f>all_data!C214</f>
        <v>0</v>
      </c>
      <c r="D214">
        <f>all_data!D214</f>
        <v>0</v>
      </c>
      <c r="E214" s="5">
        <f t="shared" si="6"/>
        <v>0</v>
      </c>
      <c r="F214">
        <f>all_data!F214</f>
        <v>0</v>
      </c>
      <c r="H214">
        <f t="shared" si="7"/>
        <v>0</v>
      </c>
    </row>
    <row r="215" spans="1:8">
      <c r="A215">
        <f>all_data!A215</f>
        <v>213</v>
      </c>
      <c r="B215" t="str">
        <f>IF(D215&gt;0,all_data!B215,"")</f>
        <v/>
      </c>
      <c r="C215">
        <f>all_data!C215</f>
        <v>0</v>
      </c>
      <c r="D215">
        <f>all_data!D215</f>
        <v>0</v>
      </c>
      <c r="E215" s="5">
        <f t="shared" si="6"/>
        <v>0</v>
      </c>
      <c r="F215">
        <f>all_data!F215</f>
        <v>0</v>
      </c>
      <c r="H215">
        <f t="shared" si="7"/>
        <v>0</v>
      </c>
    </row>
    <row r="216" spans="1:8">
      <c r="A216">
        <f>all_data!A216</f>
        <v>214</v>
      </c>
      <c r="B216" t="str">
        <f>IF(D216&gt;0,all_data!B216,"")</f>
        <v/>
      </c>
      <c r="C216">
        <f>all_data!C216</f>
        <v>0</v>
      </c>
      <c r="D216">
        <f>all_data!D216</f>
        <v>0</v>
      </c>
      <c r="E216" s="5">
        <f t="shared" si="6"/>
        <v>0</v>
      </c>
      <c r="F216">
        <f>all_data!F216</f>
        <v>0</v>
      </c>
      <c r="H216">
        <f t="shared" si="7"/>
        <v>0</v>
      </c>
    </row>
    <row r="217" spans="1:8">
      <c r="A217">
        <f>all_data!A217</f>
        <v>215</v>
      </c>
      <c r="B217" t="str">
        <f>IF(D217&gt;0,all_data!B217,"")</f>
        <v/>
      </c>
      <c r="C217">
        <f>all_data!C217</f>
        <v>0</v>
      </c>
      <c r="D217">
        <f>all_data!D217</f>
        <v>0</v>
      </c>
      <c r="E217" s="5">
        <f t="shared" si="6"/>
        <v>0</v>
      </c>
      <c r="F217">
        <f>all_data!F217</f>
        <v>0</v>
      </c>
      <c r="H217">
        <f t="shared" si="7"/>
        <v>0</v>
      </c>
    </row>
    <row r="218" spans="1:8">
      <c r="A218">
        <f>all_data!A218</f>
        <v>216</v>
      </c>
      <c r="B218" t="str">
        <f>IF(D218&gt;0,all_data!B218,"")</f>
        <v/>
      </c>
      <c r="C218">
        <f>all_data!C218</f>
        <v>0</v>
      </c>
      <c r="D218">
        <f>all_data!D218</f>
        <v>0</v>
      </c>
      <c r="E218" s="5">
        <f t="shared" si="6"/>
        <v>0</v>
      </c>
      <c r="F218">
        <f>all_data!F218</f>
        <v>0</v>
      </c>
      <c r="H218">
        <f t="shared" si="7"/>
        <v>0</v>
      </c>
    </row>
    <row r="219" spans="1:8">
      <c r="A219">
        <f>all_data!A219</f>
        <v>217</v>
      </c>
      <c r="B219" t="str">
        <f>IF(D219&gt;0,all_data!B219,"")</f>
        <v/>
      </c>
      <c r="C219">
        <f>all_data!C219</f>
        <v>0</v>
      </c>
      <c r="D219">
        <f>all_data!D219</f>
        <v>0</v>
      </c>
      <c r="E219" s="5">
        <f t="shared" si="6"/>
        <v>0</v>
      </c>
      <c r="F219">
        <f>all_data!F219</f>
        <v>0</v>
      </c>
      <c r="H219">
        <f t="shared" si="7"/>
        <v>0</v>
      </c>
    </row>
    <row r="220" spans="1:8">
      <c r="A220">
        <f>all_data!A220</f>
        <v>218</v>
      </c>
      <c r="B220" t="str">
        <f>IF(D220&gt;0,all_data!B220,"")</f>
        <v/>
      </c>
      <c r="C220">
        <f>all_data!C220</f>
        <v>0</v>
      </c>
      <c r="D220">
        <f>all_data!D220</f>
        <v>0</v>
      </c>
      <c r="E220" s="5">
        <f t="shared" si="6"/>
        <v>0</v>
      </c>
      <c r="F220">
        <f>all_data!F220</f>
        <v>0</v>
      </c>
      <c r="H220">
        <f t="shared" si="7"/>
        <v>0</v>
      </c>
    </row>
    <row r="221" spans="1:8">
      <c r="A221">
        <f>all_data!A221</f>
        <v>219</v>
      </c>
      <c r="B221" t="str">
        <f>IF(D221&gt;0,all_data!B221,"")</f>
        <v/>
      </c>
      <c r="C221">
        <f>all_data!C221</f>
        <v>0</v>
      </c>
      <c r="D221">
        <f>all_data!D221</f>
        <v>0</v>
      </c>
      <c r="E221" s="5">
        <f t="shared" si="6"/>
        <v>0</v>
      </c>
      <c r="F221">
        <f>all_data!F221</f>
        <v>0</v>
      </c>
      <c r="H221">
        <f t="shared" si="7"/>
        <v>0</v>
      </c>
    </row>
    <row r="222" spans="1:8">
      <c r="A222">
        <f>all_data!A222</f>
        <v>220</v>
      </c>
      <c r="B222" t="str">
        <f>IF(D222&gt;0,all_data!B222,"")</f>
        <v/>
      </c>
      <c r="C222">
        <f>all_data!C222</f>
        <v>0</v>
      </c>
      <c r="D222">
        <f>all_data!D222</f>
        <v>0</v>
      </c>
      <c r="E222" s="5">
        <f t="shared" si="6"/>
        <v>0</v>
      </c>
      <c r="F222">
        <f>all_data!F222</f>
        <v>0</v>
      </c>
      <c r="H222">
        <f t="shared" si="7"/>
        <v>0</v>
      </c>
    </row>
    <row r="223" spans="1:8">
      <c r="A223">
        <f>all_data!A223</f>
        <v>221</v>
      </c>
      <c r="B223" t="str">
        <f>IF(D223&gt;0,all_data!B223,"")</f>
        <v/>
      </c>
      <c r="C223">
        <f>all_data!C223</f>
        <v>0</v>
      </c>
      <c r="D223">
        <f>all_data!D223</f>
        <v>0</v>
      </c>
      <c r="E223" s="5">
        <f t="shared" si="6"/>
        <v>0</v>
      </c>
      <c r="F223">
        <f>all_data!F223</f>
        <v>0</v>
      </c>
      <c r="H223">
        <f t="shared" si="7"/>
        <v>0</v>
      </c>
    </row>
    <row r="224" spans="1:8">
      <c r="A224">
        <f>all_data!A224</f>
        <v>222</v>
      </c>
      <c r="B224" t="str">
        <f>IF(D224&gt;0,all_data!B224,"")</f>
        <v/>
      </c>
      <c r="C224">
        <f>all_data!C224</f>
        <v>0</v>
      </c>
      <c r="D224">
        <f>all_data!D224</f>
        <v>0</v>
      </c>
      <c r="E224" s="5">
        <f t="shared" si="6"/>
        <v>0</v>
      </c>
      <c r="F224">
        <f>all_data!F224</f>
        <v>0</v>
      </c>
      <c r="H224">
        <f t="shared" si="7"/>
        <v>0</v>
      </c>
    </row>
    <row r="225" spans="1:8">
      <c r="A225">
        <f>all_data!A225</f>
        <v>223</v>
      </c>
      <c r="B225" t="str">
        <f>IF(D225&gt;0,all_data!B225,"")</f>
        <v/>
      </c>
      <c r="C225">
        <f>all_data!C225</f>
        <v>0</v>
      </c>
      <c r="D225">
        <f>all_data!D225</f>
        <v>0</v>
      </c>
      <c r="E225" s="5">
        <f t="shared" si="6"/>
        <v>0</v>
      </c>
      <c r="F225">
        <f>all_data!F225</f>
        <v>0</v>
      </c>
      <c r="H225">
        <f t="shared" si="7"/>
        <v>0</v>
      </c>
    </row>
    <row r="226" spans="1:8">
      <c r="A226">
        <f>all_data!A226</f>
        <v>224</v>
      </c>
      <c r="B226" t="str">
        <f>IF(D226&gt;0,all_data!B226,"")</f>
        <v/>
      </c>
      <c r="C226">
        <f>all_data!C226</f>
        <v>0</v>
      </c>
      <c r="D226">
        <f>all_data!D226</f>
        <v>0</v>
      </c>
      <c r="E226" s="5">
        <f t="shared" si="6"/>
        <v>0</v>
      </c>
      <c r="F226">
        <f>all_data!F226</f>
        <v>0</v>
      </c>
      <c r="H226">
        <f t="shared" si="7"/>
        <v>0</v>
      </c>
    </row>
    <row r="227" spans="1:8">
      <c r="A227">
        <f>all_data!A227</f>
        <v>225</v>
      </c>
      <c r="B227" t="str">
        <f>IF(D227&gt;0,all_data!B227,"")</f>
        <v/>
      </c>
      <c r="C227">
        <f>all_data!C227</f>
        <v>0</v>
      </c>
      <c r="D227">
        <f>all_data!D227</f>
        <v>0</v>
      </c>
      <c r="E227" s="5">
        <f t="shared" si="6"/>
        <v>0</v>
      </c>
      <c r="F227">
        <f>all_data!F227</f>
        <v>0</v>
      </c>
      <c r="H227">
        <f t="shared" si="7"/>
        <v>0</v>
      </c>
    </row>
    <row r="228" spans="1:8">
      <c r="A228">
        <f>all_data!A228</f>
        <v>226</v>
      </c>
      <c r="B228" t="str">
        <f>IF(D228&gt;0,all_data!B228,"")</f>
        <v/>
      </c>
      <c r="C228">
        <f>all_data!C228</f>
        <v>0</v>
      </c>
      <c r="D228">
        <f>all_data!D228</f>
        <v>0</v>
      </c>
      <c r="E228" s="5">
        <f t="shared" si="6"/>
        <v>0</v>
      </c>
      <c r="F228">
        <f>all_data!F228</f>
        <v>0</v>
      </c>
      <c r="H228">
        <f t="shared" si="7"/>
        <v>0</v>
      </c>
    </row>
    <row r="229" spans="1:8">
      <c r="A229">
        <f>all_data!A229</f>
        <v>227</v>
      </c>
      <c r="B229" t="str">
        <f>IF(D229&gt;0,all_data!B229,"")</f>
        <v/>
      </c>
      <c r="C229">
        <f>all_data!C229</f>
        <v>0</v>
      </c>
      <c r="D229">
        <f>all_data!D229</f>
        <v>0</v>
      </c>
      <c r="E229" s="5">
        <f t="shared" si="6"/>
        <v>0</v>
      </c>
      <c r="F229">
        <f>all_data!F229</f>
        <v>0</v>
      </c>
      <c r="H229">
        <f t="shared" si="7"/>
        <v>0</v>
      </c>
    </row>
    <row r="230" spans="1:8">
      <c r="A230">
        <f>all_data!A230</f>
        <v>228</v>
      </c>
      <c r="B230" t="str">
        <f>IF(D230&gt;0,all_data!B230,"")</f>
        <v/>
      </c>
      <c r="C230">
        <f>all_data!C230</f>
        <v>0</v>
      </c>
      <c r="D230">
        <f>all_data!D230</f>
        <v>0</v>
      </c>
      <c r="E230" s="5">
        <f t="shared" si="6"/>
        <v>0</v>
      </c>
      <c r="F230">
        <f>all_data!F230</f>
        <v>0</v>
      </c>
      <c r="H230">
        <f t="shared" si="7"/>
        <v>0</v>
      </c>
    </row>
    <row r="231" spans="1:8">
      <c r="A231">
        <f>all_data!A231</f>
        <v>229</v>
      </c>
      <c r="B231" t="str">
        <f>IF(D231&gt;0,all_data!B231,"")</f>
        <v/>
      </c>
      <c r="C231">
        <f>all_data!C231</f>
        <v>0</v>
      </c>
      <c r="D231">
        <f>all_data!D231</f>
        <v>0</v>
      </c>
      <c r="E231" s="5">
        <f t="shared" si="6"/>
        <v>0</v>
      </c>
      <c r="F231">
        <f>all_data!F231</f>
        <v>0</v>
      </c>
      <c r="H231">
        <f t="shared" si="7"/>
        <v>0</v>
      </c>
    </row>
    <row r="232" spans="1:8">
      <c r="A232">
        <f>all_data!A232</f>
        <v>230</v>
      </c>
      <c r="B232" t="str">
        <f>IF(D232&gt;0,all_data!B232,"")</f>
        <v/>
      </c>
      <c r="C232">
        <f>all_data!C232</f>
        <v>0</v>
      </c>
      <c r="D232">
        <f>all_data!D232</f>
        <v>0</v>
      </c>
      <c r="E232" s="5">
        <f t="shared" si="6"/>
        <v>0</v>
      </c>
      <c r="F232">
        <f>all_data!F232</f>
        <v>0</v>
      </c>
      <c r="H232">
        <f t="shared" si="7"/>
        <v>0</v>
      </c>
    </row>
    <row r="233" spans="1:8">
      <c r="A233">
        <f>all_data!A233</f>
        <v>231</v>
      </c>
      <c r="B233" t="str">
        <f>IF(D233&gt;0,all_data!B233,"")</f>
        <v/>
      </c>
      <c r="C233">
        <f>all_data!C233</f>
        <v>0</v>
      </c>
      <c r="D233">
        <f>all_data!D233</f>
        <v>0</v>
      </c>
      <c r="E233" s="5">
        <f t="shared" si="6"/>
        <v>0</v>
      </c>
      <c r="F233">
        <f>all_data!F233</f>
        <v>0</v>
      </c>
      <c r="H233">
        <f t="shared" si="7"/>
        <v>0</v>
      </c>
    </row>
    <row r="234" spans="1:8">
      <c r="A234">
        <f>all_data!A234</f>
        <v>232</v>
      </c>
      <c r="B234" t="str">
        <f>IF(D234&gt;0,all_data!B234,"")</f>
        <v/>
      </c>
      <c r="C234">
        <f>all_data!C234</f>
        <v>0</v>
      </c>
      <c r="D234">
        <f>all_data!D234</f>
        <v>0</v>
      </c>
      <c r="E234" s="5">
        <f t="shared" si="6"/>
        <v>0</v>
      </c>
      <c r="F234">
        <f>all_data!F234</f>
        <v>0</v>
      </c>
      <c r="H234">
        <f t="shared" si="7"/>
        <v>0</v>
      </c>
    </row>
    <row r="235" spans="1:8">
      <c r="A235">
        <f>all_data!A235</f>
        <v>233</v>
      </c>
      <c r="B235" t="str">
        <f>IF(D235&gt;0,all_data!B235,"")</f>
        <v/>
      </c>
      <c r="C235">
        <f>all_data!C235</f>
        <v>0</v>
      </c>
      <c r="D235">
        <f>all_data!D235</f>
        <v>0</v>
      </c>
      <c r="E235" s="5">
        <f t="shared" si="6"/>
        <v>0</v>
      </c>
      <c r="F235">
        <f>all_data!F235</f>
        <v>0</v>
      </c>
      <c r="H235">
        <f t="shared" si="7"/>
        <v>0</v>
      </c>
    </row>
    <row r="236" spans="1:8">
      <c r="A236">
        <f>all_data!A236</f>
        <v>234</v>
      </c>
      <c r="B236" t="str">
        <f>IF(D236&gt;0,all_data!B236,"")</f>
        <v/>
      </c>
      <c r="C236">
        <f>all_data!C236</f>
        <v>0</v>
      </c>
      <c r="D236">
        <f>all_data!D236</f>
        <v>0</v>
      </c>
      <c r="E236" s="5">
        <f t="shared" si="6"/>
        <v>0</v>
      </c>
      <c r="F236">
        <f>all_data!F236</f>
        <v>0</v>
      </c>
      <c r="H236">
        <f t="shared" si="7"/>
        <v>0</v>
      </c>
    </row>
    <row r="237" spans="1:8">
      <c r="A237">
        <f>all_data!A237</f>
        <v>235</v>
      </c>
      <c r="B237" t="str">
        <f>IF(D237&gt;0,all_data!B237,"")</f>
        <v/>
      </c>
      <c r="C237">
        <f>all_data!C237</f>
        <v>0</v>
      </c>
      <c r="D237">
        <f>all_data!D237</f>
        <v>0</v>
      </c>
      <c r="E237" s="5">
        <f t="shared" si="6"/>
        <v>0</v>
      </c>
      <c r="F237">
        <f>all_data!F237</f>
        <v>0</v>
      </c>
      <c r="H237">
        <f t="shared" si="7"/>
        <v>0</v>
      </c>
    </row>
    <row r="238" spans="1:8">
      <c r="A238">
        <f>all_data!A238</f>
        <v>236</v>
      </c>
      <c r="B238" t="str">
        <f>IF(D238&gt;0,all_data!B238,"")</f>
        <v/>
      </c>
      <c r="C238">
        <f>all_data!C238</f>
        <v>0</v>
      </c>
      <c r="D238">
        <f>all_data!D238</f>
        <v>0</v>
      </c>
      <c r="E238" s="5">
        <f t="shared" si="6"/>
        <v>0</v>
      </c>
      <c r="F238">
        <f>all_data!F238</f>
        <v>0</v>
      </c>
      <c r="H238">
        <f t="shared" si="7"/>
        <v>0</v>
      </c>
    </row>
    <row r="239" spans="1:8">
      <c r="A239">
        <f>all_data!A239</f>
        <v>237</v>
      </c>
      <c r="B239" t="str">
        <f>IF(D239&gt;0,all_data!B239,"")</f>
        <v/>
      </c>
      <c r="C239">
        <f>all_data!C239</f>
        <v>0</v>
      </c>
      <c r="D239">
        <f>all_data!D239</f>
        <v>0</v>
      </c>
      <c r="E239" s="5">
        <f t="shared" si="6"/>
        <v>0</v>
      </c>
      <c r="F239">
        <f>all_data!F239</f>
        <v>0</v>
      </c>
      <c r="H239">
        <f t="shared" si="7"/>
        <v>0</v>
      </c>
    </row>
    <row r="240" spans="1:8">
      <c r="A240">
        <f>all_data!A240</f>
        <v>238</v>
      </c>
      <c r="B240" t="str">
        <f>IF(D240&gt;0,all_data!B240,"")</f>
        <v/>
      </c>
      <c r="C240">
        <f>all_data!C240</f>
        <v>0</v>
      </c>
      <c r="D240">
        <f>all_data!D240</f>
        <v>0</v>
      </c>
      <c r="E240" s="5">
        <f t="shared" si="6"/>
        <v>0</v>
      </c>
      <c r="F240">
        <f>all_data!F240</f>
        <v>0</v>
      </c>
      <c r="H240">
        <f t="shared" si="7"/>
        <v>0</v>
      </c>
    </row>
    <row r="241" spans="1:8">
      <c r="A241">
        <f>all_data!A241</f>
        <v>239</v>
      </c>
      <c r="B241" t="str">
        <f>IF(D241&gt;0,all_data!B241,"")</f>
        <v/>
      </c>
      <c r="C241">
        <f>all_data!C241</f>
        <v>0</v>
      </c>
      <c r="D241">
        <f>all_data!D241</f>
        <v>0</v>
      </c>
      <c r="E241" s="5">
        <f t="shared" si="6"/>
        <v>0</v>
      </c>
      <c r="F241">
        <f>all_data!F241</f>
        <v>0</v>
      </c>
      <c r="H241">
        <f t="shared" si="7"/>
        <v>0</v>
      </c>
    </row>
    <row r="242" spans="1:8">
      <c r="A242">
        <f>all_data!A242</f>
        <v>240</v>
      </c>
      <c r="B242" t="str">
        <f>IF(D242&gt;0,all_data!B242,"")</f>
        <v/>
      </c>
      <c r="C242">
        <f>all_data!C242</f>
        <v>0</v>
      </c>
      <c r="D242">
        <f>all_data!D242</f>
        <v>0</v>
      </c>
      <c r="E242" s="5">
        <f t="shared" si="6"/>
        <v>0</v>
      </c>
      <c r="F242">
        <f>all_data!F242</f>
        <v>0</v>
      </c>
      <c r="H242">
        <f t="shared" si="7"/>
        <v>0</v>
      </c>
    </row>
    <row r="243" spans="1:8">
      <c r="A243">
        <f>all_data!A243</f>
        <v>241</v>
      </c>
      <c r="B243" t="str">
        <f>IF(D243&gt;0,all_data!B243,"")</f>
        <v/>
      </c>
      <c r="C243">
        <f>all_data!C243</f>
        <v>0</v>
      </c>
      <c r="D243">
        <f>all_data!D243</f>
        <v>0</v>
      </c>
      <c r="E243" s="5">
        <f t="shared" si="6"/>
        <v>0</v>
      </c>
      <c r="F243">
        <f>all_data!F243</f>
        <v>0</v>
      </c>
      <c r="H243">
        <f t="shared" si="7"/>
        <v>0</v>
      </c>
    </row>
    <row r="244" spans="1:8">
      <c r="A244">
        <f>all_data!A244</f>
        <v>242</v>
      </c>
      <c r="B244" t="str">
        <f>IF(D244&gt;0,all_data!B244,"")</f>
        <v/>
      </c>
      <c r="C244">
        <f>all_data!C244</f>
        <v>0</v>
      </c>
      <c r="D244">
        <f>all_data!D244</f>
        <v>0</v>
      </c>
      <c r="E244" s="5">
        <f t="shared" si="6"/>
        <v>0</v>
      </c>
      <c r="F244">
        <f>all_data!F244</f>
        <v>0</v>
      </c>
      <c r="H244">
        <f t="shared" si="7"/>
        <v>0</v>
      </c>
    </row>
    <row r="245" spans="1:8">
      <c r="A245">
        <f>all_data!A245</f>
        <v>243</v>
      </c>
      <c r="B245" t="str">
        <f>IF(D245&gt;0,all_data!B245,"")</f>
        <v/>
      </c>
      <c r="C245">
        <f>all_data!C245</f>
        <v>0</v>
      </c>
      <c r="D245">
        <f>all_data!D245</f>
        <v>0</v>
      </c>
      <c r="E245" s="5">
        <f t="shared" si="6"/>
        <v>0</v>
      </c>
      <c r="F245">
        <f>all_data!F245</f>
        <v>0</v>
      </c>
      <c r="H245">
        <f t="shared" si="7"/>
        <v>0</v>
      </c>
    </row>
    <row r="246" spans="1:8">
      <c r="A246">
        <f>all_data!A246</f>
        <v>244</v>
      </c>
      <c r="B246" t="str">
        <f>IF(D246&gt;0,all_data!B246,"")</f>
        <v/>
      </c>
      <c r="C246">
        <f>all_data!C246</f>
        <v>0</v>
      </c>
      <c r="D246">
        <f>all_data!D246</f>
        <v>0</v>
      </c>
      <c r="E246" s="5">
        <f t="shared" si="6"/>
        <v>0</v>
      </c>
      <c r="F246">
        <f>all_data!F246</f>
        <v>0</v>
      </c>
      <c r="H246">
        <f t="shared" si="7"/>
        <v>0</v>
      </c>
    </row>
    <row r="247" spans="1:8">
      <c r="A247">
        <f>all_data!A247</f>
        <v>245</v>
      </c>
      <c r="B247" t="str">
        <f>IF(D247&gt;0,all_data!B247,"")</f>
        <v/>
      </c>
      <c r="C247">
        <f>all_data!C247</f>
        <v>0</v>
      </c>
      <c r="D247">
        <f>all_data!D247</f>
        <v>0</v>
      </c>
      <c r="E247" s="5">
        <f t="shared" si="6"/>
        <v>0</v>
      </c>
      <c r="F247">
        <f>all_data!F247</f>
        <v>0</v>
      </c>
      <c r="H247">
        <f t="shared" si="7"/>
        <v>0</v>
      </c>
    </row>
    <row r="248" spans="1:8">
      <c r="A248">
        <f>all_data!A248</f>
        <v>246</v>
      </c>
      <c r="B248" t="str">
        <f>IF(D248&gt;0,all_data!B248,"")</f>
        <v/>
      </c>
      <c r="C248">
        <f>all_data!C248</f>
        <v>0</v>
      </c>
      <c r="D248">
        <f>all_data!D248</f>
        <v>0</v>
      </c>
      <c r="E248" s="5">
        <f t="shared" si="6"/>
        <v>0</v>
      </c>
      <c r="F248">
        <f>all_data!F248</f>
        <v>0</v>
      </c>
      <c r="H248">
        <f t="shared" si="7"/>
        <v>0</v>
      </c>
    </row>
    <row r="249" spans="1:8">
      <c r="A249">
        <f>all_data!A249</f>
        <v>247</v>
      </c>
      <c r="B249" t="str">
        <f>IF(D249&gt;0,all_data!B249,"")</f>
        <v/>
      </c>
      <c r="C249">
        <f>all_data!C249</f>
        <v>0</v>
      </c>
      <c r="D249">
        <f>all_data!D249</f>
        <v>0</v>
      </c>
      <c r="E249" s="5">
        <f t="shared" si="6"/>
        <v>0</v>
      </c>
      <c r="F249">
        <f>all_data!F249</f>
        <v>0</v>
      </c>
      <c r="H249">
        <f t="shared" si="7"/>
        <v>0</v>
      </c>
    </row>
    <row r="250" spans="1:8">
      <c r="A250">
        <f>all_data!A250</f>
        <v>248</v>
      </c>
      <c r="B250" t="str">
        <f>IF(D250&gt;0,all_data!B250,"")</f>
        <v/>
      </c>
      <c r="C250">
        <f>all_data!C250</f>
        <v>0</v>
      </c>
      <c r="D250">
        <f>all_data!D250</f>
        <v>0</v>
      </c>
      <c r="E250" s="5">
        <f t="shared" si="6"/>
        <v>0</v>
      </c>
      <c r="F250">
        <f>all_data!F250</f>
        <v>0</v>
      </c>
      <c r="H250">
        <f t="shared" si="7"/>
        <v>0</v>
      </c>
    </row>
    <row r="251" spans="1:8">
      <c r="A251">
        <f>all_data!A251</f>
        <v>249</v>
      </c>
      <c r="B251" t="str">
        <f>IF(D251&gt;0,all_data!B251,"")</f>
        <v/>
      </c>
      <c r="C251">
        <f>all_data!C251</f>
        <v>0</v>
      </c>
      <c r="D251">
        <f>all_data!D251</f>
        <v>0</v>
      </c>
      <c r="E251" s="5">
        <f t="shared" si="6"/>
        <v>0</v>
      </c>
      <c r="F251">
        <f>all_data!F251</f>
        <v>0</v>
      </c>
      <c r="H251">
        <f t="shared" si="7"/>
        <v>0</v>
      </c>
    </row>
    <row r="252" spans="1:8">
      <c r="A252">
        <f>all_data!A252</f>
        <v>250</v>
      </c>
      <c r="B252" t="str">
        <f>IF(D252&gt;0,all_data!B252,"")</f>
        <v/>
      </c>
      <c r="C252">
        <f>all_data!C252</f>
        <v>0</v>
      </c>
      <c r="D252">
        <f>all_data!D252</f>
        <v>0</v>
      </c>
      <c r="E252" s="5">
        <f t="shared" si="6"/>
        <v>0</v>
      </c>
      <c r="F252">
        <f>all_data!F252</f>
        <v>0</v>
      </c>
      <c r="H252">
        <f t="shared" si="7"/>
        <v>0</v>
      </c>
    </row>
    <row r="253" spans="1:8">
      <c r="A253">
        <f>all_data!A253</f>
        <v>251</v>
      </c>
      <c r="B253" t="str">
        <f>IF(D253&gt;0,all_data!B253,"")</f>
        <v/>
      </c>
      <c r="C253">
        <f>all_data!C253</f>
        <v>0</v>
      </c>
      <c r="D253">
        <f>all_data!D253</f>
        <v>0</v>
      </c>
      <c r="E253" s="5">
        <f t="shared" si="6"/>
        <v>0</v>
      </c>
      <c r="F253">
        <f>all_data!F253</f>
        <v>0</v>
      </c>
      <c r="H253">
        <f t="shared" si="7"/>
        <v>0</v>
      </c>
    </row>
    <row r="254" spans="1:8">
      <c r="A254">
        <f>all_data!A254</f>
        <v>252</v>
      </c>
      <c r="B254" t="str">
        <f>IF(D254&gt;0,all_data!B254,"")</f>
        <v/>
      </c>
      <c r="C254">
        <f>all_data!C254</f>
        <v>0</v>
      </c>
      <c r="D254">
        <f>all_data!D254</f>
        <v>0</v>
      </c>
      <c r="E254" s="5">
        <f t="shared" si="6"/>
        <v>0</v>
      </c>
      <c r="F254">
        <f>all_data!F254</f>
        <v>0</v>
      </c>
      <c r="H254">
        <f t="shared" si="7"/>
        <v>0</v>
      </c>
    </row>
    <row r="255" spans="1:8">
      <c r="A255">
        <f>all_data!A255</f>
        <v>253</v>
      </c>
      <c r="B255" t="str">
        <f>IF(D255&gt;0,all_data!B255,"")</f>
        <v/>
      </c>
      <c r="C255">
        <f>all_data!C255</f>
        <v>0</v>
      </c>
      <c r="D255">
        <f>all_data!D255</f>
        <v>0</v>
      </c>
      <c r="E255" s="5">
        <f t="shared" si="6"/>
        <v>0</v>
      </c>
      <c r="F255">
        <f>all_data!F255</f>
        <v>0</v>
      </c>
      <c r="H255">
        <f t="shared" si="7"/>
        <v>0</v>
      </c>
    </row>
    <row r="256" spans="1:8">
      <c r="A256">
        <f>all_data!A256</f>
        <v>254</v>
      </c>
      <c r="B256" t="str">
        <f>IF(D256&gt;0,all_data!B256,"")</f>
        <v/>
      </c>
      <c r="C256">
        <f>all_data!C256</f>
        <v>0</v>
      </c>
      <c r="D256">
        <f>all_data!D256</f>
        <v>0</v>
      </c>
      <c r="E256" s="5">
        <f t="shared" si="6"/>
        <v>0</v>
      </c>
      <c r="F256">
        <f>all_data!F256</f>
        <v>0</v>
      </c>
      <c r="H256">
        <f t="shared" si="7"/>
        <v>0</v>
      </c>
    </row>
    <row r="257" spans="1:8">
      <c r="A257">
        <f>all_data!A257</f>
        <v>255</v>
      </c>
      <c r="B257" t="str">
        <f>IF(D257&gt;0,all_data!B257,"")</f>
        <v/>
      </c>
      <c r="C257">
        <f>all_data!C257</f>
        <v>0</v>
      </c>
      <c r="D257">
        <f>all_data!D257</f>
        <v>0</v>
      </c>
      <c r="E257" s="5">
        <f t="shared" si="6"/>
        <v>0</v>
      </c>
      <c r="F257">
        <f>all_data!F257</f>
        <v>0</v>
      </c>
      <c r="H257">
        <f t="shared" si="7"/>
        <v>0</v>
      </c>
    </row>
    <row r="258" spans="1:8">
      <c r="A258">
        <f>all_data!A258</f>
        <v>256</v>
      </c>
      <c r="B258" t="str">
        <f>IF(D258&gt;0,all_data!B258,"")</f>
        <v/>
      </c>
      <c r="C258">
        <f>all_data!C258</f>
        <v>0</v>
      </c>
      <c r="D258">
        <f>all_data!D258</f>
        <v>0</v>
      </c>
      <c r="E258" s="5">
        <f t="shared" si="6"/>
        <v>0</v>
      </c>
      <c r="F258">
        <f>all_data!F258</f>
        <v>0</v>
      </c>
      <c r="H258">
        <f t="shared" si="7"/>
        <v>0</v>
      </c>
    </row>
    <row r="259" spans="1:8">
      <c r="A259">
        <f>all_data!A259</f>
        <v>257</v>
      </c>
      <c r="B259" t="str">
        <f>IF(D259&gt;0,all_data!B259,"")</f>
        <v/>
      </c>
      <c r="C259">
        <f>all_data!C259</f>
        <v>0</v>
      </c>
      <c r="D259">
        <f>all_data!D259</f>
        <v>0</v>
      </c>
      <c r="E259" s="5">
        <f t="shared" ref="E259:E322" si="8">IF(D259&lt;=0,,D259/C259)</f>
        <v>0</v>
      </c>
      <c r="F259">
        <f>all_data!F259</f>
        <v>0</v>
      </c>
      <c r="H259">
        <f t="shared" ref="H259:H302" si="9">IF(C259&lt;=10,D259,0)</f>
        <v>0</v>
      </c>
    </row>
    <row r="260" spans="1:8">
      <c r="A260">
        <f>all_data!A260</f>
        <v>258</v>
      </c>
      <c r="B260" t="str">
        <f>IF(D260&gt;0,all_data!B260,"")</f>
        <v/>
      </c>
      <c r="C260">
        <f>all_data!C260</f>
        <v>0</v>
      </c>
      <c r="D260">
        <f>all_data!D260</f>
        <v>0</v>
      </c>
      <c r="E260" s="5">
        <f t="shared" si="8"/>
        <v>0</v>
      </c>
      <c r="F260">
        <f>all_data!F260</f>
        <v>0</v>
      </c>
      <c r="H260">
        <f t="shared" si="9"/>
        <v>0</v>
      </c>
    </row>
    <row r="261" spans="1:8">
      <c r="A261">
        <f>all_data!A261</f>
        <v>259</v>
      </c>
      <c r="B261" t="str">
        <f>IF(D261&gt;0,all_data!B261,"")</f>
        <v/>
      </c>
      <c r="C261">
        <f>all_data!C261</f>
        <v>0</v>
      </c>
      <c r="D261">
        <f>all_data!D261</f>
        <v>0</v>
      </c>
      <c r="E261" s="5">
        <f t="shared" si="8"/>
        <v>0</v>
      </c>
      <c r="F261">
        <f>all_data!F261</f>
        <v>0</v>
      </c>
      <c r="H261">
        <f t="shared" si="9"/>
        <v>0</v>
      </c>
    </row>
    <row r="262" spans="1:8">
      <c r="A262">
        <f>all_data!A262</f>
        <v>260</v>
      </c>
      <c r="B262" t="str">
        <f>IF(D262&gt;0,all_data!B262,"")</f>
        <v/>
      </c>
      <c r="C262">
        <f>all_data!C262</f>
        <v>0</v>
      </c>
      <c r="D262">
        <f>all_data!D262</f>
        <v>0</v>
      </c>
      <c r="E262" s="5">
        <f t="shared" si="8"/>
        <v>0</v>
      </c>
      <c r="F262">
        <f>all_data!F262</f>
        <v>0</v>
      </c>
      <c r="H262">
        <f t="shared" si="9"/>
        <v>0</v>
      </c>
    </row>
    <row r="263" spans="1:8">
      <c r="A263">
        <f>all_data!A263</f>
        <v>261</v>
      </c>
      <c r="B263" t="str">
        <f>IF(D263&gt;0,all_data!B263,"")</f>
        <v/>
      </c>
      <c r="C263">
        <f>all_data!C263</f>
        <v>0</v>
      </c>
      <c r="D263">
        <f>all_data!D263</f>
        <v>0</v>
      </c>
      <c r="E263" s="5">
        <f t="shared" si="8"/>
        <v>0</v>
      </c>
      <c r="F263">
        <f>all_data!F263</f>
        <v>0</v>
      </c>
      <c r="H263">
        <f t="shared" si="9"/>
        <v>0</v>
      </c>
    </row>
    <row r="264" spans="1:8">
      <c r="A264">
        <f>all_data!A264</f>
        <v>262</v>
      </c>
      <c r="B264" t="str">
        <f>IF(D264&gt;0,all_data!B264,"")</f>
        <v/>
      </c>
      <c r="C264">
        <f>all_data!C264</f>
        <v>0</v>
      </c>
      <c r="D264">
        <f>all_data!D264</f>
        <v>0</v>
      </c>
      <c r="E264" s="5">
        <f t="shared" si="8"/>
        <v>0</v>
      </c>
      <c r="F264">
        <f>all_data!F264</f>
        <v>0</v>
      </c>
      <c r="H264">
        <f t="shared" si="9"/>
        <v>0</v>
      </c>
    </row>
    <row r="265" spans="1:8">
      <c r="A265">
        <f>all_data!A265</f>
        <v>263</v>
      </c>
      <c r="B265" t="str">
        <f>IF(D265&gt;0,all_data!B265,"")</f>
        <v/>
      </c>
      <c r="C265">
        <f>all_data!C265</f>
        <v>0</v>
      </c>
      <c r="D265">
        <f>all_data!D265</f>
        <v>0</v>
      </c>
      <c r="E265" s="5">
        <f t="shared" si="8"/>
        <v>0</v>
      </c>
      <c r="F265">
        <f>all_data!F265</f>
        <v>0</v>
      </c>
      <c r="H265">
        <f t="shared" si="9"/>
        <v>0</v>
      </c>
    </row>
    <row r="266" spans="1:8">
      <c r="A266">
        <f>all_data!A266</f>
        <v>264</v>
      </c>
      <c r="B266" t="str">
        <f>IF(D266&gt;0,all_data!B266,"")</f>
        <v/>
      </c>
      <c r="C266">
        <f>all_data!C266</f>
        <v>0</v>
      </c>
      <c r="D266">
        <f>all_data!D266</f>
        <v>0</v>
      </c>
      <c r="E266" s="5">
        <f t="shared" si="8"/>
        <v>0</v>
      </c>
      <c r="F266">
        <f>all_data!F266</f>
        <v>0</v>
      </c>
      <c r="H266">
        <f t="shared" si="9"/>
        <v>0</v>
      </c>
    </row>
    <row r="267" spans="1:8">
      <c r="A267">
        <f>all_data!A267</f>
        <v>265</v>
      </c>
      <c r="B267" t="str">
        <f>IF(D267&gt;0,all_data!B267,"")</f>
        <v/>
      </c>
      <c r="C267">
        <f>all_data!C267</f>
        <v>0</v>
      </c>
      <c r="D267">
        <f>all_data!D267</f>
        <v>0</v>
      </c>
      <c r="E267" s="5">
        <f t="shared" si="8"/>
        <v>0</v>
      </c>
      <c r="F267">
        <f>all_data!F267</f>
        <v>0</v>
      </c>
      <c r="H267">
        <f t="shared" si="9"/>
        <v>0</v>
      </c>
    </row>
    <row r="268" spans="1:8">
      <c r="A268">
        <f>all_data!A268</f>
        <v>266</v>
      </c>
      <c r="B268" t="str">
        <f>IF(D268&gt;0,all_data!B268,"")</f>
        <v/>
      </c>
      <c r="C268">
        <f>all_data!C268</f>
        <v>0</v>
      </c>
      <c r="D268">
        <f>all_data!D268</f>
        <v>0</v>
      </c>
      <c r="E268" s="5">
        <f t="shared" si="8"/>
        <v>0</v>
      </c>
      <c r="F268">
        <f>all_data!F268</f>
        <v>0</v>
      </c>
      <c r="H268">
        <f t="shared" si="9"/>
        <v>0</v>
      </c>
    </row>
    <row r="269" spans="1:8">
      <c r="A269">
        <f>all_data!A269</f>
        <v>267</v>
      </c>
      <c r="B269" t="str">
        <f>IF(D269&gt;0,all_data!B269,"")</f>
        <v/>
      </c>
      <c r="C269">
        <f>all_data!C269</f>
        <v>0</v>
      </c>
      <c r="D269">
        <f>all_data!D269</f>
        <v>0</v>
      </c>
      <c r="E269" s="5">
        <f t="shared" si="8"/>
        <v>0</v>
      </c>
      <c r="F269">
        <f>all_data!F269</f>
        <v>0</v>
      </c>
      <c r="H269">
        <f t="shared" si="9"/>
        <v>0</v>
      </c>
    </row>
    <row r="270" spans="1:8">
      <c r="A270">
        <f>all_data!A270</f>
        <v>268</v>
      </c>
      <c r="B270" t="str">
        <f>IF(D270&gt;0,all_data!B270,"")</f>
        <v/>
      </c>
      <c r="C270">
        <f>all_data!C270</f>
        <v>0</v>
      </c>
      <c r="D270">
        <f>all_data!D270</f>
        <v>0</v>
      </c>
      <c r="E270" s="5">
        <f t="shared" si="8"/>
        <v>0</v>
      </c>
      <c r="F270">
        <f>all_data!F270</f>
        <v>0</v>
      </c>
      <c r="H270">
        <f t="shared" si="9"/>
        <v>0</v>
      </c>
    </row>
    <row r="271" spans="1:8">
      <c r="A271">
        <f>all_data!A271</f>
        <v>269</v>
      </c>
      <c r="B271" t="str">
        <f>IF(D271&gt;0,all_data!B271,"")</f>
        <v/>
      </c>
      <c r="C271">
        <f>all_data!C271</f>
        <v>0</v>
      </c>
      <c r="D271">
        <f>all_data!D271</f>
        <v>0</v>
      </c>
      <c r="E271" s="5">
        <f t="shared" si="8"/>
        <v>0</v>
      </c>
      <c r="F271">
        <f>all_data!F271</f>
        <v>0</v>
      </c>
      <c r="H271">
        <f t="shared" si="9"/>
        <v>0</v>
      </c>
    </row>
    <row r="272" spans="1:8">
      <c r="A272">
        <f>all_data!A272</f>
        <v>270</v>
      </c>
      <c r="B272" t="str">
        <f>IF(D272&gt;0,all_data!B272,"")</f>
        <v/>
      </c>
      <c r="C272">
        <f>all_data!C272</f>
        <v>0</v>
      </c>
      <c r="D272">
        <f>all_data!D272</f>
        <v>0</v>
      </c>
      <c r="E272" s="5">
        <f t="shared" si="8"/>
        <v>0</v>
      </c>
      <c r="F272">
        <f>all_data!F272</f>
        <v>0</v>
      </c>
      <c r="H272">
        <f t="shared" si="9"/>
        <v>0</v>
      </c>
    </row>
    <row r="273" spans="1:8">
      <c r="A273">
        <f>all_data!A273</f>
        <v>271</v>
      </c>
      <c r="B273" t="str">
        <f>IF(D273&gt;0,all_data!B273,"")</f>
        <v/>
      </c>
      <c r="C273">
        <f>all_data!C273</f>
        <v>0</v>
      </c>
      <c r="D273">
        <f>all_data!D273</f>
        <v>0</v>
      </c>
      <c r="E273" s="5">
        <f t="shared" si="8"/>
        <v>0</v>
      </c>
      <c r="F273">
        <f>all_data!F273</f>
        <v>0</v>
      </c>
      <c r="H273">
        <f t="shared" si="9"/>
        <v>0</v>
      </c>
    </row>
    <row r="274" spans="1:8">
      <c r="A274">
        <f>all_data!A274</f>
        <v>272</v>
      </c>
      <c r="B274" t="str">
        <f>IF(D274&gt;0,all_data!B274,"")</f>
        <v/>
      </c>
      <c r="C274">
        <f>all_data!C274</f>
        <v>0</v>
      </c>
      <c r="D274">
        <f>all_data!D274</f>
        <v>0</v>
      </c>
      <c r="E274" s="5">
        <f t="shared" si="8"/>
        <v>0</v>
      </c>
      <c r="F274">
        <f>all_data!F274</f>
        <v>0</v>
      </c>
      <c r="H274">
        <f t="shared" si="9"/>
        <v>0</v>
      </c>
    </row>
    <row r="275" spans="1:8">
      <c r="A275">
        <f>all_data!A275</f>
        <v>273</v>
      </c>
      <c r="B275" t="str">
        <f>IF(D275&gt;0,all_data!B275,"")</f>
        <v/>
      </c>
      <c r="C275">
        <f>all_data!C275</f>
        <v>0</v>
      </c>
      <c r="D275">
        <f>all_data!D275</f>
        <v>0</v>
      </c>
      <c r="E275" s="5">
        <f t="shared" si="8"/>
        <v>0</v>
      </c>
      <c r="F275">
        <f>all_data!F275</f>
        <v>0</v>
      </c>
      <c r="H275">
        <f t="shared" si="9"/>
        <v>0</v>
      </c>
    </row>
    <row r="276" spans="1:8">
      <c r="A276">
        <f>all_data!A276</f>
        <v>274</v>
      </c>
      <c r="B276" t="str">
        <f>IF(D276&gt;0,all_data!B276,"")</f>
        <v/>
      </c>
      <c r="C276">
        <f>all_data!C276</f>
        <v>0</v>
      </c>
      <c r="D276">
        <f>all_data!D276</f>
        <v>0</v>
      </c>
      <c r="E276" s="5">
        <f t="shared" si="8"/>
        <v>0</v>
      </c>
      <c r="F276">
        <f>all_data!F276</f>
        <v>0</v>
      </c>
      <c r="H276">
        <f t="shared" si="9"/>
        <v>0</v>
      </c>
    </row>
    <row r="277" spans="1:8">
      <c r="A277">
        <f>all_data!A277</f>
        <v>275</v>
      </c>
      <c r="B277" t="str">
        <f>IF(D277&gt;0,all_data!B277,"")</f>
        <v/>
      </c>
      <c r="C277">
        <f>all_data!C277</f>
        <v>0</v>
      </c>
      <c r="D277">
        <f>all_data!D277</f>
        <v>0</v>
      </c>
      <c r="E277" s="5">
        <f t="shared" si="8"/>
        <v>0</v>
      </c>
      <c r="F277">
        <f>all_data!F277</f>
        <v>0</v>
      </c>
      <c r="H277">
        <f t="shared" si="9"/>
        <v>0</v>
      </c>
    </row>
    <row r="278" spans="1:8">
      <c r="A278">
        <f>all_data!A278</f>
        <v>276</v>
      </c>
      <c r="B278" t="str">
        <f>IF(D278&gt;0,all_data!B278,"")</f>
        <v/>
      </c>
      <c r="C278">
        <f>all_data!C278</f>
        <v>0</v>
      </c>
      <c r="D278">
        <f>all_data!D278</f>
        <v>0</v>
      </c>
      <c r="E278" s="5">
        <f t="shared" si="8"/>
        <v>0</v>
      </c>
      <c r="F278">
        <f>all_data!F278</f>
        <v>0</v>
      </c>
      <c r="H278">
        <f t="shared" si="9"/>
        <v>0</v>
      </c>
    </row>
    <row r="279" spans="1:8">
      <c r="A279">
        <f>all_data!A279</f>
        <v>277</v>
      </c>
      <c r="B279" t="str">
        <f>IF(D279&gt;0,all_data!B279,"")</f>
        <v/>
      </c>
      <c r="C279">
        <f>all_data!C279</f>
        <v>0</v>
      </c>
      <c r="D279">
        <f>all_data!D279</f>
        <v>0</v>
      </c>
      <c r="E279" s="5">
        <f t="shared" si="8"/>
        <v>0</v>
      </c>
      <c r="F279">
        <f>all_data!F279</f>
        <v>0</v>
      </c>
      <c r="H279">
        <f t="shared" si="9"/>
        <v>0</v>
      </c>
    </row>
    <row r="280" spans="1:8">
      <c r="A280">
        <f>all_data!A280</f>
        <v>278</v>
      </c>
      <c r="B280" t="str">
        <f>IF(D280&gt;0,all_data!B280,"")</f>
        <v/>
      </c>
      <c r="C280">
        <f>all_data!C280</f>
        <v>0</v>
      </c>
      <c r="D280">
        <f>all_data!D280</f>
        <v>0</v>
      </c>
      <c r="E280" s="5">
        <f t="shared" si="8"/>
        <v>0</v>
      </c>
      <c r="F280">
        <f>all_data!F280</f>
        <v>0</v>
      </c>
      <c r="H280">
        <f t="shared" si="9"/>
        <v>0</v>
      </c>
    </row>
    <row r="281" spans="1:8">
      <c r="A281">
        <f>all_data!A281</f>
        <v>279</v>
      </c>
      <c r="B281" t="str">
        <f>IF(D281&gt;0,all_data!B281,"")</f>
        <v/>
      </c>
      <c r="C281">
        <f>all_data!C281</f>
        <v>0</v>
      </c>
      <c r="D281">
        <f>all_data!D281</f>
        <v>0</v>
      </c>
      <c r="E281" s="5">
        <f t="shared" si="8"/>
        <v>0</v>
      </c>
      <c r="F281">
        <f>all_data!F281</f>
        <v>0</v>
      </c>
      <c r="H281">
        <f t="shared" si="9"/>
        <v>0</v>
      </c>
    </row>
    <row r="282" spans="1:8">
      <c r="A282">
        <f>all_data!A282</f>
        <v>280</v>
      </c>
      <c r="B282" t="str">
        <f>IF(D282&gt;0,all_data!B282,"")</f>
        <v/>
      </c>
      <c r="C282">
        <f>all_data!C282</f>
        <v>0</v>
      </c>
      <c r="D282">
        <f>all_data!D282</f>
        <v>0</v>
      </c>
      <c r="E282" s="5">
        <f t="shared" si="8"/>
        <v>0</v>
      </c>
      <c r="F282">
        <f>all_data!F282</f>
        <v>0</v>
      </c>
      <c r="H282">
        <f t="shared" si="9"/>
        <v>0</v>
      </c>
    </row>
    <row r="283" spans="1:8">
      <c r="A283">
        <f>all_data!A283</f>
        <v>281</v>
      </c>
      <c r="B283" t="str">
        <f>IF(D283&gt;0,all_data!B283,"")</f>
        <v/>
      </c>
      <c r="C283">
        <f>all_data!C283</f>
        <v>0</v>
      </c>
      <c r="D283">
        <f>all_data!D283</f>
        <v>0</v>
      </c>
      <c r="E283" s="5">
        <f t="shared" si="8"/>
        <v>0</v>
      </c>
      <c r="F283">
        <f>all_data!F283</f>
        <v>0</v>
      </c>
      <c r="H283">
        <f t="shared" si="9"/>
        <v>0</v>
      </c>
    </row>
    <row r="284" spans="1:8">
      <c r="A284">
        <f>all_data!A284</f>
        <v>282</v>
      </c>
      <c r="B284" t="str">
        <f>IF(D284&gt;0,all_data!B284,"")</f>
        <v/>
      </c>
      <c r="C284">
        <f>all_data!C284</f>
        <v>0</v>
      </c>
      <c r="D284">
        <f>all_data!D284</f>
        <v>0</v>
      </c>
      <c r="E284" s="5">
        <f t="shared" si="8"/>
        <v>0</v>
      </c>
      <c r="F284">
        <f>all_data!F284</f>
        <v>0</v>
      </c>
      <c r="H284">
        <f t="shared" si="9"/>
        <v>0</v>
      </c>
    </row>
    <row r="285" spans="1:8">
      <c r="A285">
        <f>all_data!A285</f>
        <v>283</v>
      </c>
      <c r="B285" t="str">
        <f>IF(D285&gt;0,all_data!B285,"")</f>
        <v/>
      </c>
      <c r="C285">
        <f>all_data!C285</f>
        <v>0</v>
      </c>
      <c r="D285">
        <f>all_data!D285</f>
        <v>0</v>
      </c>
      <c r="E285" s="5">
        <f t="shared" si="8"/>
        <v>0</v>
      </c>
      <c r="F285">
        <f>all_data!F285</f>
        <v>0</v>
      </c>
      <c r="H285">
        <f t="shared" si="9"/>
        <v>0</v>
      </c>
    </row>
    <row r="286" spans="1:8">
      <c r="A286">
        <f>all_data!A286</f>
        <v>284</v>
      </c>
      <c r="B286" t="str">
        <f>IF(D286&gt;0,all_data!B286,"")</f>
        <v/>
      </c>
      <c r="C286">
        <f>all_data!C286</f>
        <v>0</v>
      </c>
      <c r="D286">
        <f>all_data!D286</f>
        <v>0</v>
      </c>
      <c r="E286" s="5">
        <f t="shared" si="8"/>
        <v>0</v>
      </c>
      <c r="F286">
        <f>all_data!F286</f>
        <v>0</v>
      </c>
      <c r="H286">
        <f t="shared" si="9"/>
        <v>0</v>
      </c>
    </row>
    <row r="287" spans="1:8">
      <c r="A287">
        <f>all_data!A287</f>
        <v>285</v>
      </c>
      <c r="B287" t="str">
        <f>IF(D287&gt;0,all_data!B287,"")</f>
        <v/>
      </c>
      <c r="C287">
        <f>all_data!C287</f>
        <v>0</v>
      </c>
      <c r="D287">
        <f>all_data!D287</f>
        <v>0</v>
      </c>
      <c r="E287" s="5">
        <f t="shared" si="8"/>
        <v>0</v>
      </c>
      <c r="F287">
        <f>all_data!F287</f>
        <v>0</v>
      </c>
      <c r="H287">
        <f t="shared" si="9"/>
        <v>0</v>
      </c>
    </row>
    <row r="288" spans="1:8">
      <c r="A288">
        <f>all_data!A288</f>
        <v>286</v>
      </c>
      <c r="B288" t="str">
        <f>IF(D288&gt;0,all_data!B288,"")</f>
        <v/>
      </c>
      <c r="C288">
        <f>all_data!C288</f>
        <v>0</v>
      </c>
      <c r="D288">
        <f>all_data!D288</f>
        <v>0</v>
      </c>
      <c r="E288" s="5">
        <f t="shared" si="8"/>
        <v>0</v>
      </c>
      <c r="F288">
        <f>all_data!F288</f>
        <v>0</v>
      </c>
      <c r="H288">
        <f t="shared" si="9"/>
        <v>0</v>
      </c>
    </row>
    <row r="289" spans="1:8">
      <c r="A289">
        <f>all_data!A289</f>
        <v>287</v>
      </c>
      <c r="B289" t="str">
        <f>IF(D289&gt;0,all_data!B289,"")</f>
        <v/>
      </c>
      <c r="C289">
        <f>all_data!C289</f>
        <v>0</v>
      </c>
      <c r="D289">
        <f>all_data!D289</f>
        <v>0</v>
      </c>
      <c r="E289" s="5">
        <f t="shared" si="8"/>
        <v>0</v>
      </c>
      <c r="F289">
        <f>all_data!F289</f>
        <v>0</v>
      </c>
      <c r="H289">
        <f t="shared" si="9"/>
        <v>0</v>
      </c>
    </row>
    <row r="290" spans="1:8">
      <c r="A290">
        <f>all_data!A290</f>
        <v>288</v>
      </c>
      <c r="B290" t="str">
        <f>IF(D290&gt;0,all_data!B290,"")</f>
        <v/>
      </c>
      <c r="C290">
        <f>all_data!C290</f>
        <v>0</v>
      </c>
      <c r="D290">
        <f>all_data!D290</f>
        <v>0</v>
      </c>
      <c r="E290" s="5">
        <f t="shared" si="8"/>
        <v>0</v>
      </c>
      <c r="F290">
        <f>all_data!F290</f>
        <v>0</v>
      </c>
      <c r="H290">
        <f t="shared" si="9"/>
        <v>0</v>
      </c>
    </row>
    <row r="291" spans="1:8">
      <c r="A291">
        <f>all_data!A291</f>
        <v>289</v>
      </c>
      <c r="B291" t="str">
        <f>IF(D291&gt;0,all_data!B291,"")</f>
        <v/>
      </c>
      <c r="C291">
        <f>all_data!C291</f>
        <v>0</v>
      </c>
      <c r="D291">
        <f>all_data!D291</f>
        <v>0</v>
      </c>
      <c r="E291" s="5">
        <f t="shared" si="8"/>
        <v>0</v>
      </c>
      <c r="F291">
        <f>all_data!F291</f>
        <v>0</v>
      </c>
      <c r="H291">
        <f t="shared" si="9"/>
        <v>0</v>
      </c>
    </row>
    <row r="292" spans="1:8">
      <c r="A292">
        <f>all_data!A292</f>
        <v>290</v>
      </c>
      <c r="B292" t="str">
        <f>IF(D292&gt;0,all_data!B292,"")</f>
        <v/>
      </c>
      <c r="C292">
        <f>all_data!C292</f>
        <v>0</v>
      </c>
      <c r="D292">
        <f>all_data!D292</f>
        <v>0</v>
      </c>
      <c r="E292" s="5">
        <f t="shared" si="8"/>
        <v>0</v>
      </c>
      <c r="F292">
        <f>all_data!F292</f>
        <v>0</v>
      </c>
      <c r="H292">
        <f t="shared" si="9"/>
        <v>0</v>
      </c>
    </row>
    <row r="293" spans="1:8">
      <c r="A293">
        <f>all_data!A293</f>
        <v>291</v>
      </c>
      <c r="B293" t="str">
        <f>IF(D293&gt;0,all_data!B293,"")</f>
        <v/>
      </c>
      <c r="C293">
        <f>all_data!C293</f>
        <v>0</v>
      </c>
      <c r="D293">
        <f>all_data!D293</f>
        <v>0</v>
      </c>
      <c r="E293" s="5">
        <f t="shared" si="8"/>
        <v>0</v>
      </c>
      <c r="F293">
        <f>all_data!F293</f>
        <v>0</v>
      </c>
      <c r="H293">
        <f t="shared" si="9"/>
        <v>0</v>
      </c>
    </row>
    <row r="294" spans="1:8">
      <c r="A294">
        <f>all_data!A294</f>
        <v>292</v>
      </c>
      <c r="B294" t="str">
        <f>IF(D294&gt;0,all_data!B294,"")</f>
        <v/>
      </c>
      <c r="C294">
        <f>all_data!C294</f>
        <v>0</v>
      </c>
      <c r="D294">
        <f>all_data!D294</f>
        <v>0</v>
      </c>
      <c r="E294" s="5">
        <f t="shared" si="8"/>
        <v>0</v>
      </c>
      <c r="F294">
        <f>all_data!F294</f>
        <v>0</v>
      </c>
      <c r="H294">
        <f t="shared" si="9"/>
        <v>0</v>
      </c>
    </row>
    <row r="295" spans="1:8">
      <c r="A295">
        <f>all_data!A295</f>
        <v>293</v>
      </c>
      <c r="B295" t="str">
        <f>IF(D295&gt;0,all_data!B295,"")</f>
        <v/>
      </c>
      <c r="C295">
        <f>all_data!C295</f>
        <v>0</v>
      </c>
      <c r="D295">
        <f>all_data!D295</f>
        <v>0</v>
      </c>
      <c r="E295" s="5">
        <f t="shared" si="8"/>
        <v>0</v>
      </c>
      <c r="F295">
        <f>all_data!F295</f>
        <v>0</v>
      </c>
      <c r="H295">
        <f t="shared" si="9"/>
        <v>0</v>
      </c>
    </row>
    <row r="296" spans="1:8">
      <c r="A296">
        <f>all_data!A296</f>
        <v>294</v>
      </c>
      <c r="B296" t="str">
        <f>IF(D296&gt;0,all_data!B296,"")</f>
        <v/>
      </c>
      <c r="C296">
        <f>all_data!C296</f>
        <v>0</v>
      </c>
      <c r="D296">
        <f>all_data!D296</f>
        <v>0</v>
      </c>
      <c r="E296" s="5">
        <f t="shared" si="8"/>
        <v>0</v>
      </c>
      <c r="F296">
        <f>all_data!F296</f>
        <v>0</v>
      </c>
      <c r="H296">
        <f t="shared" si="9"/>
        <v>0</v>
      </c>
    </row>
    <row r="297" spans="1:8">
      <c r="A297">
        <f>all_data!A297</f>
        <v>295</v>
      </c>
      <c r="B297" t="str">
        <f>IF(D297&gt;0,all_data!B297,"")</f>
        <v/>
      </c>
      <c r="C297">
        <f>all_data!C297</f>
        <v>0</v>
      </c>
      <c r="D297">
        <f>all_data!D297</f>
        <v>0</v>
      </c>
      <c r="E297" s="5">
        <f t="shared" si="8"/>
        <v>0</v>
      </c>
      <c r="F297">
        <f>all_data!F297</f>
        <v>0</v>
      </c>
      <c r="H297">
        <f t="shared" si="9"/>
        <v>0</v>
      </c>
    </row>
    <row r="298" spans="1:8">
      <c r="A298">
        <f>all_data!A298</f>
        <v>296</v>
      </c>
      <c r="B298" t="str">
        <f>IF(D298&gt;0,all_data!B298,"")</f>
        <v/>
      </c>
      <c r="C298">
        <f>all_data!C298</f>
        <v>0</v>
      </c>
      <c r="D298">
        <f>all_data!D298</f>
        <v>0</v>
      </c>
      <c r="E298" s="5">
        <f t="shared" si="8"/>
        <v>0</v>
      </c>
      <c r="F298">
        <f>all_data!F298</f>
        <v>0</v>
      </c>
      <c r="H298">
        <f t="shared" si="9"/>
        <v>0</v>
      </c>
    </row>
    <row r="299" spans="1:8">
      <c r="A299">
        <f>all_data!A299</f>
        <v>297</v>
      </c>
      <c r="B299" t="str">
        <f>IF(D299&gt;0,all_data!B299,"")</f>
        <v/>
      </c>
      <c r="C299">
        <f>all_data!C299</f>
        <v>0</v>
      </c>
      <c r="D299">
        <f>all_data!D299</f>
        <v>0</v>
      </c>
      <c r="E299" s="5">
        <f t="shared" si="8"/>
        <v>0</v>
      </c>
      <c r="F299">
        <f>all_data!F299</f>
        <v>0</v>
      </c>
      <c r="H299">
        <f t="shared" si="9"/>
        <v>0</v>
      </c>
    </row>
    <row r="300" spans="1:8">
      <c r="A300">
        <f>all_data!A300</f>
        <v>298</v>
      </c>
      <c r="B300" t="str">
        <f>IF(D300&gt;0,all_data!B300,"")</f>
        <v/>
      </c>
      <c r="C300">
        <f>all_data!C300</f>
        <v>0</v>
      </c>
      <c r="D300">
        <f>all_data!D300</f>
        <v>0</v>
      </c>
      <c r="E300" s="5">
        <f t="shared" si="8"/>
        <v>0</v>
      </c>
      <c r="F300">
        <f>all_data!F300</f>
        <v>0</v>
      </c>
      <c r="H300">
        <f t="shared" si="9"/>
        <v>0</v>
      </c>
    </row>
    <row r="301" spans="1:8">
      <c r="A301">
        <f>all_data!A301</f>
        <v>299</v>
      </c>
      <c r="B301" t="str">
        <f>IF(D301&gt;0,all_data!B301,"")</f>
        <v/>
      </c>
      <c r="C301">
        <f>all_data!C301</f>
        <v>0</v>
      </c>
      <c r="D301">
        <f>all_data!D301</f>
        <v>0</v>
      </c>
      <c r="E301" s="5">
        <f t="shared" si="8"/>
        <v>0</v>
      </c>
      <c r="F301">
        <f>all_data!F301</f>
        <v>0</v>
      </c>
      <c r="H301">
        <f t="shared" si="9"/>
        <v>0</v>
      </c>
    </row>
    <row r="302" spans="1:8">
      <c r="A302">
        <f>all_data!A302</f>
        <v>300</v>
      </c>
      <c r="B302" t="str">
        <f>IF(D302&gt;0,all_data!B302,"")</f>
        <v/>
      </c>
      <c r="C302">
        <f>all_data!C302</f>
        <v>0</v>
      </c>
      <c r="D302">
        <f>all_data!D302</f>
        <v>0</v>
      </c>
      <c r="E302" s="5">
        <f t="shared" si="8"/>
        <v>0</v>
      </c>
      <c r="F302">
        <f>all_data!F302</f>
        <v>0</v>
      </c>
      <c r="H302">
        <f t="shared" si="9"/>
        <v>0</v>
      </c>
    </row>
  </sheetData>
  <sortState ref="A3:H302">
    <sortCondition descending="1" ref="E3"/>
  </sortState>
  <customSheetViews>
    <customSheetView guid="{78B3A349-4A6A-4124-974B-C4B81C7019CD}" scale="60" showRuler="0">
      <selection activeCell="D32" sqref="D32"/>
      <pageMargins left="0.78740157499999996" right="0.78740157499999996" top="0.984251969" bottom="0.984251969" header="0.4921259845" footer="0.4921259845"/>
      <headerFooter alignWithMargins="0"/>
    </customSheetView>
    <customSheetView guid="{F48999E8-45B5-4A7E-B3AF-FA7A59AA8144}" scale="60" showRuler="0">
      <selection activeCell="D32" sqref="D32"/>
      <pageMargins left="0.78740157499999996" right="0.78740157499999996" top="0.984251969" bottom="0.984251969" header="0.4921259845" footer="0.4921259845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N350"/>
  <sheetViews>
    <sheetView zoomScale="60" workbookViewId="0">
      <selection activeCell="N303" sqref="N303"/>
    </sheetView>
  </sheetViews>
  <sheetFormatPr baseColWidth="10" defaultRowHeight="12.75"/>
  <cols>
    <col min="1" max="1" width="5.85546875" customWidth="1"/>
    <col min="2" max="2" width="17.140625" customWidth="1"/>
    <col min="5" max="5" width="11.42578125" style="5"/>
    <col min="8" max="8" width="19" customWidth="1"/>
    <col min="10" max="10" width="14.5703125" customWidth="1"/>
    <col min="11" max="11" width="15" customWidth="1"/>
    <col min="12" max="12" width="24.28515625" style="5" customWidth="1"/>
    <col min="14" max="14" width="20.42578125" customWidth="1"/>
  </cols>
  <sheetData>
    <row r="1" spans="1:14" s="16" customFormat="1" ht="15">
      <c r="A1" s="16" t="str">
        <f>all_data!A1</f>
        <v>Nr.</v>
      </c>
      <c r="B1" s="16" t="str">
        <f>all_data!B1</f>
        <v>SchiffsName</v>
      </c>
      <c r="C1" s="16" t="str">
        <f>all_data!C1</f>
        <v>mLS</v>
      </c>
      <c r="D1" s="16" t="str">
        <f>all_data!D1</f>
        <v>deadweight</v>
      </c>
      <c r="E1" s="18" t="str">
        <f>all_data!E1</f>
        <v>dw/mLS</v>
      </c>
      <c r="F1" s="16" t="str">
        <f>all_data!F1</f>
        <v>prediction</v>
      </c>
      <c r="H1" s="16" t="s">
        <v>8</v>
      </c>
      <c r="J1" s="16" t="s">
        <v>31</v>
      </c>
      <c r="K1" s="16" t="s">
        <v>32</v>
      </c>
      <c r="L1" s="18" t="s">
        <v>29</v>
      </c>
      <c r="M1" s="16" t="s">
        <v>44</v>
      </c>
      <c r="N1" s="16" t="s">
        <v>20</v>
      </c>
    </row>
    <row r="2" spans="1:14" s="16" customFormat="1" ht="15">
      <c r="A2" s="16">
        <f>all_data!A2</f>
        <v>0</v>
      </c>
      <c r="B2" s="16">
        <f>all_data!B2</f>
        <v>0</v>
      </c>
      <c r="C2" s="16" t="str">
        <f>all_data!C2</f>
        <v>[g]</v>
      </c>
      <c r="D2" s="16" t="str">
        <f>all_data!D2</f>
        <v>[g]</v>
      </c>
      <c r="E2" s="18" t="str">
        <f>all_data!E2</f>
        <v>[-]</v>
      </c>
      <c r="F2" s="16" t="str">
        <f>all_data!F2</f>
        <v>[g]</v>
      </c>
      <c r="L2" s="18"/>
    </row>
    <row r="3" spans="1:14">
      <c r="A3">
        <f>all_data!A32</f>
        <v>30</v>
      </c>
      <c r="B3" t="str">
        <f>IF(C3&gt;0,all_data!B32,"")</f>
        <v>Mumie</v>
      </c>
      <c r="C3">
        <f>all_data!C32</f>
        <v>11.1</v>
      </c>
      <c r="D3">
        <f>all_data!D32</f>
        <v>3.669</v>
      </c>
      <c r="E3" s="5">
        <f>all_data!E32</f>
        <v>0.33054054054054055</v>
      </c>
      <c r="F3">
        <f>all_data!F32</f>
        <v>1</v>
      </c>
      <c r="H3">
        <f t="shared" ref="H3:H66" si="0">IF(C3&lt;=10,F3,0)</f>
        <v>0</v>
      </c>
      <c r="J3">
        <f t="shared" ref="J3:J66" si="1">ABS(D3)</f>
        <v>3.669</v>
      </c>
      <c r="K3">
        <f t="shared" ref="K3:K66" si="2">ABS(F3)</f>
        <v>1</v>
      </c>
      <c r="L3" s="5">
        <f t="shared" ref="L3:L66" si="3">IF(C3=0,"",(ABS(J3-K3))*100/D3)</f>
        <v>72.744617061869718</v>
      </c>
      <c r="M3" t="str">
        <f>all_data!H32</f>
        <v>Til Salewski
Vincent Niemann</v>
      </c>
      <c r="N3" t="str">
        <f>all_data!I32</f>
        <v>Schloßgymnasium Gützkow</v>
      </c>
    </row>
    <row r="4" spans="1:14">
      <c r="A4">
        <f>all_data!A39</f>
        <v>37</v>
      </c>
      <c r="B4" t="str">
        <f>IF(C4&gt;0,all_data!B39,"")</f>
        <v>sensor 2013</v>
      </c>
      <c r="C4">
        <f>all_data!C39</f>
        <v>10.1</v>
      </c>
      <c r="D4">
        <f>all_data!D39</f>
        <v>3.8</v>
      </c>
      <c r="E4" s="5">
        <f>all_data!E39</f>
        <v>0.37623762376237624</v>
      </c>
      <c r="F4">
        <f>all_data!F39</f>
        <v>1</v>
      </c>
      <c r="H4">
        <f t="shared" si="0"/>
        <v>0</v>
      </c>
      <c r="J4">
        <f t="shared" si="1"/>
        <v>3.8</v>
      </c>
      <c r="K4">
        <f t="shared" si="2"/>
        <v>1</v>
      </c>
      <c r="L4" s="5">
        <f t="shared" si="3"/>
        <v>73.684210526315795</v>
      </c>
      <c r="M4" t="str">
        <f>all_data!H39</f>
        <v>Jordan Junior</v>
      </c>
      <c r="N4">
        <f>all_data!I39</f>
        <v>0</v>
      </c>
    </row>
    <row r="5" spans="1:14">
      <c r="A5">
        <f>all_data!A45</f>
        <v>43</v>
      </c>
      <c r="B5" t="str">
        <f>IF(C5&gt;0,all_data!B45,"")</f>
        <v>Under Water</v>
      </c>
      <c r="C5">
        <f>all_data!C45</f>
        <v>10.8</v>
      </c>
      <c r="D5">
        <f>all_data!D45</f>
        <v>7.2779999999999996</v>
      </c>
      <c r="E5" s="5">
        <f>all_data!E45</f>
        <v>0.67388888888888876</v>
      </c>
      <c r="F5">
        <f>all_data!F45</f>
        <v>1</v>
      </c>
      <c r="H5">
        <f t="shared" si="0"/>
        <v>0</v>
      </c>
      <c r="J5">
        <f t="shared" si="1"/>
        <v>7.2779999999999996</v>
      </c>
      <c r="K5">
        <f t="shared" si="2"/>
        <v>1</v>
      </c>
      <c r="L5" s="5">
        <f t="shared" si="3"/>
        <v>86.259961527892273</v>
      </c>
      <c r="M5" t="str">
        <f>all_data!H45</f>
        <v>Lara Wandt
Carolin Blum</v>
      </c>
      <c r="N5" t="str">
        <f>all_data!I45</f>
        <v>Schloßgymnasium Gützkow</v>
      </c>
    </row>
    <row r="6" spans="1:14">
      <c r="A6">
        <f>all_data!A28</f>
        <v>26</v>
      </c>
      <c r="B6" t="str">
        <f>IF(C6&gt;0,all_data!B28,"")</f>
        <v>Little Nemo</v>
      </c>
      <c r="C6">
        <f>all_data!C28</f>
        <v>9.6999999999999993</v>
      </c>
      <c r="D6">
        <f>all_data!D28</f>
        <v>9.26</v>
      </c>
      <c r="E6" s="5">
        <f>all_data!E28</f>
        <v>0.95463917525773201</v>
      </c>
      <c r="F6">
        <f>all_data!F28</f>
        <v>1</v>
      </c>
      <c r="H6">
        <f t="shared" si="0"/>
        <v>1</v>
      </c>
      <c r="J6">
        <f t="shared" si="1"/>
        <v>9.26</v>
      </c>
      <c r="K6">
        <f t="shared" si="2"/>
        <v>1</v>
      </c>
      <c r="L6" s="5">
        <f t="shared" si="3"/>
        <v>89.200863930885532</v>
      </c>
      <c r="M6" t="str">
        <f>all_data!H28</f>
        <v>Jenny Mandler</v>
      </c>
      <c r="N6" t="str">
        <f>all_data!I28</f>
        <v>Ernst-Abbe-Gymnasium</v>
      </c>
    </row>
    <row r="7" spans="1:14">
      <c r="A7">
        <f>all_data!A49</f>
        <v>47</v>
      </c>
      <c r="B7" t="str">
        <f>IF(C7&gt;0,all_data!B49,"")</f>
        <v>Hong Nga 1</v>
      </c>
      <c r="C7">
        <f>all_data!C49</f>
        <v>7</v>
      </c>
      <c r="D7">
        <f>all_data!D49</f>
        <v>6.165</v>
      </c>
      <c r="E7" s="5">
        <f>all_data!E49</f>
        <v>0.88071428571428567</v>
      </c>
      <c r="F7">
        <f>all_data!F49</f>
        <v>200</v>
      </c>
      <c r="H7">
        <f t="shared" si="0"/>
        <v>200</v>
      </c>
      <c r="J7">
        <f t="shared" si="1"/>
        <v>6.165</v>
      </c>
      <c r="K7">
        <f t="shared" si="2"/>
        <v>200</v>
      </c>
      <c r="L7" s="5">
        <f t="shared" si="3"/>
        <v>3144.1200324412002</v>
      </c>
      <c r="M7" t="str">
        <f>all_data!H49</f>
        <v>Hong Nga Ly</v>
      </c>
      <c r="N7" t="str">
        <f>all_data!I49</f>
        <v>Athenaueum Stade</v>
      </c>
    </row>
    <row r="8" spans="1:14">
      <c r="A8">
        <f>all_data!A58</f>
        <v>56</v>
      </c>
      <c r="B8" t="str">
        <f>IF(C8&gt;0,all_data!B58,"")</f>
        <v>Titanic II</v>
      </c>
      <c r="C8">
        <f>all_data!C58</f>
        <v>6.9</v>
      </c>
      <c r="D8">
        <f>all_data!D58</f>
        <v>9.9179999999999993</v>
      </c>
      <c r="E8" s="5">
        <f>all_data!E58</f>
        <v>1.4373913043478259</v>
      </c>
      <c r="F8">
        <f>all_data!F58</f>
        <v>500</v>
      </c>
      <c r="H8">
        <f t="shared" si="0"/>
        <v>500</v>
      </c>
      <c r="J8">
        <f t="shared" si="1"/>
        <v>9.9179999999999993</v>
      </c>
      <c r="K8">
        <f t="shared" si="2"/>
        <v>500</v>
      </c>
      <c r="L8" s="5">
        <f t="shared" si="3"/>
        <v>4941.3389796329902</v>
      </c>
      <c r="M8" t="str">
        <f>all_data!H58</f>
        <v>Felix Grabe
Marcel Bodin
Cora-Katja-Herkommer</v>
      </c>
      <c r="N8" t="str">
        <f>all_data!I58</f>
        <v>Bertha von Suttner Schule</v>
      </c>
    </row>
    <row r="9" spans="1:14">
      <c r="A9">
        <f>all_data!A55</f>
        <v>53</v>
      </c>
      <c r="B9" t="str">
        <f>IF(C9&gt;0,all_data!B55,"")</f>
        <v>Skipper</v>
      </c>
      <c r="C9">
        <f>all_data!C55</f>
        <v>9.1999999999999993</v>
      </c>
      <c r="D9">
        <f>all_data!D55</f>
        <v>3.5619999999999998</v>
      </c>
      <c r="E9" s="5">
        <f>all_data!E55</f>
        <v>0.38717391304347826</v>
      </c>
      <c r="F9">
        <f>all_data!F55</f>
        <v>350</v>
      </c>
      <c r="H9">
        <f t="shared" si="0"/>
        <v>350</v>
      </c>
      <c r="J9">
        <f t="shared" si="1"/>
        <v>3.5619999999999998</v>
      </c>
      <c r="K9">
        <f t="shared" si="2"/>
        <v>350</v>
      </c>
      <c r="L9" s="5">
        <f t="shared" si="3"/>
        <v>9725.9404828747884</v>
      </c>
      <c r="M9" t="str">
        <f>all_data!H55</f>
        <v>Nike</v>
      </c>
      <c r="N9" t="str">
        <f>all_data!I55</f>
        <v>Jungmannschule Eckernförde</v>
      </c>
    </row>
    <row r="10" spans="1:14">
      <c r="A10">
        <f>all_data!A139</f>
        <v>137</v>
      </c>
      <c r="B10" t="str">
        <f>IF(C10&gt;0,all_data!B139,"")</f>
        <v/>
      </c>
      <c r="C10">
        <f>all_data!C139</f>
        <v>0</v>
      </c>
      <c r="D10">
        <f>all_data!D139</f>
        <v>0</v>
      </c>
      <c r="E10" s="5" t="str">
        <f>all_data!E139</f>
        <v/>
      </c>
      <c r="F10">
        <f>all_data!F139</f>
        <v>0</v>
      </c>
      <c r="H10">
        <f t="shared" si="0"/>
        <v>0</v>
      </c>
      <c r="J10">
        <f t="shared" si="1"/>
        <v>0</v>
      </c>
      <c r="K10">
        <f t="shared" si="2"/>
        <v>0</v>
      </c>
      <c r="L10" s="5" t="str">
        <f t="shared" si="3"/>
        <v/>
      </c>
      <c r="M10">
        <f>all_data!H139</f>
        <v>0</v>
      </c>
      <c r="N10">
        <f>all_data!I139</f>
        <v>0</v>
      </c>
    </row>
    <row r="11" spans="1:14">
      <c r="A11">
        <f>all_data!A140</f>
        <v>138</v>
      </c>
      <c r="B11" t="str">
        <f>IF(C11&gt;0,all_data!B140,"")</f>
        <v/>
      </c>
      <c r="C11">
        <f>all_data!C140</f>
        <v>0</v>
      </c>
      <c r="D11">
        <f>all_data!D140</f>
        <v>0</v>
      </c>
      <c r="E11" s="5" t="str">
        <f>all_data!E140</f>
        <v/>
      </c>
      <c r="F11">
        <f>all_data!F140</f>
        <v>0</v>
      </c>
      <c r="H11">
        <f t="shared" si="0"/>
        <v>0</v>
      </c>
      <c r="J11">
        <f t="shared" si="1"/>
        <v>0</v>
      </c>
      <c r="K11">
        <f t="shared" si="2"/>
        <v>0</v>
      </c>
      <c r="L11" s="5" t="str">
        <f t="shared" si="3"/>
        <v/>
      </c>
      <c r="M11">
        <f>all_data!H140</f>
        <v>0</v>
      </c>
      <c r="N11">
        <f>all_data!I140</f>
        <v>0</v>
      </c>
    </row>
    <row r="12" spans="1:14">
      <c r="A12">
        <f>all_data!A141</f>
        <v>139</v>
      </c>
      <c r="B12" t="str">
        <f>IF(C12&gt;0,all_data!B141,"")</f>
        <v/>
      </c>
      <c r="C12">
        <f>all_data!C141</f>
        <v>0</v>
      </c>
      <c r="D12">
        <f>all_data!D141</f>
        <v>0</v>
      </c>
      <c r="E12" s="5" t="str">
        <f>all_data!E141</f>
        <v/>
      </c>
      <c r="F12">
        <f>all_data!F141</f>
        <v>0</v>
      </c>
      <c r="H12">
        <f t="shared" si="0"/>
        <v>0</v>
      </c>
      <c r="J12">
        <f t="shared" si="1"/>
        <v>0</v>
      </c>
      <c r="K12">
        <f t="shared" si="2"/>
        <v>0</v>
      </c>
      <c r="L12" s="5" t="str">
        <f t="shared" si="3"/>
        <v/>
      </c>
      <c r="M12">
        <f>all_data!H141</f>
        <v>0</v>
      </c>
      <c r="N12">
        <f>all_data!I141</f>
        <v>0</v>
      </c>
    </row>
    <row r="13" spans="1:14">
      <c r="A13">
        <f>all_data!A142</f>
        <v>140</v>
      </c>
      <c r="B13" t="str">
        <f>IF(C13&gt;0,all_data!B142,"")</f>
        <v/>
      </c>
      <c r="C13">
        <f>all_data!C142</f>
        <v>0</v>
      </c>
      <c r="D13">
        <f>all_data!D142</f>
        <v>0</v>
      </c>
      <c r="E13" s="5" t="str">
        <f>all_data!E142</f>
        <v/>
      </c>
      <c r="F13">
        <f>all_data!F142</f>
        <v>0</v>
      </c>
      <c r="H13">
        <f t="shared" si="0"/>
        <v>0</v>
      </c>
      <c r="J13">
        <f t="shared" si="1"/>
        <v>0</v>
      </c>
      <c r="K13">
        <f t="shared" si="2"/>
        <v>0</v>
      </c>
      <c r="L13" s="5" t="str">
        <f t="shared" si="3"/>
        <v/>
      </c>
      <c r="M13">
        <f>all_data!H142</f>
        <v>0</v>
      </c>
      <c r="N13">
        <f>all_data!I142</f>
        <v>0</v>
      </c>
    </row>
    <row r="14" spans="1:14">
      <c r="A14">
        <f>all_data!A143</f>
        <v>141</v>
      </c>
      <c r="B14" t="str">
        <f>IF(C14&gt;0,all_data!B143,"")</f>
        <v/>
      </c>
      <c r="C14">
        <f>all_data!C143</f>
        <v>0</v>
      </c>
      <c r="D14">
        <f>all_data!D143</f>
        <v>0</v>
      </c>
      <c r="E14" s="5" t="str">
        <f>all_data!E143</f>
        <v/>
      </c>
      <c r="F14">
        <f>all_data!F143</f>
        <v>0</v>
      </c>
      <c r="H14">
        <f t="shared" si="0"/>
        <v>0</v>
      </c>
      <c r="J14">
        <f t="shared" si="1"/>
        <v>0</v>
      </c>
      <c r="K14">
        <f t="shared" si="2"/>
        <v>0</v>
      </c>
      <c r="L14" s="5" t="str">
        <f t="shared" si="3"/>
        <v/>
      </c>
      <c r="M14">
        <f>all_data!H143</f>
        <v>0</v>
      </c>
      <c r="N14">
        <f>all_data!I143</f>
        <v>0</v>
      </c>
    </row>
    <row r="15" spans="1:14">
      <c r="A15">
        <f>all_data!A144</f>
        <v>142</v>
      </c>
      <c r="B15" t="str">
        <f>IF(C15&gt;0,all_data!B144,"")</f>
        <v/>
      </c>
      <c r="C15">
        <f>all_data!C144</f>
        <v>0</v>
      </c>
      <c r="D15">
        <f>all_data!D144</f>
        <v>0</v>
      </c>
      <c r="E15" s="5" t="str">
        <f>all_data!E144</f>
        <v/>
      </c>
      <c r="F15">
        <f>all_data!F144</f>
        <v>0</v>
      </c>
      <c r="H15">
        <f t="shared" si="0"/>
        <v>0</v>
      </c>
      <c r="J15">
        <f t="shared" si="1"/>
        <v>0</v>
      </c>
      <c r="K15">
        <f t="shared" si="2"/>
        <v>0</v>
      </c>
      <c r="L15" s="5" t="str">
        <f t="shared" si="3"/>
        <v/>
      </c>
      <c r="M15">
        <f>all_data!H144</f>
        <v>0</v>
      </c>
      <c r="N15">
        <f>all_data!I144</f>
        <v>0</v>
      </c>
    </row>
    <row r="16" spans="1:14">
      <c r="A16">
        <f>all_data!A145</f>
        <v>143</v>
      </c>
      <c r="B16" t="str">
        <f>IF(C16&gt;0,all_data!B145,"")</f>
        <v/>
      </c>
      <c r="C16">
        <f>all_data!C145</f>
        <v>0</v>
      </c>
      <c r="D16">
        <f>all_data!D145</f>
        <v>0</v>
      </c>
      <c r="E16" s="5" t="str">
        <f>all_data!E145</f>
        <v/>
      </c>
      <c r="F16">
        <f>all_data!F145</f>
        <v>0</v>
      </c>
      <c r="H16">
        <f t="shared" si="0"/>
        <v>0</v>
      </c>
      <c r="J16">
        <f t="shared" si="1"/>
        <v>0</v>
      </c>
      <c r="K16">
        <f t="shared" si="2"/>
        <v>0</v>
      </c>
      <c r="L16" s="5" t="str">
        <f t="shared" si="3"/>
        <v/>
      </c>
      <c r="M16">
        <f>all_data!H145</f>
        <v>0</v>
      </c>
      <c r="N16">
        <f>all_data!I145</f>
        <v>0</v>
      </c>
    </row>
    <row r="17" spans="1:14">
      <c r="A17">
        <f>all_data!A146</f>
        <v>144</v>
      </c>
      <c r="B17" t="str">
        <f>IF(C17&gt;0,all_data!B146,"")</f>
        <v/>
      </c>
      <c r="C17">
        <f>all_data!C146</f>
        <v>0</v>
      </c>
      <c r="D17">
        <f>all_data!D146</f>
        <v>0</v>
      </c>
      <c r="E17" s="5" t="str">
        <f>all_data!E146</f>
        <v/>
      </c>
      <c r="F17">
        <f>all_data!F146</f>
        <v>0</v>
      </c>
      <c r="H17">
        <f t="shared" si="0"/>
        <v>0</v>
      </c>
      <c r="J17">
        <f t="shared" si="1"/>
        <v>0</v>
      </c>
      <c r="K17">
        <f t="shared" si="2"/>
        <v>0</v>
      </c>
      <c r="L17" s="5" t="str">
        <f t="shared" si="3"/>
        <v/>
      </c>
      <c r="M17">
        <f>all_data!H146</f>
        <v>0</v>
      </c>
      <c r="N17">
        <f>all_data!I146</f>
        <v>0</v>
      </c>
    </row>
    <row r="18" spans="1:14">
      <c r="A18">
        <f>all_data!A147</f>
        <v>145</v>
      </c>
      <c r="B18" t="str">
        <f>IF(C18&gt;0,all_data!B147,"")</f>
        <v/>
      </c>
      <c r="C18">
        <f>all_data!C147</f>
        <v>0</v>
      </c>
      <c r="D18">
        <f>all_data!D147</f>
        <v>0</v>
      </c>
      <c r="E18" s="5" t="str">
        <f>all_data!E147</f>
        <v/>
      </c>
      <c r="F18">
        <f>all_data!F147</f>
        <v>0</v>
      </c>
      <c r="H18">
        <f t="shared" si="0"/>
        <v>0</v>
      </c>
      <c r="J18">
        <f t="shared" si="1"/>
        <v>0</v>
      </c>
      <c r="K18">
        <f t="shared" si="2"/>
        <v>0</v>
      </c>
      <c r="L18" s="5" t="str">
        <f t="shared" si="3"/>
        <v/>
      </c>
      <c r="M18">
        <f>all_data!H147</f>
        <v>0</v>
      </c>
      <c r="N18">
        <f>all_data!I147</f>
        <v>0</v>
      </c>
    </row>
    <row r="19" spans="1:14">
      <c r="A19">
        <f>all_data!A148</f>
        <v>146</v>
      </c>
      <c r="B19" t="str">
        <f>IF(C19&gt;0,all_data!B148,"")</f>
        <v/>
      </c>
      <c r="C19">
        <f>all_data!C148</f>
        <v>0</v>
      </c>
      <c r="D19">
        <f>all_data!D148</f>
        <v>0</v>
      </c>
      <c r="E19" s="5" t="str">
        <f>all_data!E148</f>
        <v/>
      </c>
      <c r="F19">
        <f>all_data!F148</f>
        <v>0</v>
      </c>
      <c r="H19">
        <f t="shared" si="0"/>
        <v>0</v>
      </c>
      <c r="J19">
        <f t="shared" si="1"/>
        <v>0</v>
      </c>
      <c r="K19">
        <f t="shared" si="2"/>
        <v>0</v>
      </c>
      <c r="L19" s="5" t="str">
        <f t="shared" si="3"/>
        <v/>
      </c>
      <c r="M19">
        <f>all_data!H148</f>
        <v>0</v>
      </c>
      <c r="N19">
        <f>all_data!I148</f>
        <v>0</v>
      </c>
    </row>
    <row r="20" spans="1:14">
      <c r="A20">
        <f>all_data!A149</f>
        <v>147</v>
      </c>
      <c r="B20" t="str">
        <f>IF(C20&gt;0,all_data!B149,"")</f>
        <v/>
      </c>
      <c r="C20">
        <f>all_data!C149</f>
        <v>0</v>
      </c>
      <c r="D20">
        <f>all_data!D149</f>
        <v>0</v>
      </c>
      <c r="E20" s="5" t="str">
        <f>all_data!E149</f>
        <v/>
      </c>
      <c r="F20">
        <f>all_data!F149</f>
        <v>0</v>
      </c>
      <c r="H20">
        <f t="shared" si="0"/>
        <v>0</v>
      </c>
      <c r="J20">
        <f t="shared" si="1"/>
        <v>0</v>
      </c>
      <c r="K20">
        <f t="shared" si="2"/>
        <v>0</v>
      </c>
      <c r="L20" s="5" t="str">
        <f t="shared" si="3"/>
        <v/>
      </c>
      <c r="M20">
        <f>all_data!H149</f>
        <v>0</v>
      </c>
      <c r="N20">
        <f>all_data!I149</f>
        <v>0</v>
      </c>
    </row>
    <row r="21" spans="1:14">
      <c r="A21">
        <f>all_data!A150</f>
        <v>148</v>
      </c>
      <c r="B21" t="str">
        <f>IF(C21&gt;0,all_data!B150,"")</f>
        <v/>
      </c>
      <c r="C21">
        <f>all_data!C150</f>
        <v>0</v>
      </c>
      <c r="D21">
        <f>all_data!D150</f>
        <v>0</v>
      </c>
      <c r="E21" s="5" t="str">
        <f>all_data!E150</f>
        <v/>
      </c>
      <c r="F21">
        <f>all_data!F150</f>
        <v>0</v>
      </c>
      <c r="H21">
        <f t="shared" si="0"/>
        <v>0</v>
      </c>
      <c r="J21">
        <f t="shared" si="1"/>
        <v>0</v>
      </c>
      <c r="K21">
        <f t="shared" si="2"/>
        <v>0</v>
      </c>
      <c r="L21" s="5" t="str">
        <f t="shared" si="3"/>
        <v/>
      </c>
      <c r="M21">
        <f>all_data!H150</f>
        <v>0</v>
      </c>
      <c r="N21">
        <f>all_data!I150</f>
        <v>0</v>
      </c>
    </row>
    <row r="22" spans="1:14">
      <c r="A22">
        <f>all_data!A151</f>
        <v>149</v>
      </c>
      <c r="B22" t="str">
        <f>IF(C22&gt;0,all_data!B151,"")</f>
        <v/>
      </c>
      <c r="C22">
        <f>all_data!C151</f>
        <v>0</v>
      </c>
      <c r="D22">
        <f>all_data!D151</f>
        <v>0</v>
      </c>
      <c r="E22" s="5" t="str">
        <f>all_data!E151</f>
        <v/>
      </c>
      <c r="F22">
        <f>all_data!F151</f>
        <v>0</v>
      </c>
      <c r="H22">
        <f t="shared" si="0"/>
        <v>0</v>
      </c>
      <c r="J22">
        <f t="shared" si="1"/>
        <v>0</v>
      </c>
      <c r="K22">
        <f t="shared" si="2"/>
        <v>0</v>
      </c>
      <c r="L22" s="5" t="str">
        <f t="shared" si="3"/>
        <v/>
      </c>
      <c r="M22">
        <f>all_data!H151</f>
        <v>0</v>
      </c>
      <c r="N22">
        <f>all_data!I151</f>
        <v>0</v>
      </c>
    </row>
    <row r="23" spans="1:14">
      <c r="A23">
        <f>all_data!A152</f>
        <v>150</v>
      </c>
      <c r="B23" t="str">
        <f>IF(C23&gt;0,all_data!B152,"")</f>
        <v/>
      </c>
      <c r="C23">
        <f>all_data!C152</f>
        <v>0</v>
      </c>
      <c r="D23">
        <f>all_data!D152</f>
        <v>0</v>
      </c>
      <c r="E23" s="5" t="str">
        <f>all_data!E152</f>
        <v/>
      </c>
      <c r="F23">
        <f>all_data!F152</f>
        <v>0</v>
      </c>
      <c r="H23">
        <f t="shared" si="0"/>
        <v>0</v>
      </c>
      <c r="J23">
        <f t="shared" si="1"/>
        <v>0</v>
      </c>
      <c r="K23">
        <f t="shared" si="2"/>
        <v>0</v>
      </c>
      <c r="L23" s="5" t="str">
        <f t="shared" si="3"/>
        <v/>
      </c>
      <c r="M23">
        <f>all_data!H152</f>
        <v>0</v>
      </c>
      <c r="N23">
        <f>all_data!I152</f>
        <v>0</v>
      </c>
    </row>
    <row r="24" spans="1:14">
      <c r="A24">
        <f>all_data!A153</f>
        <v>151</v>
      </c>
      <c r="B24" t="str">
        <f>IF(C24&gt;0,all_data!B153,"")</f>
        <v/>
      </c>
      <c r="C24">
        <f>all_data!C153</f>
        <v>0</v>
      </c>
      <c r="D24">
        <f>all_data!D153</f>
        <v>0</v>
      </c>
      <c r="E24" s="5" t="str">
        <f>all_data!E153</f>
        <v/>
      </c>
      <c r="F24">
        <f>all_data!F153</f>
        <v>0</v>
      </c>
      <c r="H24">
        <f t="shared" si="0"/>
        <v>0</v>
      </c>
      <c r="J24">
        <f t="shared" si="1"/>
        <v>0</v>
      </c>
      <c r="K24">
        <f t="shared" si="2"/>
        <v>0</v>
      </c>
      <c r="L24" s="5" t="str">
        <f t="shared" si="3"/>
        <v/>
      </c>
      <c r="M24">
        <f>all_data!H153</f>
        <v>0</v>
      </c>
      <c r="N24">
        <f>all_data!I153</f>
        <v>0</v>
      </c>
    </row>
    <row r="25" spans="1:14">
      <c r="A25">
        <f>all_data!A154</f>
        <v>152</v>
      </c>
      <c r="B25" t="str">
        <f>IF(C25&gt;0,all_data!B154,"")</f>
        <v/>
      </c>
      <c r="C25">
        <f>all_data!C154</f>
        <v>0</v>
      </c>
      <c r="D25">
        <f>all_data!D154</f>
        <v>0</v>
      </c>
      <c r="E25" s="5" t="str">
        <f>all_data!E154</f>
        <v/>
      </c>
      <c r="F25">
        <f>all_data!F154</f>
        <v>0</v>
      </c>
      <c r="H25">
        <f t="shared" si="0"/>
        <v>0</v>
      </c>
      <c r="J25">
        <f t="shared" si="1"/>
        <v>0</v>
      </c>
      <c r="K25">
        <f t="shared" si="2"/>
        <v>0</v>
      </c>
      <c r="L25" s="5" t="str">
        <f t="shared" si="3"/>
        <v/>
      </c>
      <c r="M25">
        <f>all_data!H154</f>
        <v>0</v>
      </c>
      <c r="N25">
        <f>all_data!I154</f>
        <v>0</v>
      </c>
    </row>
    <row r="26" spans="1:14">
      <c r="A26">
        <f>all_data!A155</f>
        <v>153</v>
      </c>
      <c r="B26" t="str">
        <f>IF(C26&gt;0,all_data!B155,"")</f>
        <v/>
      </c>
      <c r="C26">
        <f>all_data!C155</f>
        <v>0</v>
      </c>
      <c r="D26">
        <f>all_data!D155</f>
        <v>0</v>
      </c>
      <c r="E26" s="5" t="str">
        <f>all_data!E155</f>
        <v/>
      </c>
      <c r="F26">
        <f>all_data!F155</f>
        <v>0</v>
      </c>
      <c r="H26">
        <f t="shared" si="0"/>
        <v>0</v>
      </c>
      <c r="J26">
        <f t="shared" si="1"/>
        <v>0</v>
      </c>
      <c r="K26">
        <f t="shared" si="2"/>
        <v>0</v>
      </c>
      <c r="L26" s="5" t="str">
        <f t="shared" si="3"/>
        <v/>
      </c>
      <c r="M26">
        <f>all_data!H155</f>
        <v>0</v>
      </c>
      <c r="N26">
        <f>all_data!I155</f>
        <v>0</v>
      </c>
    </row>
    <row r="27" spans="1:14">
      <c r="A27">
        <f>all_data!A156</f>
        <v>154</v>
      </c>
      <c r="B27" t="str">
        <f>IF(C27&gt;0,all_data!B156,"")</f>
        <v/>
      </c>
      <c r="C27">
        <f>all_data!C156</f>
        <v>0</v>
      </c>
      <c r="D27">
        <f>all_data!D156</f>
        <v>0</v>
      </c>
      <c r="E27" s="5" t="str">
        <f>all_data!E156</f>
        <v/>
      </c>
      <c r="F27">
        <f>all_data!F156</f>
        <v>0</v>
      </c>
      <c r="H27">
        <f t="shared" si="0"/>
        <v>0</v>
      </c>
      <c r="J27">
        <f t="shared" si="1"/>
        <v>0</v>
      </c>
      <c r="K27">
        <f t="shared" si="2"/>
        <v>0</v>
      </c>
      <c r="L27" s="5" t="str">
        <f t="shared" si="3"/>
        <v/>
      </c>
      <c r="M27">
        <f>all_data!H156</f>
        <v>0</v>
      </c>
      <c r="N27">
        <f>all_data!I156</f>
        <v>0</v>
      </c>
    </row>
    <row r="28" spans="1:14">
      <c r="A28">
        <f>all_data!A157</f>
        <v>155</v>
      </c>
      <c r="B28" t="str">
        <f>IF(C28&gt;0,all_data!B157,"")</f>
        <v/>
      </c>
      <c r="C28">
        <f>all_data!C157</f>
        <v>0</v>
      </c>
      <c r="D28">
        <f>all_data!D157</f>
        <v>0</v>
      </c>
      <c r="E28" s="5" t="str">
        <f>all_data!E157</f>
        <v/>
      </c>
      <c r="F28">
        <f>all_data!F157</f>
        <v>0</v>
      </c>
      <c r="H28">
        <f t="shared" si="0"/>
        <v>0</v>
      </c>
      <c r="J28">
        <f t="shared" si="1"/>
        <v>0</v>
      </c>
      <c r="K28">
        <f t="shared" si="2"/>
        <v>0</v>
      </c>
      <c r="L28" s="5" t="str">
        <f t="shared" si="3"/>
        <v/>
      </c>
      <c r="M28">
        <f>all_data!H157</f>
        <v>0</v>
      </c>
      <c r="N28">
        <f>all_data!I157</f>
        <v>0</v>
      </c>
    </row>
    <row r="29" spans="1:14">
      <c r="A29">
        <f>all_data!A158</f>
        <v>156</v>
      </c>
      <c r="B29" t="str">
        <f>IF(C29&gt;0,all_data!B158,"")</f>
        <v/>
      </c>
      <c r="C29">
        <f>all_data!C158</f>
        <v>0</v>
      </c>
      <c r="D29">
        <f>all_data!D158</f>
        <v>0</v>
      </c>
      <c r="E29" s="5" t="str">
        <f>all_data!E158</f>
        <v/>
      </c>
      <c r="F29">
        <f>all_data!F158</f>
        <v>0</v>
      </c>
      <c r="H29">
        <f t="shared" si="0"/>
        <v>0</v>
      </c>
      <c r="J29">
        <f t="shared" si="1"/>
        <v>0</v>
      </c>
      <c r="K29">
        <f t="shared" si="2"/>
        <v>0</v>
      </c>
      <c r="L29" s="5" t="str">
        <f t="shared" si="3"/>
        <v/>
      </c>
      <c r="M29">
        <f>all_data!H158</f>
        <v>0</v>
      </c>
      <c r="N29">
        <f>all_data!I158</f>
        <v>0</v>
      </c>
    </row>
    <row r="30" spans="1:14">
      <c r="A30">
        <f>all_data!A159</f>
        <v>157</v>
      </c>
      <c r="B30" t="str">
        <f>IF(C30&gt;0,all_data!B159,"")</f>
        <v/>
      </c>
      <c r="C30">
        <f>all_data!C159</f>
        <v>0</v>
      </c>
      <c r="D30">
        <f>all_data!D159</f>
        <v>0</v>
      </c>
      <c r="E30" s="5" t="str">
        <f>all_data!E159</f>
        <v/>
      </c>
      <c r="F30">
        <f>all_data!F159</f>
        <v>0</v>
      </c>
      <c r="H30">
        <f t="shared" si="0"/>
        <v>0</v>
      </c>
      <c r="J30">
        <f t="shared" si="1"/>
        <v>0</v>
      </c>
      <c r="K30">
        <f t="shared" si="2"/>
        <v>0</v>
      </c>
      <c r="L30" s="5" t="str">
        <f t="shared" si="3"/>
        <v/>
      </c>
      <c r="M30">
        <f>all_data!H159</f>
        <v>0</v>
      </c>
      <c r="N30">
        <f>all_data!I159</f>
        <v>0</v>
      </c>
    </row>
    <row r="31" spans="1:14">
      <c r="A31">
        <f>all_data!A160</f>
        <v>158</v>
      </c>
      <c r="B31" t="str">
        <f>IF(C31&gt;0,all_data!B160,"")</f>
        <v/>
      </c>
      <c r="C31">
        <f>all_data!C160</f>
        <v>0</v>
      </c>
      <c r="D31">
        <f>all_data!D160</f>
        <v>0</v>
      </c>
      <c r="E31" s="5" t="str">
        <f>all_data!E160</f>
        <v/>
      </c>
      <c r="F31">
        <f>all_data!F160</f>
        <v>0</v>
      </c>
      <c r="H31">
        <f t="shared" si="0"/>
        <v>0</v>
      </c>
      <c r="J31">
        <f t="shared" si="1"/>
        <v>0</v>
      </c>
      <c r="K31">
        <f t="shared" si="2"/>
        <v>0</v>
      </c>
      <c r="L31" s="5" t="str">
        <f t="shared" si="3"/>
        <v/>
      </c>
      <c r="M31">
        <f>all_data!H160</f>
        <v>0</v>
      </c>
      <c r="N31">
        <f>all_data!I160</f>
        <v>0</v>
      </c>
    </row>
    <row r="32" spans="1:14">
      <c r="A32">
        <f>all_data!A161</f>
        <v>159</v>
      </c>
      <c r="B32" t="str">
        <f>IF(C32&gt;0,all_data!B161,"")</f>
        <v/>
      </c>
      <c r="C32">
        <f>all_data!C161</f>
        <v>0</v>
      </c>
      <c r="D32">
        <f>all_data!D161</f>
        <v>0</v>
      </c>
      <c r="E32" s="5" t="str">
        <f>all_data!E161</f>
        <v/>
      </c>
      <c r="F32">
        <f>all_data!F161</f>
        <v>0</v>
      </c>
      <c r="H32">
        <f t="shared" si="0"/>
        <v>0</v>
      </c>
      <c r="J32">
        <f t="shared" si="1"/>
        <v>0</v>
      </c>
      <c r="K32">
        <f t="shared" si="2"/>
        <v>0</v>
      </c>
      <c r="L32" s="5" t="str">
        <f t="shared" si="3"/>
        <v/>
      </c>
      <c r="M32">
        <f>all_data!H161</f>
        <v>0</v>
      </c>
      <c r="N32">
        <f>all_data!I161</f>
        <v>0</v>
      </c>
    </row>
    <row r="33" spans="1:14">
      <c r="A33">
        <f>all_data!A162</f>
        <v>160</v>
      </c>
      <c r="B33" t="str">
        <f>IF(C33&gt;0,all_data!B162,"")</f>
        <v/>
      </c>
      <c r="C33">
        <f>all_data!C162</f>
        <v>0</v>
      </c>
      <c r="D33">
        <f>all_data!D162</f>
        <v>0</v>
      </c>
      <c r="E33" s="5" t="str">
        <f>all_data!E162</f>
        <v/>
      </c>
      <c r="F33">
        <f>all_data!F162</f>
        <v>0</v>
      </c>
      <c r="H33">
        <f t="shared" si="0"/>
        <v>0</v>
      </c>
      <c r="J33">
        <f t="shared" si="1"/>
        <v>0</v>
      </c>
      <c r="K33">
        <f t="shared" si="2"/>
        <v>0</v>
      </c>
      <c r="L33" s="5" t="str">
        <f t="shared" si="3"/>
        <v/>
      </c>
      <c r="M33">
        <f>all_data!H162</f>
        <v>0</v>
      </c>
      <c r="N33">
        <f>all_data!I162</f>
        <v>0</v>
      </c>
    </row>
    <row r="34" spans="1:14">
      <c r="A34">
        <f>all_data!A163</f>
        <v>161</v>
      </c>
      <c r="B34" t="str">
        <f>IF(C34&gt;0,all_data!B163,"")</f>
        <v/>
      </c>
      <c r="C34">
        <f>all_data!C163</f>
        <v>0</v>
      </c>
      <c r="D34">
        <f>all_data!D163</f>
        <v>0</v>
      </c>
      <c r="E34" s="5" t="str">
        <f>all_data!E163</f>
        <v/>
      </c>
      <c r="F34">
        <f>all_data!F163</f>
        <v>0</v>
      </c>
      <c r="H34">
        <f t="shared" si="0"/>
        <v>0</v>
      </c>
      <c r="J34">
        <f t="shared" si="1"/>
        <v>0</v>
      </c>
      <c r="K34">
        <f t="shared" si="2"/>
        <v>0</v>
      </c>
      <c r="L34" s="5" t="str">
        <f t="shared" si="3"/>
        <v/>
      </c>
      <c r="M34">
        <f>all_data!H163</f>
        <v>0</v>
      </c>
      <c r="N34">
        <f>all_data!I163</f>
        <v>0</v>
      </c>
    </row>
    <row r="35" spans="1:14">
      <c r="A35">
        <f>all_data!A164</f>
        <v>162</v>
      </c>
      <c r="B35" t="str">
        <f>IF(C35&gt;0,all_data!B164,"")</f>
        <v/>
      </c>
      <c r="C35">
        <f>all_data!C164</f>
        <v>0</v>
      </c>
      <c r="D35">
        <f>all_data!D164</f>
        <v>0</v>
      </c>
      <c r="E35" s="5" t="str">
        <f>all_data!E164</f>
        <v/>
      </c>
      <c r="F35">
        <f>all_data!F164</f>
        <v>0</v>
      </c>
      <c r="H35">
        <f t="shared" si="0"/>
        <v>0</v>
      </c>
      <c r="J35">
        <f t="shared" si="1"/>
        <v>0</v>
      </c>
      <c r="K35">
        <f t="shared" si="2"/>
        <v>0</v>
      </c>
      <c r="L35" s="5" t="str">
        <f t="shared" si="3"/>
        <v/>
      </c>
      <c r="M35">
        <f>all_data!H164</f>
        <v>0</v>
      </c>
      <c r="N35">
        <f>all_data!I164</f>
        <v>0</v>
      </c>
    </row>
    <row r="36" spans="1:14">
      <c r="A36">
        <f>all_data!A165</f>
        <v>163</v>
      </c>
      <c r="B36" t="str">
        <f>IF(C36&gt;0,all_data!B165,"")</f>
        <v/>
      </c>
      <c r="C36">
        <f>all_data!C165</f>
        <v>0</v>
      </c>
      <c r="D36">
        <f>all_data!D165</f>
        <v>0</v>
      </c>
      <c r="E36" s="5" t="str">
        <f>all_data!E165</f>
        <v/>
      </c>
      <c r="F36">
        <f>all_data!F165</f>
        <v>0</v>
      </c>
      <c r="H36">
        <f t="shared" si="0"/>
        <v>0</v>
      </c>
      <c r="J36">
        <f t="shared" si="1"/>
        <v>0</v>
      </c>
      <c r="K36">
        <f t="shared" si="2"/>
        <v>0</v>
      </c>
      <c r="L36" s="5" t="str">
        <f t="shared" si="3"/>
        <v/>
      </c>
      <c r="M36">
        <f>all_data!H165</f>
        <v>0</v>
      </c>
      <c r="N36">
        <f>all_data!I165</f>
        <v>0</v>
      </c>
    </row>
    <row r="37" spans="1:14">
      <c r="A37">
        <f>all_data!A166</f>
        <v>164</v>
      </c>
      <c r="B37" t="str">
        <f>IF(C37&gt;0,all_data!B166,"")</f>
        <v/>
      </c>
      <c r="C37">
        <f>all_data!C166</f>
        <v>0</v>
      </c>
      <c r="D37">
        <f>all_data!D166</f>
        <v>0</v>
      </c>
      <c r="E37" s="5" t="str">
        <f>all_data!E166</f>
        <v/>
      </c>
      <c r="F37">
        <f>all_data!F166</f>
        <v>0</v>
      </c>
      <c r="H37">
        <f t="shared" si="0"/>
        <v>0</v>
      </c>
      <c r="J37">
        <f t="shared" si="1"/>
        <v>0</v>
      </c>
      <c r="K37">
        <f t="shared" si="2"/>
        <v>0</v>
      </c>
      <c r="L37" s="5" t="str">
        <f t="shared" si="3"/>
        <v/>
      </c>
      <c r="M37">
        <f>all_data!H166</f>
        <v>0</v>
      </c>
      <c r="N37">
        <f>all_data!I166</f>
        <v>0</v>
      </c>
    </row>
    <row r="38" spans="1:14">
      <c r="A38">
        <f>all_data!A167</f>
        <v>165</v>
      </c>
      <c r="B38" t="str">
        <f>IF(C38&gt;0,all_data!B167,"")</f>
        <v/>
      </c>
      <c r="C38">
        <f>all_data!C167</f>
        <v>0</v>
      </c>
      <c r="D38">
        <f>all_data!D167</f>
        <v>0</v>
      </c>
      <c r="E38" s="5" t="str">
        <f>all_data!E167</f>
        <v/>
      </c>
      <c r="F38">
        <f>all_data!F167</f>
        <v>0</v>
      </c>
      <c r="H38">
        <f t="shared" si="0"/>
        <v>0</v>
      </c>
      <c r="J38">
        <f t="shared" si="1"/>
        <v>0</v>
      </c>
      <c r="K38">
        <f t="shared" si="2"/>
        <v>0</v>
      </c>
      <c r="L38" s="5" t="str">
        <f t="shared" si="3"/>
        <v/>
      </c>
      <c r="M38">
        <f>all_data!H167</f>
        <v>0</v>
      </c>
      <c r="N38">
        <f>all_data!I167</f>
        <v>0</v>
      </c>
    </row>
    <row r="39" spans="1:14">
      <c r="A39">
        <f>all_data!A168</f>
        <v>166</v>
      </c>
      <c r="B39" t="str">
        <f>IF(C39&gt;0,all_data!B168,"")</f>
        <v/>
      </c>
      <c r="C39">
        <f>all_data!C168</f>
        <v>0</v>
      </c>
      <c r="D39">
        <f>all_data!D168</f>
        <v>0</v>
      </c>
      <c r="E39" s="5" t="str">
        <f>all_data!E168</f>
        <v/>
      </c>
      <c r="F39">
        <f>all_data!F168</f>
        <v>0</v>
      </c>
      <c r="H39">
        <f t="shared" si="0"/>
        <v>0</v>
      </c>
      <c r="J39">
        <f t="shared" si="1"/>
        <v>0</v>
      </c>
      <c r="K39">
        <f t="shared" si="2"/>
        <v>0</v>
      </c>
      <c r="L39" s="5" t="str">
        <f t="shared" si="3"/>
        <v/>
      </c>
      <c r="M39">
        <f>all_data!H168</f>
        <v>0</v>
      </c>
      <c r="N39">
        <f>all_data!I168</f>
        <v>0</v>
      </c>
    </row>
    <row r="40" spans="1:14">
      <c r="A40">
        <f>all_data!A169</f>
        <v>167</v>
      </c>
      <c r="B40" t="str">
        <f>IF(C40&gt;0,all_data!B169,"")</f>
        <v/>
      </c>
      <c r="C40">
        <f>all_data!C169</f>
        <v>0</v>
      </c>
      <c r="D40">
        <f>all_data!D169</f>
        <v>0</v>
      </c>
      <c r="E40" s="5" t="str">
        <f>all_data!E169</f>
        <v/>
      </c>
      <c r="F40">
        <f>all_data!F169</f>
        <v>0</v>
      </c>
      <c r="H40">
        <f t="shared" si="0"/>
        <v>0</v>
      </c>
      <c r="J40">
        <f t="shared" si="1"/>
        <v>0</v>
      </c>
      <c r="K40">
        <f t="shared" si="2"/>
        <v>0</v>
      </c>
      <c r="L40" s="5" t="str">
        <f t="shared" si="3"/>
        <v/>
      </c>
      <c r="M40">
        <f>all_data!H169</f>
        <v>0</v>
      </c>
      <c r="N40">
        <f>all_data!I169</f>
        <v>0</v>
      </c>
    </row>
    <row r="41" spans="1:14">
      <c r="A41">
        <f>all_data!A170</f>
        <v>168</v>
      </c>
      <c r="B41" t="str">
        <f>IF(C41&gt;0,all_data!B170,"")</f>
        <v/>
      </c>
      <c r="C41">
        <f>all_data!C170</f>
        <v>0</v>
      </c>
      <c r="D41">
        <f>all_data!D170</f>
        <v>0</v>
      </c>
      <c r="E41" s="5" t="str">
        <f>all_data!E170</f>
        <v/>
      </c>
      <c r="F41">
        <f>all_data!F170</f>
        <v>0</v>
      </c>
      <c r="H41">
        <f t="shared" si="0"/>
        <v>0</v>
      </c>
      <c r="J41">
        <f t="shared" si="1"/>
        <v>0</v>
      </c>
      <c r="K41">
        <f t="shared" si="2"/>
        <v>0</v>
      </c>
      <c r="L41" s="5" t="str">
        <f t="shared" si="3"/>
        <v/>
      </c>
      <c r="M41">
        <f>all_data!H170</f>
        <v>0</v>
      </c>
      <c r="N41">
        <f>all_data!I170</f>
        <v>0</v>
      </c>
    </row>
    <row r="42" spans="1:14">
      <c r="A42">
        <f>all_data!A171</f>
        <v>169</v>
      </c>
      <c r="B42" t="str">
        <f>IF(C42&gt;0,all_data!B171,"")</f>
        <v/>
      </c>
      <c r="C42">
        <f>all_data!C171</f>
        <v>0</v>
      </c>
      <c r="D42">
        <f>all_data!D171</f>
        <v>0</v>
      </c>
      <c r="E42" s="5" t="str">
        <f>all_data!E171</f>
        <v/>
      </c>
      <c r="F42">
        <f>all_data!F171</f>
        <v>0</v>
      </c>
      <c r="H42">
        <f t="shared" si="0"/>
        <v>0</v>
      </c>
      <c r="J42">
        <f t="shared" si="1"/>
        <v>0</v>
      </c>
      <c r="K42">
        <f t="shared" si="2"/>
        <v>0</v>
      </c>
      <c r="L42" s="5" t="str">
        <f t="shared" si="3"/>
        <v/>
      </c>
      <c r="M42">
        <f>all_data!H171</f>
        <v>0</v>
      </c>
      <c r="N42">
        <f>all_data!I171</f>
        <v>0</v>
      </c>
    </row>
    <row r="43" spans="1:14">
      <c r="A43">
        <f>all_data!A172</f>
        <v>170</v>
      </c>
      <c r="B43" t="str">
        <f>IF(C43&gt;0,all_data!B172,"")</f>
        <v/>
      </c>
      <c r="C43">
        <f>all_data!C172</f>
        <v>0</v>
      </c>
      <c r="D43">
        <f>all_data!D172</f>
        <v>0</v>
      </c>
      <c r="E43" s="5" t="str">
        <f>all_data!E172</f>
        <v/>
      </c>
      <c r="F43">
        <f>all_data!F172</f>
        <v>0</v>
      </c>
      <c r="H43">
        <f t="shared" si="0"/>
        <v>0</v>
      </c>
      <c r="J43">
        <f t="shared" si="1"/>
        <v>0</v>
      </c>
      <c r="K43">
        <f t="shared" si="2"/>
        <v>0</v>
      </c>
      <c r="L43" s="5" t="str">
        <f t="shared" si="3"/>
        <v/>
      </c>
      <c r="M43">
        <f>all_data!H172</f>
        <v>0</v>
      </c>
      <c r="N43">
        <f>all_data!I172</f>
        <v>0</v>
      </c>
    </row>
    <row r="44" spans="1:14">
      <c r="A44">
        <f>all_data!A173</f>
        <v>171</v>
      </c>
      <c r="B44" t="str">
        <f>IF(C44&gt;0,all_data!B173,"")</f>
        <v/>
      </c>
      <c r="C44">
        <f>all_data!C173</f>
        <v>0</v>
      </c>
      <c r="D44">
        <f>all_data!D173</f>
        <v>0</v>
      </c>
      <c r="E44" s="5" t="str">
        <f>all_data!E173</f>
        <v/>
      </c>
      <c r="F44">
        <f>all_data!F173</f>
        <v>0</v>
      </c>
      <c r="H44">
        <f t="shared" si="0"/>
        <v>0</v>
      </c>
      <c r="J44">
        <f t="shared" si="1"/>
        <v>0</v>
      </c>
      <c r="K44">
        <f t="shared" si="2"/>
        <v>0</v>
      </c>
      <c r="L44" s="5" t="str">
        <f t="shared" si="3"/>
        <v/>
      </c>
      <c r="M44">
        <f>all_data!H173</f>
        <v>0</v>
      </c>
      <c r="N44">
        <f>all_data!I173</f>
        <v>0</v>
      </c>
    </row>
    <row r="45" spans="1:14">
      <c r="A45">
        <f>all_data!A174</f>
        <v>172</v>
      </c>
      <c r="B45" t="str">
        <f>IF(C45&gt;0,all_data!B174,"")</f>
        <v/>
      </c>
      <c r="C45">
        <f>all_data!C174</f>
        <v>0</v>
      </c>
      <c r="D45">
        <f>all_data!D174</f>
        <v>0</v>
      </c>
      <c r="E45" s="5" t="str">
        <f>all_data!E174</f>
        <v/>
      </c>
      <c r="F45">
        <f>all_data!F174</f>
        <v>0</v>
      </c>
      <c r="H45">
        <f t="shared" si="0"/>
        <v>0</v>
      </c>
      <c r="J45">
        <f t="shared" si="1"/>
        <v>0</v>
      </c>
      <c r="K45">
        <f t="shared" si="2"/>
        <v>0</v>
      </c>
      <c r="L45" s="5" t="str">
        <f t="shared" si="3"/>
        <v/>
      </c>
      <c r="M45">
        <f>all_data!H174</f>
        <v>0</v>
      </c>
      <c r="N45">
        <f>all_data!I174</f>
        <v>0</v>
      </c>
    </row>
    <row r="46" spans="1:14">
      <c r="A46">
        <f>all_data!A175</f>
        <v>173</v>
      </c>
      <c r="B46" t="str">
        <f>IF(C46&gt;0,all_data!B175,"")</f>
        <v/>
      </c>
      <c r="C46">
        <f>all_data!C175</f>
        <v>0</v>
      </c>
      <c r="D46">
        <f>all_data!D175</f>
        <v>0</v>
      </c>
      <c r="E46" s="5" t="str">
        <f>all_data!E175</f>
        <v/>
      </c>
      <c r="F46">
        <f>all_data!F175</f>
        <v>0</v>
      </c>
      <c r="H46">
        <f t="shared" si="0"/>
        <v>0</v>
      </c>
      <c r="J46">
        <f t="shared" si="1"/>
        <v>0</v>
      </c>
      <c r="K46">
        <f t="shared" si="2"/>
        <v>0</v>
      </c>
      <c r="L46" s="5" t="str">
        <f t="shared" si="3"/>
        <v/>
      </c>
      <c r="M46">
        <f>all_data!H175</f>
        <v>0</v>
      </c>
      <c r="N46">
        <f>all_data!I175</f>
        <v>0</v>
      </c>
    </row>
    <row r="47" spans="1:14">
      <c r="A47">
        <f>all_data!A176</f>
        <v>174</v>
      </c>
      <c r="B47" t="str">
        <f>IF(C47&gt;0,all_data!B176,"")</f>
        <v/>
      </c>
      <c r="C47">
        <f>all_data!C176</f>
        <v>0</v>
      </c>
      <c r="D47">
        <f>all_data!D176</f>
        <v>0</v>
      </c>
      <c r="E47" s="5" t="str">
        <f>all_data!E176</f>
        <v/>
      </c>
      <c r="F47">
        <f>all_data!F176</f>
        <v>0</v>
      </c>
      <c r="H47">
        <f t="shared" si="0"/>
        <v>0</v>
      </c>
      <c r="J47">
        <f t="shared" si="1"/>
        <v>0</v>
      </c>
      <c r="K47">
        <f t="shared" si="2"/>
        <v>0</v>
      </c>
      <c r="L47" s="5" t="str">
        <f t="shared" si="3"/>
        <v/>
      </c>
      <c r="M47">
        <f>all_data!H176</f>
        <v>0</v>
      </c>
      <c r="N47">
        <f>all_data!I176</f>
        <v>0</v>
      </c>
    </row>
    <row r="48" spans="1:14">
      <c r="A48">
        <f>all_data!A177</f>
        <v>175</v>
      </c>
      <c r="B48" t="str">
        <f>IF(C48&gt;0,all_data!B177,"")</f>
        <v/>
      </c>
      <c r="C48">
        <f>all_data!C177</f>
        <v>0</v>
      </c>
      <c r="D48">
        <f>all_data!D177</f>
        <v>0</v>
      </c>
      <c r="E48" s="5" t="str">
        <f>all_data!E177</f>
        <v/>
      </c>
      <c r="F48">
        <f>all_data!F177</f>
        <v>0</v>
      </c>
      <c r="H48">
        <f t="shared" si="0"/>
        <v>0</v>
      </c>
      <c r="J48">
        <f t="shared" si="1"/>
        <v>0</v>
      </c>
      <c r="K48">
        <f t="shared" si="2"/>
        <v>0</v>
      </c>
      <c r="L48" s="5" t="str">
        <f t="shared" si="3"/>
        <v/>
      </c>
      <c r="M48">
        <f>all_data!H177</f>
        <v>0</v>
      </c>
      <c r="N48">
        <f>all_data!I177</f>
        <v>0</v>
      </c>
    </row>
    <row r="49" spans="1:14">
      <c r="A49">
        <f>all_data!A178</f>
        <v>176</v>
      </c>
      <c r="B49" t="str">
        <f>IF(C49&gt;0,all_data!B178,"")</f>
        <v/>
      </c>
      <c r="C49">
        <f>all_data!C178</f>
        <v>0</v>
      </c>
      <c r="D49">
        <f>all_data!D178</f>
        <v>0</v>
      </c>
      <c r="E49" s="5" t="str">
        <f>all_data!E178</f>
        <v/>
      </c>
      <c r="F49">
        <f>all_data!F178</f>
        <v>0</v>
      </c>
      <c r="H49">
        <f t="shared" si="0"/>
        <v>0</v>
      </c>
      <c r="J49">
        <f t="shared" si="1"/>
        <v>0</v>
      </c>
      <c r="K49">
        <f t="shared" si="2"/>
        <v>0</v>
      </c>
      <c r="L49" s="5" t="str">
        <f t="shared" si="3"/>
        <v/>
      </c>
      <c r="M49">
        <f>all_data!H178</f>
        <v>0</v>
      </c>
      <c r="N49">
        <f>all_data!I178</f>
        <v>0</v>
      </c>
    </row>
    <row r="50" spans="1:14">
      <c r="A50">
        <f>all_data!A179</f>
        <v>177</v>
      </c>
      <c r="B50" t="str">
        <f>IF(C50&gt;0,all_data!B179,"")</f>
        <v/>
      </c>
      <c r="C50">
        <f>all_data!C179</f>
        <v>0</v>
      </c>
      <c r="D50">
        <f>all_data!D179</f>
        <v>0</v>
      </c>
      <c r="E50" s="5" t="str">
        <f>all_data!E179</f>
        <v/>
      </c>
      <c r="F50">
        <f>all_data!F179</f>
        <v>0</v>
      </c>
      <c r="H50">
        <f t="shared" si="0"/>
        <v>0</v>
      </c>
      <c r="J50">
        <f t="shared" si="1"/>
        <v>0</v>
      </c>
      <c r="K50">
        <f t="shared" si="2"/>
        <v>0</v>
      </c>
      <c r="L50" s="5" t="str">
        <f t="shared" si="3"/>
        <v/>
      </c>
      <c r="M50">
        <f>all_data!H179</f>
        <v>0</v>
      </c>
      <c r="N50">
        <f>all_data!I179</f>
        <v>0</v>
      </c>
    </row>
    <row r="51" spans="1:14">
      <c r="A51">
        <f>all_data!A180</f>
        <v>178</v>
      </c>
      <c r="B51" t="str">
        <f>IF(C51&gt;0,all_data!B180,"")</f>
        <v/>
      </c>
      <c r="C51">
        <f>all_data!C180</f>
        <v>0</v>
      </c>
      <c r="D51">
        <f>all_data!D180</f>
        <v>0</v>
      </c>
      <c r="E51" s="5" t="str">
        <f>all_data!E180</f>
        <v/>
      </c>
      <c r="F51">
        <f>all_data!F180</f>
        <v>0</v>
      </c>
      <c r="H51">
        <f t="shared" si="0"/>
        <v>0</v>
      </c>
      <c r="J51">
        <f t="shared" si="1"/>
        <v>0</v>
      </c>
      <c r="K51">
        <f t="shared" si="2"/>
        <v>0</v>
      </c>
      <c r="L51" s="5" t="str">
        <f t="shared" si="3"/>
        <v/>
      </c>
      <c r="M51">
        <f>all_data!H180</f>
        <v>0</v>
      </c>
      <c r="N51">
        <f>all_data!I180</f>
        <v>0</v>
      </c>
    </row>
    <row r="52" spans="1:14">
      <c r="A52">
        <f>all_data!A181</f>
        <v>179</v>
      </c>
      <c r="B52" t="str">
        <f>IF(C52&gt;0,all_data!B181,"")</f>
        <v/>
      </c>
      <c r="C52">
        <f>all_data!C181</f>
        <v>0</v>
      </c>
      <c r="D52">
        <f>all_data!D181</f>
        <v>0</v>
      </c>
      <c r="E52" s="5" t="str">
        <f>all_data!E181</f>
        <v/>
      </c>
      <c r="F52">
        <f>all_data!F181</f>
        <v>0</v>
      </c>
      <c r="H52">
        <f t="shared" si="0"/>
        <v>0</v>
      </c>
      <c r="J52">
        <f t="shared" si="1"/>
        <v>0</v>
      </c>
      <c r="K52">
        <f t="shared" si="2"/>
        <v>0</v>
      </c>
      <c r="L52" s="5" t="str">
        <f t="shared" si="3"/>
        <v/>
      </c>
      <c r="M52">
        <f>all_data!H181</f>
        <v>0</v>
      </c>
      <c r="N52">
        <f>all_data!I181</f>
        <v>0</v>
      </c>
    </row>
    <row r="53" spans="1:14">
      <c r="A53">
        <f>all_data!A182</f>
        <v>180</v>
      </c>
      <c r="B53" t="str">
        <f>IF(C53&gt;0,all_data!B182,"")</f>
        <v/>
      </c>
      <c r="C53">
        <f>all_data!C182</f>
        <v>0</v>
      </c>
      <c r="D53">
        <f>all_data!D182</f>
        <v>0</v>
      </c>
      <c r="E53" s="5" t="str">
        <f>all_data!E182</f>
        <v/>
      </c>
      <c r="F53">
        <f>all_data!F182</f>
        <v>0</v>
      </c>
      <c r="H53">
        <f t="shared" si="0"/>
        <v>0</v>
      </c>
      <c r="J53">
        <f t="shared" si="1"/>
        <v>0</v>
      </c>
      <c r="K53">
        <f t="shared" si="2"/>
        <v>0</v>
      </c>
      <c r="L53" s="5" t="str">
        <f t="shared" si="3"/>
        <v/>
      </c>
      <c r="M53">
        <f>all_data!H182</f>
        <v>0</v>
      </c>
      <c r="N53">
        <f>all_data!I182</f>
        <v>0</v>
      </c>
    </row>
    <row r="54" spans="1:14">
      <c r="A54">
        <f>all_data!A183</f>
        <v>181</v>
      </c>
      <c r="B54" t="str">
        <f>IF(C54&gt;0,all_data!B183,"")</f>
        <v/>
      </c>
      <c r="C54">
        <f>all_data!C183</f>
        <v>0</v>
      </c>
      <c r="D54">
        <f>all_data!D183</f>
        <v>0</v>
      </c>
      <c r="E54" s="5" t="str">
        <f>all_data!E183</f>
        <v/>
      </c>
      <c r="F54">
        <f>all_data!F183</f>
        <v>0</v>
      </c>
      <c r="H54">
        <f t="shared" si="0"/>
        <v>0</v>
      </c>
      <c r="J54">
        <f t="shared" si="1"/>
        <v>0</v>
      </c>
      <c r="K54">
        <f t="shared" si="2"/>
        <v>0</v>
      </c>
      <c r="L54" s="5" t="str">
        <f t="shared" si="3"/>
        <v/>
      </c>
      <c r="M54">
        <f>all_data!H183</f>
        <v>0</v>
      </c>
      <c r="N54">
        <f>all_data!I183</f>
        <v>0</v>
      </c>
    </row>
    <row r="55" spans="1:14">
      <c r="A55">
        <f>all_data!A184</f>
        <v>182</v>
      </c>
      <c r="B55" t="str">
        <f>IF(C55&gt;0,all_data!B184,"")</f>
        <v/>
      </c>
      <c r="C55">
        <f>all_data!C184</f>
        <v>0</v>
      </c>
      <c r="D55">
        <f>all_data!D184</f>
        <v>0</v>
      </c>
      <c r="E55" s="5" t="str">
        <f>all_data!E184</f>
        <v/>
      </c>
      <c r="F55">
        <f>all_data!F184</f>
        <v>0</v>
      </c>
      <c r="H55">
        <f t="shared" si="0"/>
        <v>0</v>
      </c>
      <c r="J55">
        <f t="shared" si="1"/>
        <v>0</v>
      </c>
      <c r="K55">
        <f t="shared" si="2"/>
        <v>0</v>
      </c>
      <c r="L55" s="5" t="str">
        <f t="shared" si="3"/>
        <v/>
      </c>
      <c r="M55">
        <f>all_data!H184</f>
        <v>0</v>
      </c>
      <c r="N55">
        <f>all_data!I184</f>
        <v>0</v>
      </c>
    </row>
    <row r="56" spans="1:14">
      <c r="A56">
        <f>all_data!A185</f>
        <v>183</v>
      </c>
      <c r="B56" t="str">
        <f>IF(C56&gt;0,all_data!B185,"")</f>
        <v/>
      </c>
      <c r="C56">
        <f>all_data!C185</f>
        <v>0</v>
      </c>
      <c r="D56">
        <f>all_data!D185</f>
        <v>0</v>
      </c>
      <c r="E56" s="5" t="str">
        <f>all_data!E185</f>
        <v/>
      </c>
      <c r="F56">
        <f>all_data!F185</f>
        <v>0</v>
      </c>
      <c r="H56">
        <f t="shared" si="0"/>
        <v>0</v>
      </c>
      <c r="J56">
        <f t="shared" si="1"/>
        <v>0</v>
      </c>
      <c r="K56">
        <f t="shared" si="2"/>
        <v>0</v>
      </c>
      <c r="L56" s="5" t="str">
        <f t="shared" si="3"/>
        <v/>
      </c>
      <c r="M56">
        <f>all_data!H185</f>
        <v>0</v>
      </c>
      <c r="N56">
        <f>all_data!I185</f>
        <v>0</v>
      </c>
    </row>
    <row r="57" spans="1:14">
      <c r="A57">
        <f>all_data!A186</f>
        <v>184</v>
      </c>
      <c r="B57" t="str">
        <f>IF(C57&gt;0,all_data!B186,"")</f>
        <v/>
      </c>
      <c r="C57">
        <f>all_data!C186</f>
        <v>0</v>
      </c>
      <c r="D57">
        <f>all_data!D186</f>
        <v>0</v>
      </c>
      <c r="E57" s="5" t="str">
        <f>all_data!E186</f>
        <v/>
      </c>
      <c r="F57">
        <f>all_data!F186</f>
        <v>0</v>
      </c>
      <c r="H57">
        <f t="shared" si="0"/>
        <v>0</v>
      </c>
      <c r="J57">
        <f t="shared" si="1"/>
        <v>0</v>
      </c>
      <c r="K57">
        <f t="shared" si="2"/>
        <v>0</v>
      </c>
      <c r="L57" s="5" t="str">
        <f t="shared" si="3"/>
        <v/>
      </c>
      <c r="M57">
        <f>all_data!H186</f>
        <v>0</v>
      </c>
      <c r="N57">
        <f>all_data!I186</f>
        <v>0</v>
      </c>
    </row>
    <row r="58" spans="1:14">
      <c r="A58">
        <f>all_data!A187</f>
        <v>185</v>
      </c>
      <c r="B58" t="str">
        <f>IF(C58&gt;0,all_data!B187,"")</f>
        <v/>
      </c>
      <c r="C58">
        <f>all_data!C187</f>
        <v>0</v>
      </c>
      <c r="D58">
        <f>all_data!D187</f>
        <v>0</v>
      </c>
      <c r="E58" s="5" t="str">
        <f>all_data!E187</f>
        <v/>
      </c>
      <c r="F58">
        <f>all_data!F187</f>
        <v>0</v>
      </c>
      <c r="H58">
        <f t="shared" si="0"/>
        <v>0</v>
      </c>
      <c r="J58">
        <f t="shared" si="1"/>
        <v>0</v>
      </c>
      <c r="K58">
        <f t="shared" si="2"/>
        <v>0</v>
      </c>
      <c r="L58" s="5" t="str">
        <f t="shared" si="3"/>
        <v/>
      </c>
      <c r="M58">
        <f>all_data!H187</f>
        <v>0</v>
      </c>
      <c r="N58">
        <f>all_data!I187</f>
        <v>0</v>
      </c>
    </row>
    <row r="59" spans="1:14">
      <c r="A59">
        <f>all_data!A188</f>
        <v>186</v>
      </c>
      <c r="B59" t="str">
        <f>IF(C59&gt;0,all_data!B188,"")</f>
        <v/>
      </c>
      <c r="C59">
        <f>all_data!C188</f>
        <v>0</v>
      </c>
      <c r="D59">
        <f>all_data!D188</f>
        <v>0</v>
      </c>
      <c r="E59" s="5" t="str">
        <f>all_data!E188</f>
        <v/>
      </c>
      <c r="F59">
        <f>all_data!F188</f>
        <v>0</v>
      </c>
      <c r="H59">
        <f t="shared" si="0"/>
        <v>0</v>
      </c>
      <c r="J59">
        <f t="shared" si="1"/>
        <v>0</v>
      </c>
      <c r="K59">
        <f t="shared" si="2"/>
        <v>0</v>
      </c>
      <c r="L59" s="5" t="str">
        <f t="shared" si="3"/>
        <v/>
      </c>
      <c r="M59">
        <f>all_data!H188</f>
        <v>0</v>
      </c>
      <c r="N59">
        <f>all_data!I188</f>
        <v>0</v>
      </c>
    </row>
    <row r="60" spans="1:14">
      <c r="A60">
        <f>all_data!A189</f>
        <v>187</v>
      </c>
      <c r="B60" t="str">
        <f>IF(C60&gt;0,all_data!B189,"")</f>
        <v/>
      </c>
      <c r="C60">
        <f>all_data!C189</f>
        <v>0</v>
      </c>
      <c r="D60">
        <f>all_data!D189</f>
        <v>0</v>
      </c>
      <c r="E60" s="5" t="str">
        <f>all_data!E189</f>
        <v/>
      </c>
      <c r="F60">
        <f>all_data!F189</f>
        <v>0</v>
      </c>
      <c r="H60">
        <f t="shared" si="0"/>
        <v>0</v>
      </c>
      <c r="J60">
        <f t="shared" si="1"/>
        <v>0</v>
      </c>
      <c r="K60">
        <f t="shared" si="2"/>
        <v>0</v>
      </c>
      <c r="L60" s="5" t="str">
        <f t="shared" si="3"/>
        <v/>
      </c>
      <c r="M60">
        <f>all_data!H189</f>
        <v>0</v>
      </c>
      <c r="N60">
        <f>all_data!I189</f>
        <v>0</v>
      </c>
    </row>
    <row r="61" spans="1:14">
      <c r="A61">
        <f>all_data!A190</f>
        <v>188</v>
      </c>
      <c r="B61" t="str">
        <f>IF(C61&gt;0,all_data!B190,"")</f>
        <v/>
      </c>
      <c r="C61">
        <f>all_data!C190</f>
        <v>0</v>
      </c>
      <c r="D61">
        <f>all_data!D190</f>
        <v>0</v>
      </c>
      <c r="E61" s="5" t="str">
        <f>all_data!E190</f>
        <v/>
      </c>
      <c r="F61">
        <f>all_data!F190</f>
        <v>0</v>
      </c>
      <c r="H61">
        <f t="shared" si="0"/>
        <v>0</v>
      </c>
      <c r="J61">
        <f t="shared" si="1"/>
        <v>0</v>
      </c>
      <c r="K61">
        <f t="shared" si="2"/>
        <v>0</v>
      </c>
      <c r="L61" s="5" t="str">
        <f t="shared" si="3"/>
        <v/>
      </c>
      <c r="M61">
        <f>all_data!H190</f>
        <v>0</v>
      </c>
      <c r="N61">
        <f>all_data!I190</f>
        <v>0</v>
      </c>
    </row>
    <row r="62" spans="1:14">
      <c r="A62">
        <f>all_data!A191</f>
        <v>189</v>
      </c>
      <c r="B62" t="str">
        <f>IF(C62&gt;0,all_data!B191,"")</f>
        <v/>
      </c>
      <c r="C62">
        <f>all_data!C191</f>
        <v>0</v>
      </c>
      <c r="D62">
        <f>all_data!D191</f>
        <v>0</v>
      </c>
      <c r="E62" s="5" t="str">
        <f>all_data!E191</f>
        <v/>
      </c>
      <c r="F62">
        <f>all_data!F191</f>
        <v>0</v>
      </c>
      <c r="H62">
        <f t="shared" si="0"/>
        <v>0</v>
      </c>
      <c r="J62">
        <f t="shared" si="1"/>
        <v>0</v>
      </c>
      <c r="K62">
        <f t="shared" si="2"/>
        <v>0</v>
      </c>
      <c r="L62" s="5" t="str">
        <f t="shared" si="3"/>
        <v/>
      </c>
      <c r="M62">
        <f>all_data!H191</f>
        <v>0</v>
      </c>
      <c r="N62">
        <f>all_data!I191</f>
        <v>0</v>
      </c>
    </row>
    <row r="63" spans="1:14">
      <c r="A63">
        <f>all_data!A192</f>
        <v>190</v>
      </c>
      <c r="B63" t="str">
        <f>IF(C63&gt;0,all_data!B192,"")</f>
        <v/>
      </c>
      <c r="C63">
        <f>all_data!C192</f>
        <v>0</v>
      </c>
      <c r="D63">
        <f>all_data!D192</f>
        <v>0</v>
      </c>
      <c r="E63" s="5" t="str">
        <f>all_data!E192</f>
        <v/>
      </c>
      <c r="F63">
        <f>all_data!F192</f>
        <v>0</v>
      </c>
      <c r="H63">
        <f t="shared" si="0"/>
        <v>0</v>
      </c>
      <c r="J63">
        <f t="shared" si="1"/>
        <v>0</v>
      </c>
      <c r="K63">
        <f t="shared" si="2"/>
        <v>0</v>
      </c>
      <c r="L63" s="5" t="str">
        <f t="shared" si="3"/>
        <v/>
      </c>
      <c r="M63">
        <f>all_data!H192</f>
        <v>0</v>
      </c>
      <c r="N63">
        <f>all_data!I192</f>
        <v>0</v>
      </c>
    </row>
    <row r="64" spans="1:14">
      <c r="A64">
        <f>all_data!A193</f>
        <v>191</v>
      </c>
      <c r="B64" t="str">
        <f>IF(C64&gt;0,all_data!B193,"")</f>
        <v/>
      </c>
      <c r="C64">
        <f>all_data!C193</f>
        <v>0</v>
      </c>
      <c r="D64">
        <f>all_data!D193</f>
        <v>0</v>
      </c>
      <c r="E64" s="5" t="str">
        <f>all_data!E193</f>
        <v/>
      </c>
      <c r="F64">
        <f>all_data!F193</f>
        <v>0</v>
      </c>
      <c r="H64">
        <f t="shared" si="0"/>
        <v>0</v>
      </c>
      <c r="J64">
        <f t="shared" si="1"/>
        <v>0</v>
      </c>
      <c r="K64">
        <f t="shared" si="2"/>
        <v>0</v>
      </c>
      <c r="L64" s="5" t="str">
        <f t="shared" si="3"/>
        <v/>
      </c>
      <c r="M64">
        <f>all_data!H193</f>
        <v>0</v>
      </c>
      <c r="N64">
        <f>all_data!I193</f>
        <v>0</v>
      </c>
    </row>
    <row r="65" spans="1:14">
      <c r="A65">
        <f>all_data!A194</f>
        <v>192</v>
      </c>
      <c r="B65" t="str">
        <f>IF(C65&gt;0,all_data!B194,"")</f>
        <v/>
      </c>
      <c r="C65">
        <f>all_data!C194</f>
        <v>0</v>
      </c>
      <c r="D65">
        <f>all_data!D194</f>
        <v>0</v>
      </c>
      <c r="E65" s="5" t="str">
        <f>all_data!E194</f>
        <v/>
      </c>
      <c r="F65">
        <f>all_data!F194</f>
        <v>0</v>
      </c>
      <c r="H65">
        <f t="shared" si="0"/>
        <v>0</v>
      </c>
      <c r="J65">
        <f t="shared" si="1"/>
        <v>0</v>
      </c>
      <c r="K65">
        <f t="shared" si="2"/>
        <v>0</v>
      </c>
      <c r="L65" s="5" t="str">
        <f t="shared" si="3"/>
        <v/>
      </c>
      <c r="M65">
        <f>all_data!H194</f>
        <v>0</v>
      </c>
      <c r="N65">
        <f>all_data!I194</f>
        <v>0</v>
      </c>
    </row>
    <row r="66" spans="1:14">
      <c r="A66">
        <f>all_data!A195</f>
        <v>193</v>
      </c>
      <c r="B66" t="str">
        <f>IF(C66&gt;0,all_data!B195,"")</f>
        <v/>
      </c>
      <c r="C66">
        <f>all_data!C195</f>
        <v>0</v>
      </c>
      <c r="D66">
        <f>all_data!D195</f>
        <v>0</v>
      </c>
      <c r="E66" s="5" t="str">
        <f>all_data!E195</f>
        <v/>
      </c>
      <c r="F66">
        <f>all_data!F195</f>
        <v>0</v>
      </c>
      <c r="H66">
        <f t="shared" si="0"/>
        <v>0</v>
      </c>
      <c r="J66">
        <f t="shared" si="1"/>
        <v>0</v>
      </c>
      <c r="K66">
        <f t="shared" si="2"/>
        <v>0</v>
      </c>
      <c r="L66" s="5" t="str">
        <f t="shared" si="3"/>
        <v/>
      </c>
      <c r="M66">
        <f>all_data!H195</f>
        <v>0</v>
      </c>
      <c r="N66">
        <f>all_data!I195</f>
        <v>0</v>
      </c>
    </row>
    <row r="67" spans="1:14">
      <c r="A67">
        <f>all_data!A196</f>
        <v>194</v>
      </c>
      <c r="B67" t="str">
        <f>IF(C67&gt;0,all_data!B196,"")</f>
        <v/>
      </c>
      <c r="C67">
        <f>all_data!C196</f>
        <v>0</v>
      </c>
      <c r="D67">
        <f>all_data!D196</f>
        <v>0</v>
      </c>
      <c r="E67" s="5" t="str">
        <f>all_data!E196</f>
        <v/>
      </c>
      <c r="F67">
        <f>all_data!F196</f>
        <v>0</v>
      </c>
      <c r="H67">
        <f t="shared" ref="H67:H130" si="4">IF(C67&lt;=10,F67,0)</f>
        <v>0</v>
      </c>
      <c r="J67">
        <f t="shared" ref="J67:J130" si="5">ABS(D67)</f>
        <v>0</v>
      </c>
      <c r="K67">
        <f t="shared" ref="K67:K130" si="6">ABS(F67)</f>
        <v>0</v>
      </c>
      <c r="L67" s="5" t="str">
        <f t="shared" ref="L67:L130" si="7">IF(C67=0,"",(ABS(J67-K67))*100/D67)</f>
        <v/>
      </c>
      <c r="M67">
        <f>all_data!H196</f>
        <v>0</v>
      </c>
      <c r="N67">
        <f>all_data!I196</f>
        <v>0</v>
      </c>
    </row>
    <row r="68" spans="1:14">
      <c r="A68">
        <f>all_data!A197</f>
        <v>195</v>
      </c>
      <c r="B68" t="str">
        <f>IF(C68&gt;0,all_data!B197,"")</f>
        <v/>
      </c>
      <c r="C68">
        <f>all_data!C197</f>
        <v>0</v>
      </c>
      <c r="D68">
        <f>all_data!D197</f>
        <v>0</v>
      </c>
      <c r="E68" s="5" t="str">
        <f>all_data!E197</f>
        <v/>
      </c>
      <c r="F68">
        <f>all_data!F197</f>
        <v>0</v>
      </c>
      <c r="H68">
        <f t="shared" si="4"/>
        <v>0</v>
      </c>
      <c r="J68">
        <f t="shared" si="5"/>
        <v>0</v>
      </c>
      <c r="K68">
        <f t="shared" si="6"/>
        <v>0</v>
      </c>
      <c r="L68" s="5" t="str">
        <f t="shared" si="7"/>
        <v/>
      </c>
      <c r="M68">
        <f>all_data!H197</f>
        <v>0</v>
      </c>
      <c r="N68">
        <f>all_data!I197</f>
        <v>0</v>
      </c>
    </row>
    <row r="69" spans="1:14">
      <c r="A69">
        <f>all_data!A198</f>
        <v>196</v>
      </c>
      <c r="B69" t="str">
        <f>IF(C69&gt;0,all_data!B198,"")</f>
        <v/>
      </c>
      <c r="C69">
        <f>all_data!C198</f>
        <v>0</v>
      </c>
      <c r="D69">
        <f>all_data!D198</f>
        <v>0</v>
      </c>
      <c r="E69" s="5" t="str">
        <f>all_data!E198</f>
        <v/>
      </c>
      <c r="F69">
        <f>all_data!F198</f>
        <v>0</v>
      </c>
      <c r="H69">
        <f t="shared" si="4"/>
        <v>0</v>
      </c>
      <c r="J69">
        <f t="shared" si="5"/>
        <v>0</v>
      </c>
      <c r="K69">
        <f t="shared" si="6"/>
        <v>0</v>
      </c>
      <c r="L69" s="5" t="str">
        <f t="shared" si="7"/>
        <v/>
      </c>
      <c r="M69">
        <f>all_data!H198</f>
        <v>0</v>
      </c>
      <c r="N69">
        <f>all_data!I198</f>
        <v>0</v>
      </c>
    </row>
    <row r="70" spans="1:14">
      <c r="A70">
        <f>all_data!A199</f>
        <v>197</v>
      </c>
      <c r="B70" t="str">
        <f>IF(C70&gt;0,all_data!B199,"")</f>
        <v/>
      </c>
      <c r="C70">
        <f>all_data!C199</f>
        <v>0</v>
      </c>
      <c r="D70">
        <f>all_data!D199</f>
        <v>0</v>
      </c>
      <c r="E70" s="5" t="str">
        <f>all_data!E199</f>
        <v/>
      </c>
      <c r="F70">
        <f>all_data!F199</f>
        <v>0</v>
      </c>
      <c r="H70">
        <f t="shared" si="4"/>
        <v>0</v>
      </c>
      <c r="J70">
        <f t="shared" si="5"/>
        <v>0</v>
      </c>
      <c r="K70">
        <f t="shared" si="6"/>
        <v>0</v>
      </c>
      <c r="L70" s="5" t="str">
        <f t="shared" si="7"/>
        <v/>
      </c>
      <c r="M70">
        <f>all_data!H199</f>
        <v>0</v>
      </c>
      <c r="N70">
        <f>all_data!I199</f>
        <v>0</v>
      </c>
    </row>
    <row r="71" spans="1:14">
      <c r="A71">
        <f>all_data!A200</f>
        <v>198</v>
      </c>
      <c r="B71" t="str">
        <f>IF(C71&gt;0,all_data!B200,"")</f>
        <v/>
      </c>
      <c r="C71">
        <f>all_data!C200</f>
        <v>0</v>
      </c>
      <c r="D71">
        <f>all_data!D200</f>
        <v>0</v>
      </c>
      <c r="E71" s="5" t="str">
        <f>all_data!E200</f>
        <v/>
      </c>
      <c r="F71">
        <f>all_data!F200</f>
        <v>0</v>
      </c>
      <c r="H71">
        <f t="shared" si="4"/>
        <v>0</v>
      </c>
      <c r="J71">
        <f t="shared" si="5"/>
        <v>0</v>
      </c>
      <c r="K71">
        <f t="shared" si="6"/>
        <v>0</v>
      </c>
      <c r="L71" s="5" t="str">
        <f t="shared" si="7"/>
        <v/>
      </c>
      <c r="M71">
        <f>all_data!H200</f>
        <v>0</v>
      </c>
      <c r="N71">
        <f>all_data!I200</f>
        <v>0</v>
      </c>
    </row>
    <row r="72" spans="1:14">
      <c r="A72">
        <f>all_data!A201</f>
        <v>199</v>
      </c>
      <c r="B72" t="str">
        <f>IF(C72&gt;0,all_data!B201,"")</f>
        <v/>
      </c>
      <c r="C72">
        <f>all_data!C201</f>
        <v>0</v>
      </c>
      <c r="D72">
        <f>all_data!D201</f>
        <v>0</v>
      </c>
      <c r="E72" s="5" t="str">
        <f>all_data!E201</f>
        <v/>
      </c>
      <c r="F72">
        <f>all_data!F201</f>
        <v>0</v>
      </c>
      <c r="H72">
        <f t="shared" si="4"/>
        <v>0</v>
      </c>
      <c r="J72">
        <f t="shared" si="5"/>
        <v>0</v>
      </c>
      <c r="K72">
        <f t="shared" si="6"/>
        <v>0</v>
      </c>
      <c r="L72" s="5" t="str">
        <f t="shared" si="7"/>
        <v/>
      </c>
      <c r="M72">
        <f>all_data!H201</f>
        <v>0</v>
      </c>
      <c r="N72">
        <f>all_data!I201</f>
        <v>0</v>
      </c>
    </row>
    <row r="73" spans="1:14">
      <c r="A73">
        <f>all_data!A202</f>
        <v>200</v>
      </c>
      <c r="B73" t="str">
        <f>IF(C73&gt;0,all_data!B202,"")</f>
        <v/>
      </c>
      <c r="C73">
        <f>all_data!C202</f>
        <v>0</v>
      </c>
      <c r="D73">
        <f>all_data!D202</f>
        <v>0</v>
      </c>
      <c r="E73" s="5" t="str">
        <f>all_data!E202</f>
        <v/>
      </c>
      <c r="F73">
        <f>all_data!F202</f>
        <v>0</v>
      </c>
      <c r="H73">
        <f t="shared" si="4"/>
        <v>0</v>
      </c>
      <c r="J73">
        <f t="shared" si="5"/>
        <v>0</v>
      </c>
      <c r="K73">
        <f t="shared" si="6"/>
        <v>0</v>
      </c>
      <c r="L73" s="5" t="str">
        <f t="shared" si="7"/>
        <v/>
      </c>
      <c r="M73">
        <f>all_data!H202</f>
        <v>0</v>
      </c>
      <c r="N73">
        <f>all_data!I202</f>
        <v>0</v>
      </c>
    </row>
    <row r="74" spans="1:14">
      <c r="A74">
        <f>all_data!A203</f>
        <v>201</v>
      </c>
      <c r="B74" t="str">
        <f>IF(C74&gt;0,all_data!B203,"")</f>
        <v/>
      </c>
      <c r="C74">
        <f>all_data!C203</f>
        <v>0</v>
      </c>
      <c r="D74">
        <f>all_data!D203</f>
        <v>0</v>
      </c>
      <c r="E74" s="5" t="str">
        <f>all_data!E203</f>
        <v/>
      </c>
      <c r="F74">
        <f>all_data!F203</f>
        <v>0</v>
      </c>
      <c r="H74">
        <f t="shared" si="4"/>
        <v>0</v>
      </c>
      <c r="J74">
        <f t="shared" si="5"/>
        <v>0</v>
      </c>
      <c r="K74">
        <f t="shared" si="6"/>
        <v>0</v>
      </c>
      <c r="L74" s="5" t="str">
        <f t="shared" si="7"/>
        <v/>
      </c>
      <c r="M74">
        <f>all_data!H203</f>
        <v>0</v>
      </c>
      <c r="N74">
        <f>all_data!I203</f>
        <v>0</v>
      </c>
    </row>
    <row r="75" spans="1:14">
      <c r="A75">
        <f>all_data!A204</f>
        <v>202</v>
      </c>
      <c r="B75" t="str">
        <f>IF(C75&gt;0,all_data!B204,"")</f>
        <v/>
      </c>
      <c r="C75">
        <f>all_data!C204</f>
        <v>0</v>
      </c>
      <c r="D75">
        <f>all_data!D204</f>
        <v>0</v>
      </c>
      <c r="E75" s="5" t="str">
        <f>all_data!E204</f>
        <v/>
      </c>
      <c r="F75">
        <f>all_data!F204</f>
        <v>0</v>
      </c>
      <c r="H75">
        <f t="shared" si="4"/>
        <v>0</v>
      </c>
      <c r="J75">
        <f t="shared" si="5"/>
        <v>0</v>
      </c>
      <c r="K75">
        <f t="shared" si="6"/>
        <v>0</v>
      </c>
      <c r="L75" s="5" t="str">
        <f t="shared" si="7"/>
        <v/>
      </c>
      <c r="M75">
        <f>all_data!H204</f>
        <v>0</v>
      </c>
      <c r="N75">
        <f>all_data!I204</f>
        <v>0</v>
      </c>
    </row>
    <row r="76" spans="1:14">
      <c r="A76">
        <f>all_data!A205</f>
        <v>203</v>
      </c>
      <c r="B76" t="str">
        <f>IF(C76&gt;0,all_data!B205,"")</f>
        <v/>
      </c>
      <c r="C76">
        <f>all_data!C205</f>
        <v>0</v>
      </c>
      <c r="D76">
        <f>all_data!D205</f>
        <v>0</v>
      </c>
      <c r="E76" s="5" t="str">
        <f>all_data!E205</f>
        <v/>
      </c>
      <c r="F76">
        <f>all_data!F205</f>
        <v>0</v>
      </c>
      <c r="H76">
        <f t="shared" si="4"/>
        <v>0</v>
      </c>
      <c r="J76">
        <f t="shared" si="5"/>
        <v>0</v>
      </c>
      <c r="K76">
        <f t="shared" si="6"/>
        <v>0</v>
      </c>
      <c r="L76" s="5" t="str">
        <f t="shared" si="7"/>
        <v/>
      </c>
      <c r="M76">
        <f>all_data!H205</f>
        <v>0</v>
      </c>
      <c r="N76">
        <f>all_data!I205</f>
        <v>0</v>
      </c>
    </row>
    <row r="77" spans="1:14">
      <c r="A77">
        <f>all_data!A206</f>
        <v>204</v>
      </c>
      <c r="B77" t="str">
        <f>IF(C77&gt;0,all_data!B206,"")</f>
        <v/>
      </c>
      <c r="C77">
        <f>all_data!C206</f>
        <v>0</v>
      </c>
      <c r="D77">
        <f>all_data!D206</f>
        <v>0</v>
      </c>
      <c r="E77" s="5" t="str">
        <f>all_data!E206</f>
        <v/>
      </c>
      <c r="F77">
        <f>all_data!F206</f>
        <v>0</v>
      </c>
      <c r="H77">
        <f t="shared" si="4"/>
        <v>0</v>
      </c>
      <c r="J77">
        <f t="shared" si="5"/>
        <v>0</v>
      </c>
      <c r="K77">
        <f t="shared" si="6"/>
        <v>0</v>
      </c>
      <c r="L77" s="5" t="str">
        <f t="shared" si="7"/>
        <v/>
      </c>
      <c r="M77">
        <f>all_data!H206</f>
        <v>0</v>
      </c>
      <c r="N77">
        <f>all_data!I206</f>
        <v>0</v>
      </c>
    </row>
    <row r="78" spans="1:14">
      <c r="A78">
        <f>all_data!A207</f>
        <v>205</v>
      </c>
      <c r="B78" t="str">
        <f>IF(C78&gt;0,all_data!B207,"")</f>
        <v/>
      </c>
      <c r="C78">
        <f>all_data!C207</f>
        <v>0</v>
      </c>
      <c r="D78">
        <f>all_data!D207</f>
        <v>0</v>
      </c>
      <c r="E78" s="5" t="str">
        <f>all_data!E207</f>
        <v/>
      </c>
      <c r="F78">
        <f>all_data!F207</f>
        <v>0</v>
      </c>
      <c r="H78">
        <f t="shared" si="4"/>
        <v>0</v>
      </c>
      <c r="J78">
        <f t="shared" si="5"/>
        <v>0</v>
      </c>
      <c r="K78">
        <f t="shared" si="6"/>
        <v>0</v>
      </c>
      <c r="L78" s="5" t="str">
        <f t="shared" si="7"/>
        <v/>
      </c>
      <c r="M78">
        <f>all_data!H207</f>
        <v>0</v>
      </c>
      <c r="N78">
        <f>all_data!I207</f>
        <v>0</v>
      </c>
    </row>
    <row r="79" spans="1:14">
      <c r="A79">
        <f>all_data!A208</f>
        <v>206</v>
      </c>
      <c r="B79" t="str">
        <f>IF(C79&gt;0,all_data!B208,"")</f>
        <v/>
      </c>
      <c r="C79">
        <f>all_data!C208</f>
        <v>0</v>
      </c>
      <c r="D79">
        <f>all_data!D208</f>
        <v>0</v>
      </c>
      <c r="E79" s="5" t="str">
        <f>all_data!E208</f>
        <v/>
      </c>
      <c r="F79">
        <f>all_data!F208</f>
        <v>0</v>
      </c>
      <c r="H79">
        <f t="shared" si="4"/>
        <v>0</v>
      </c>
      <c r="J79">
        <f t="shared" si="5"/>
        <v>0</v>
      </c>
      <c r="K79">
        <f t="shared" si="6"/>
        <v>0</v>
      </c>
      <c r="L79" s="5" t="str">
        <f t="shared" si="7"/>
        <v/>
      </c>
      <c r="M79">
        <f>all_data!H208</f>
        <v>0</v>
      </c>
      <c r="N79">
        <f>all_data!I208</f>
        <v>0</v>
      </c>
    </row>
    <row r="80" spans="1:14">
      <c r="A80">
        <f>all_data!A209</f>
        <v>207</v>
      </c>
      <c r="B80" t="str">
        <f>IF(C80&gt;0,all_data!B209,"")</f>
        <v/>
      </c>
      <c r="C80">
        <f>all_data!C209</f>
        <v>0</v>
      </c>
      <c r="D80">
        <f>all_data!D209</f>
        <v>0</v>
      </c>
      <c r="E80" s="5" t="str">
        <f>all_data!E209</f>
        <v/>
      </c>
      <c r="F80">
        <f>all_data!F209</f>
        <v>0</v>
      </c>
      <c r="H80">
        <f t="shared" si="4"/>
        <v>0</v>
      </c>
      <c r="J80">
        <f t="shared" si="5"/>
        <v>0</v>
      </c>
      <c r="K80">
        <f t="shared" si="6"/>
        <v>0</v>
      </c>
      <c r="L80" s="5" t="str">
        <f t="shared" si="7"/>
        <v/>
      </c>
      <c r="M80">
        <f>all_data!H209</f>
        <v>0</v>
      </c>
      <c r="N80">
        <f>all_data!I209</f>
        <v>0</v>
      </c>
    </row>
    <row r="81" spans="1:14">
      <c r="A81">
        <f>all_data!A210</f>
        <v>208</v>
      </c>
      <c r="B81" t="str">
        <f>IF(C81&gt;0,all_data!B210,"")</f>
        <v/>
      </c>
      <c r="C81">
        <f>all_data!C210</f>
        <v>0</v>
      </c>
      <c r="D81">
        <f>all_data!D210</f>
        <v>0</v>
      </c>
      <c r="E81" s="5" t="str">
        <f>all_data!E210</f>
        <v/>
      </c>
      <c r="F81">
        <f>all_data!F210</f>
        <v>0</v>
      </c>
      <c r="H81">
        <f t="shared" si="4"/>
        <v>0</v>
      </c>
      <c r="J81">
        <f t="shared" si="5"/>
        <v>0</v>
      </c>
      <c r="K81">
        <f t="shared" si="6"/>
        <v>0</v>
      </c>
      <c r="L81" s="5" t="str">
        <f t="shared" si="7"/>
        <v/>
      </c>
      <c r="M81">
        <f>all_data!H210</f>
        <v>0</v>
      </c>
      <c r="N81">
        <f>all_data!I210</f>
        <v>0</v>
      </c>
    </row>
    <row r="82" spans="1:14">
      <c r="A82">
        <f>all_data!A211</f>
        <v>209</v>
      </c>
      <c r="B82" t="str">
        <f>IF(C82&gt;0,all_data!B211,"")</f>
        <v/>
      </c>
      <c r="C82">
        <f>all_data!C211</f>
        <v>0</v>
      </c>
      <c r="D82">
        <f>all_data!D211</f>
        <v>0</v>
      </c>
      <c r="E82" s="5" t="str">
        <f>all_data!E211</f>
        <v/>
      </c>
      <c r="F82">
        <f>all_data!F211</f>
        <v>0</v>
      </c>
      <c r="H82">
        <f t="shared" si="4"/>
        <v>0</v>
      </c>
      <c r="J82">
        <f t="shared" si="5"/>
        <v>0</v>
      </c>
      <c r="K82">
        <f t="shared" si="6"/>
        <v>0</v>
      </c>
      <c r="L82" s="5" t="str">
        <f t="shared" si="7"/>
        <v/>
      </c>
      <c r="M82">
        <f>all_data!H211</f>
        <v>0</v>
      </c>
      <c r="N82">
        <f>all_data!I211</f>
        <v>0</v>
      </c>
    </row>
    <row r="83" spans="1:14">
      <c r="A83">
        <f>all_data!A212</f>
        <v>210</v>
      </c>
      <c r="B83" t="str">
        <f>IF(C83&gt;0,all_data!B212,"")</f>
        <v/>
      </c>
      <c r="C83">
        <f>all_data!C212</f>
        <v>0</v>
      </c>
      <c r="D83">
        <f>all_data!D212</f>
        <v>0</v>
      </c>
      <c r="E83" s="5" t="str">
        <f>all_data!E212</f>
        <v/>
      </c>
      <c r="F83">
        <f>all_data!F212</f>
        <v>0</v>
      </c>
      <c r="H83">
        <f t="shared" si="4"/>
        <v>0</v>
      </c>
      <c r="J83">
        <f t="shared" si="5"/>
        <v>0</v>
      </c>
      <c r="K83">
        <f t="shared" si="6"/>
        <v>0</v>
      </c>
      <c r="L83" s="5" t="str">
        <f t="shared" si="7"/>
        <v/>
      </c>
      <c r="M83">
        <f>all_data!H212</f>
        <v>0</v>
      </c>
      <c r="N83">
        <f>all_data!I212</f>
        <v>0</v>
      </c>
    </row>
    <row r="84" spans="1:14">
      <c r="A84">
        <f>all_data!A213</f>
        <v>211</v>
      </c>
      <c r="B84" t="str">
        <f>IF(C84&gt;0,all_data!B213,"")</f>
        <v/>
      </c>
      <c r="C84">
        <f>all_data!C213</f>
        <v>0</v>
      </c>
      <c r="D84">
        <f>all_data!D213</f>
        <v>0</v>
      </c>
      <c r="E84" s="5" t="str">
        <f>all_data!E213</f>
        <v/>
      </c>
      <c r="F84">
        <f>all_data!F213</f>
        <v>0</v>
      </c>
      <c r="H84">
        <f t="shared" si="4"/>
        <v>0</v>
      </c>
      <c r="J84">
        <f t="shared" si="5"/>
        <v>0</v>
      </c>
      <c r="K84">
        <f t="shared" si="6"/>
        <v>0</v>
      </c>
      <c r="L84" s="5" t="str">
        <f t="shared" si="7"/>
        <v/>
      </c>
      <c r="M84">
        <f>all_data!H213</f>
        <v>0</v>
      </c>
      <c r="N84">
        <f>all_data!I213</f>
        <v>0</v>
      </c>
    </row>
    <row r="85" spans="1:14">
      <c r="A85">
        <f>all_data!A214</f>
        <v>212</v>
      </c>
      <c r="B85" t="str">
        <f>IF(C85&gt;0,all_data!B214,"")</f>
        <v/>
      </c>
      <c r="C85">
        <f>all_data!C214</f>
        <v>0</v>
      </c>
      <c r="D85">
        <f>all_data!D214</f>
        <v>0</v>
      </c>
      <c r="E85" s="5" t="str">
        <f>all_data!E214</f>
        <v/>
      </c>
      <c r="F85">
        <f>all_data!F214</f>
        <v>0</v>
      </c>
      <c r="H85">
        <f t="shared" si="4"/>
        <v>0</v>
      </c>
      <c r="J85">
        <f t="shared" si="5"/>
        <v>0</v>
      </c>
      <c r="K85">
        <f t="shared" si="6"/>
        <v>0</v>
      </c>
      <c r="L85" s="5" t="str">
        <f t="shared" si="7"/>
        <v/>
      </c>
      <c r="M85">
        <f>all_data!H214</f>
        <v>0</v>
      </c>
      <c r="N85">
        <f>all_data!I214</f>
        <v>0</v>
      </c>
    </row>
    <row r="86" spans="1:14">
      <c r="A86">
        <f>all_data!A215</f>
        <v>213</v>
      </c>
      <c r="B86" t="str">
        <f>IF(C86&gt;0,all_data!B215,"")</f>
        <v/>
      </c>
      <c r="C86">
        <f>all_data!C215</f>
        <v>0</v>
      </c>
      <c r="D86">
        <f>all_data!D215</f>
        <v>0</v>
      </c>
      <c r="E86" s="5" t="str">
        <f>all_data!E215</f>
        <v/>
      </c>
      <c r="F86">
        <f>all_data!F215</f>
        <v>0</v>
      </c>
      <c r="H86">
        <f t="shared" si="4"/>
        <v>0</v>
      </c>
      <c r="J86">
        <f t="shared" si="5"/>
        <v>0</v>
      </c>
      <c r="K86">
        <f t="shared" si="6"/>
        <v>0</v>
      </c>
      <c r="L86" s="5" t="str">
        <f t="shared" si="7"/>
        <v/>
      </c>
      <c r="M86">
        <f>all_data!H215</f>
        <v>0</v>
      </c>
      <c r="N86">
        <f>all_data!I215</f>
        <v>0</v>
      </c>
    </row>
    <row r="87" spans="1:14">
      <c r="A87">
        <f>all_data!A216</f>
        <v>214</v>
      </c>
      <c r="B87" t="str">
        <f>IF(C87&gt;0,all_data!B216,"")</f>
        <v/>
      </c>
      <c r="C87">
        <f>all_data!C216</f>
        <v>0</v>
      </c>
      <c r="D87">
        <f>all_data!D216</f>
        <v>0</v>
      </c>
      <c r="E87" s="5" t="str">
        <f>all_data!E216</f>
        <v/>
      </c>
      <c r="F87">
        <f>all_data!F216</f>
        <v>0</v>
      </c>
      <c r="H87">
        <f t="shared" si="4"/>
        <v>0</v>
      </c>
      <c r="J87">
        <f t="shared" si="5"/>
        <v>0</v>
      </c>
      <c r="K87">
        <f t="shared" si="6"/>
        <v>0</v>
      </c>
      <c r="L87" s="5" t="str">
        <f t="shared" si="7"/>
        <v/>
      </c>
      <c r="M87">
        <f>all_data!H216</f>
        <v>0</v>
      </c>
      <c r="N87">
        <f>all_data!I216</f>
        <v>0</v>
      </c>
    </row>
    <row r="88" spans="1:14">
      <c r="A88">
        <f>all_data!A217</f>
        <v>215</v>
      </c>
      <c r="B88" t="str">
        <f>IF(C88&gt;0,all_data!B217,"")</f>
        <v/>
      </c>
      <c r="C88">
        <f>all_data!C217</f>
        <v>0</v>
      </c>
      <c r="D88">
        <f>all_data!D217</f>
        <v>0</v>
      </c>
      <c r="E88" s="5" t="str">
        <f>all_data!E217</f>
        <v/>
      </c>
      <c r="F88">
        <f>all_data!F217</f>
        <v>0</v>
      </c>
      <c r="H88">
        <f t="shared" si="4"/>
        <v>0</v>
      </c>
      <c r="J88">
        <f t="shared" si="5"/>
        <v>0</v>
      </c>
      <c r="K88">
        <f t="shared" si="6"/>
        <v>0</v>
      </c>
      <c r="L88" s="5" t="str">
        <f t="shared" si="7"/>
        <v/>
      </c>
      <c r="M88">
        <f>all_data!H217</f>
        <v>0</v>
      </c>
      <c r="N88">
        <f>all_data!I217</f>
        <v>0</v>
      </c>
    </row>
    <row r="89" spans="1:14">
      <c r="A89">
        <f>all_data!A218</f>
        <v>216</v>
      </c>
      <c r="B89" t="str">
        <f>IF(C89&gt;0,all_data!B218,"")</f>
        <v/>
      </c>
      <c r="C89">
        <f>all_data!C218</f>
        <v>0</v>
      </c>
      <c r="D89">
        <f>all_data!D218</f>
        <v>0</v>
      </c>
      <c r="E89" s="5" t="str">
        <f>all_data!E218</f>
        <v/>
      </c>
      <c r="F89">
        <f>all_data!F218</f>
        <v>0</v>
      </c>
      <c r="H89">
        <f t="shared" si="4"/>
        <v>0</v>
      </c>
      <c r="J89">
        <f t="shared" si="5"/>
        <v>0</v>
      </c>
      <c r="K89">
        <f t="shared" si="6"/>
        <v>0</v>
      </c>
      <c r="L89" s="5" t="str">
        <f t="shared" si="7"/>
        <v/>
      </c>
      <c r="M89">
        <f>all_data!H218</f>
        <v>0</v>
      </c>
      <c r="N89">
        <f>all_data!I218</f>
        <v>0</v>
      </c>
    </row>
    <row r="90" spans="1:14">
      <c r="A90">
        <f>all_data!A219</f>
        <v>217</v>
      </c>
      <c r="B90" t="str">
        <f>IF(C90&gt;0,all_data!B219,"")</f>
        <v/>
      </c>
      <c r="C90">
        <f>all_data!C219</f>
        <v>0</v>
      </c>
      <c r="D90">
        <f>all_data!D219</f>
        <v>0</v>
      </c>
      <c r="E90" s="5" t="str">
        <f>all_data!E219</f>
        <v/>
      </c>
      <c r="F90">
        <f>all_data!F219</f>
        <v>0</v>
      </c>
      <c r="H90">
        <f t="shared" si="4"/>
        <v>0</v>
      </c>
      <c r="J90">
        <f t="shared" si="5"/>
        <v>0</v>
      </c>
      <c r="K90">
        <f t="shared" si="6"/>
        <v>0</v>
      </c>
      <c r="L90" s="5" t="str">
        <f t="shared" si="7"/>
        <v/>
      </c>
      <c r="M90">
        <f>all_data!H219</f>
        <v>0</v>
      </c>
      <c r="N90">
        <f>all_data!I219</f>
        <v>0</v>
      </c>
    </row>
    <row r="91" spans="1:14">
      <c r="A91">
        <f>all_data!A220</f>
        <v>218</v>
      </c>
      <c r="B91" t="str">
        <f>IF(C91&gt;0,all_data!B220,"")</f>
        <v/>
      </c>
      <c r="C91">
        <f>all_data!C220</f>
        <v>0</v>
      </c>
      <c r="D91">
        <f>all_data!D220</f>
        <v>0</v>
      </c>
      <c r="E91" s="5" t="str">
        <f>all_data!E220</f>
        <v/>
      </c>
      <c r="F91">
        <f>all_data!F220</f>
        <v>0</v>
      </c>
      <c r="H91">
        <f t="shared" si="4"/>
        <v>0</v>
      </c>
      <c r="J91">
        <f t="shared" si="5"/>
        <v>0</v>
      </c>
      <c r="K91">
        <f t="shared" si="6"/>
        <v>0</v>
      </c>
      <c r="L91" s="5" t="str">
        <f t="shared" si="7"/>
        <v/>
      </c>
      <c r="M91">
        <f>all_data!H220</f>
        <v>0</v>
      </c>
      <c r="N91">
        <f>all_data!I220</f>
        <v>0</v>
      </c>
    </row>
    <row r="92" spans="1:14">
      <c r="A92">
        <f>all_data!A221</f>
        <v>219</v>
      </c>
      <c r="B92" t="str">
        <f>IF(C92&gt;0,all_data!B221,"")</f>
        <v/>
      </c>
      <c r="C92">
        <f>all_data!C221</f>
        <v>0</v>
      </c>
      <c r="D92">
        <f>all_data!D221</f>
        <v>0</v>
      </c>
      <c r="E92" s="5" t="str">
        <f>all_data!E221</f>
        <v/>
      </c>
      <c r="F92">
        <f>all_data!F221</f>
        <v>0</v>
      </c>
      <c r="H92">
        <f t="shared" si="4"/>
        <v>0</v>
      </c>
      <c r="J92">
        <f t="shared" si="5"/>
        <v>0</v>
      </c>
      <c r="K92">
        <f t="shared" si="6"/>
        <v>0</v>
      </c>
      <c r="L92" s="5" t="str">
        <f t="shared" si="7"/>
        <v/>
      </c>
      <c r="M92">
        <f>all_data!H221</f>
        <v>0</v>
      </c>
      <c r="N92">
        <f>all_data!I221</f>
        <v>0</v>
      </c>
    </row>
    <row r="93" spans="1:14">
      <c r="A93">
        <f>all_data!A222</f>
        <v>220</v>
      </c>
      <c r="B93" t="str">
        <f>IF(C93&gt;0,all_data!B222,"")</f>
        <v/>
      </c>
      <c r="C93">
        <f>all_data!C222</f>
        <v>0</v>
      </c>
      <c r="D93">
        <f>all_data!D222</f>
        <v>0</v>
      </c>
      <c r="E93" s="5" t="str">
        <f>all_data!E222</f>
        <v/>
      </c>
      <c r="F93">
        <f>all_data!F222</f>
        <v>0</v>
      </c>
      <c r="H93">
        <f t="shared" si="4"/>
        <v>0</v>
      </c>
      <c r="J93">
        <f t="shared" si="5"/>
        <v>0</v>
      </c>
      <c r="K93">
        <f t="shared" si="6"/>
        <v>0</v>
      </c>
      <c r="L93" s="5" t="str">
        <f t="shared" si="7"/>
        <v/>
      </c>
      <c r="M93">
        <f>all_data!H222</f>
        <v>0</v>
      </c>
      <c r="N93">
        <f>all_data!I222</f>
        <v>0</v>
      </c>
    </row>
    <row r="94" spans="1:14">
      <c r="A94">
        <f>all_data!A223</f>
        <v>221</v>
      </c>
      <c r="B94" t="str">
        <f>IF(C94&gt;0,all_data!B223,"")</f>
        <v/>
      </c>
      <c r="C94">
        <f>all_data!C223</f>
        <v>0</v>
      </c>
      <c r="D94">
        <f>all_data!D223</f>
        <v>0</v>
      </c>
      <c r="E94" s="5" t="str">
        <f>all_data!E223</f>
        <v/>
      </c>
      <c r="F94">
        <f>all_data!F223</f>
        <v>0</v>
      </c>
      <c r="H94">
        <f t="shared" si="4"/>
        <v>0</v>
      </c>
      <c r="J94">
        <f t="shared" si="5"/>
        <v>0</v>
      </c>
      <c r="K94">
        <f t="shared" si="6"/>
        <v>0</v>
      </c>
      <c r="L94" s="5" t="str">
        <f t="shared" si="7"/>
        <v/>
      </c>
      <c r="M94">
        <f>all_data!H223</f>
        <v>0</v>
      </c>
      <c r="N94">
        <f>all_data!I223</f>
        <v>0</v>
      </c>
    </row>
    <row r="95" spans="1:14">
      <c r="A95">
        <f>all_data!A224</f>
        <v>222</v>
      </c>
      <c r="B95" t="str">
        <f>IF(C95&gt;0,all_data!B224,"")</f>
        <v/>
      </c>
      <c r="C95">
        <f>all_data!C224</f>
        <v>0</v>
      </c>
      <c r="D95">
        <f>all_data!D224</f>
        <v>0</v>
      </c>
      <c r="E95" s="5" t="str">
        <f>all_data!E224</f>
        <v/>
      </c>
      <c r="F95">
        <f>all_data!F224</f>
        <v>0</v>
      </c>
      <c r="H95">
        <f t="shared" si="4"/>
        <v>0</v>
      </c>
      <c r="J95">
        <f t="shared" si="5"/>
        <v>0</v>
      </c>
      <c r="K95">
        <f t="shared" si="6"/>
        <v>0</v>
      </c>
      <c r="L95" s="5" t="str">
        <f t="shared" si="7"/>
        <v/>
      </c>
      <c r="M95">
        <f>all_data!H224</f>
        <v>0</v>
      </c>
      <c r="N95">
        <f>all_data!I224</f>
        <v>0</v>
      </c>
    </row>
    <row r="96" spans="1:14">
      <c r="A96">
        <f>all_data!A225</f>
        <v>223</v>
      </c>
      <c r="B96" t="str">
        <f>IF(C96&gt;0,all_data!B225,"")</f>
        <v/>
      </c>
      <c r="C96">
        <f>all_data!C225</f>
        <v>0</v>
      </c>
      <c r="D96">
        <f>all_data!D225</f>
        <v>0</v>
      </c>
      <c r="E96" s="5" t="str">
        <f>all_data!E225</f>
        <v/>
      </c>
      <c r="F96">
        <f>all_data!F225</f>
        <v>0</v>
      </c>
      <c r="H96">
        <f t="shared" si="4"/>
        <v>0</v>
      </c>
      <c r="J96">
        <f t="shared" si="5"/>
        <v>0</v>
      </c>
      <c r="K96">
        <f t="shared" si="6"/>
        <v>0</v>
      </c>
      <c r="L96" s="5" t="str">
        <f t="shared" si="7"/>
        <v/>
      </c>
      <c r="M96">
        <f>all_data!H225</f>
        <v>0</v>
      </c>
      <c r="N96">
        <f>all_data!I225</f>
        <v>0</v>
      </c>
    </row>
    <row r="97" spans="1:14">
      <c r="A97">
        <f>all_data!A226</f>
        <v>224</v>
      </c>
      <c r="B97" t="str">
        <f>IF(C97&gt;0,all_data!B226,"")</f>
        <v/>
      </c>
      <c r="C97">
        <f>all_data!C226</f>
        <v>0</v>
      </c>
      <c r="D97">
        <f>all_data!D226</f>
        <v>0</v>
      </c>
      <c r="E97" s="5" t="str">
        <f>all_data!E226</f>
        <v/>
      </c>
      <c r="F97">
        <f>all_data!F226</f>
        <v>0</v>
      </c>
      <c r="H97">
        <f t="shared" si="4"/>
        <v>0</v>
      </c>
      <c r="J97">
        <f t="shared" si="5"/>
        <v>0</v>
      </c>
      <c r="K97">
        <f t="shared" si="6"/>
        <v>0</v>
      </c>
      <c r="L97" s="5" t="str">
        <f t="shared" si="7"/>
        <v/>
      </c>
      <c r="M97">
        <f>all_data!H226</f>
        <v>0</v>
      </c>
      <c r="N97">
        <f>all_data!I226</f>
        <v>0</v>
      </c>
    </row>
    <row r="98" spans="1:14">
      <c r="A98">
        <f>all_data!A227</f>
        <v>225</v>
      </c>
      <c r="B98" t="str">
        <f>IF(C98&gt;0,all_data!B227,"")</f>
        <v/>
      </c>
      <c r="C98">
        <f>all_data!C227</f>
        <v>0</v>
      </c>
      <c r="D98">
        <f>all_data!D227</f>
        <v>0</v>
      </c>
      <c r="E98" s="5" t="str">
        <f>all_data!E227</f>
        <v/>
      </c>
      <c r="F98">
        <f>all_data!F227</f>
        <v>0</v>
      </c>
      <c r="H98">
        <f t="shared" si="4"/>
        <v>0</v>
      </c>
      <c r="J98">
        <f t="shared" si="5"/>
        <v>0</v>
      </c>
      <c r="K98">
        <f t="shared" si="6"/>
        <v>0</v>
      </c>
      <c r="L98" s="5" t="str">
        <f t="shared" si="7"/>
        <v/>
      </c>
      <c r="M98">
        <f>all_data!H227</f>
        <v>0</v>
      </c>
      <c r="N98">
        <f>all_data!I227</f>
        <v>0</v>
      </c>
    </row>
    <row r="99" spans="1:14">
      <c r="A99">
        <f>all_data!A228</f>
        <v>226</v>
      </c>
      <c r="B99" t="str">
        <f>IF(C99&gt;0,all_data!B228,"")</f>
        <v/>
      </c>
      <c r="C99">
        <f>all_data!C228</f>
        <v>0</v>
      </c>
      <c r="D99">
        <f>all_data!D228</f>
        <v>0</v>
      </c>
      <c r="E99" s="5" t="str">
        <f>all_data!E228</f>
        <v/>
      </c>
      <c r="F99">
        <f>all_data!F228</f>
        <v>0</v>
      </c>
      <c r="H99">
        <f t="shared" si="4"/>
        <v>0</v>
      </c>
      <c r="J99">
        <f t="shared" si="5"/>
        <v>0</v>
      </c>
      <c r="K99">
        <f t="shared" si="6"/>
        <v>0</v>
      </c>
      <c r="L99" s="5" t="str">
        <f t="shared" si="7"/>
        <v/>
      </c>
      <c r="M99">
        <f>all_data!H228</f>
        <v>0</v>
      </c>
      <c r="N99">
        <f>all_data!I228</f>
        <v>0</v>
      </c>
    </row>
    <row r="100" spans="1:14">
      <c r="A100">
        <f>all_data!A229</f>
        <v>227</v>
      </c>
      <c r="B100" t="str">
        <f>IF(C100&gt;0,all_data!B229,"")</f>
        <v/>
      </c>
      <c r="C100">
        <f>all_data!C229</f>
        <v>0</v>
      </c>
      <c r="D100">
        <f>all_data!D229</f>
        <v>0</v>
      </c>
      <c r="E100" s="5" t="str">
        <f>all_data!E229</f>
        <v/>
      </c>
      <c r="F100">
        <f>all_data!F229</f>
        <v>0</v>
      </c>
      <c r="H100">
        <f t="shared" si="4"/>
        <v>0</v>
      </c>
      <c r="J100">
        <f t="shared" si="5"/>
        <v>0</v>
      </c>
      <c r="K100">
        <f t="shared" si="6"/>
        <v>0</v>
      </c>
      <c r="L100" s="5" t="str">
        <f t="shared" si="7"/>
        <v/>
      </c>
      <c r="M100">
        <f>all_data!H229</f>
        <v>0</v>
      </c>
      <c r="N100">
        <f>all_data!I229</f>
        <v>0</v>
      </c>
    </row>
    <row r="101" spans="1:14">
      <c r="A101">
        <f>all_data!A230</f>
        <v>228</v>
      </c>
      <c r="B101" t="str">
        <f>IF(C101&gt;0,all_data!B230,"")</f>
        <v/>
      </c>
      <c r="C101">
        <f>all_data!C230</f>
        <v>0</v>
      </c>
      <c r="D101">
        <f>all_data!D230</f>
        <v>0</v>
      </c>
      <c r="E101" s="5" t="str">
        <f>all_data!E230</f>
        <v/>
      </c>
      <c r="F101">
        <f>all_data!F230</f>
        <v>0</v>
      </c>
      <c r="H101">
        <f t="shared" si="4"/>
        <v>0</v>
      </c>
      <c r="J101">
        <f t="shared" si="5"/>
        <v>0</v>
      </c>
      <c r="K101">
        <f t="shared" si="6"/>
        <v>0</v>
      </c>
      <c r="L101" s="5" t="str">
        <f t="shared" si="7"/>
        <v/>
      </c>
      <c r="M101">
        <f>all_data!H230</f>
        <v>0</v>
      </c>
      <c r="N101">
        <f>all_data!I230</f>
        <v>0</v>
      </c>
    </row>
    <row r="102" spans="1:14">
      <c r="A102">
        <f>all_data!A231</f>
        <v>229</v>
      </c>
      <c r="B102" t="str">
        <f>IF(C102&gt;0,all_data!B231,"")</f>
        <v/>
      </c>
      <c r="C102">
        <f>all_data!C231</f>
        <v>0</v>
      </c>
      <c r="D102">
        <f>all_data!D231</f>
        <v>0</v>
      </c>
      <c r="E102" s="5" t="str">
        <f>all_data!E231</f>
        <v/>
      </c>
      <c r="F102">
        <f>all_data!F231</f>
        <v>0</v>
      </c>
      <c r="H102">
        <f t="shared" si="4"/>
        <v>0</v>
      </c>
      <c r="J102">
        <f t="shared" si="5"/>
        <v>0</v>
      </c>
      <c r="K102">
        <f t="shared" si="6"/>
        <v>0</v>
      </c>
      <c r="L102" s="5" t="str">
        <f t="shared" si="7"/>
        <v/>
      </c>
      <c r="M102">
        <f>all_data!H231</f>
        <v>0</v>
      </c>
      <c r="N102">
        <f>all_data!I231</f>
        <v>0</v>
      </c>
    </row>
    <row r="103" spans="1:14">
      <c r="A103">
        <f>all_data!A232</f>
        <v>230</v>
      </c>
      <c r="B103" t="str">
        <f>IF(C103&gt;0,all_data!B232,"")</f>
        <v/>
      </c>
      <c r="C103">
        <f>all_data!C232</f>
        <v>0</v>
      </c>
      <c r="D103">
        <f>all_data!D232</f>
        <v>0</v>
      </c>
      <c r="E103" s="5" t="str">
        <f>all_data!E232</f>
        <v/>
      </c>
      <c r="F103">
        <f>all_data!F232</f>
        <v>0</v>
      </c>
      <c r="H103">
        <f t="shared" si="4"/>
        <v>0</v>
      </c>
      <c r="J103">
        <f t="shared" si="5"/>
        <v>0</v>
      </c>
      <c r="K103">
        <f t="shared" si="6"/>
        <v>0</v>
      </c>
      <c r="L103" s="5" t="str">
        <f t="shared" si="7"/>
        <v/>
      </c>
      <c r="M103">
        <f>all_data!H232</f>
        <v>0</v>
      </c>
      <c r="N103">
        <f>all_data!I232</f>
        <v>0</v>
      </c>
    </row>
    <row r="104" spans="1:14">
      <c r="A104">
        <f>all_data!A233</f>
        <v>231</v>
      </c>
      <c r="B104" t="str">
        <f>IF(C104&gt;0,all_data!B233,"")</f>
        <v/>
      </c>
      <c r="C104">
        <f>all_data!C233</f>
        <v>0</v>
      </c>
      <c r="D104">
        <f>all_data!D233</f>
        <v>0</v>
      </c>
      <c r="E104" s="5" t="str">
        <f>all_data!E233</f>
        <v/>
      </c>
      <c r="F104">
        <f>all_data!F233</f>
        <v>0</v>
      </c>
      <c r="H104">
        <f t="shared" si="4"/>
        <v>0</v>
      </c>
      <c r="J104">
        <f t="shared" si="5"/>
        <v>0</v>
      </c>
      <c r="K104">
        <f t="shared" si="6"/>
        <v>0</v>
      </c>
      <c r="L104" s="5" t="str">
        <f t="shared" si="7"/>
        <v/>
      </c>
      <c r="M104">
        <f>all_data!H233</f>
        <v>0</v>
      </c>
      <c r="N104">
        <f>all_data!I233</f>
        <v>0</v>
      </c>
    </row>
    <row r="105" spans="1:14">
      <c r="A105">
        <f>all_data!A234</f>
        <v>232</v>
      </c>
      <c r="B105" t="str">
        <f>IF(C105&gt;0,all_data!B234,"")</f>
        <v/>
      </c>
      <c r="C105">
        <f>all_data!C234</f>
        <v>0</v>
      </c>
      <c r="D105">
        <f>all_data!D234</f>
        <v>0</v>
      </c>
      <c r="E105" s="5" t="str">
        <f>all_data!E234</f>
        <v/>
      </c>
      <c r="F105">
        <f>all_data!F234</f>
        <v>0</v>
      </c>
      <c r="H105">
        <f t="shared" si="4"/>
        <v>0</v>
      </c>
      <c r="J105">
        <f t="shared" si="5"/>
        <v>0</v>
      </c>
      <c r="K105">
        <f t="shared" si="6"/>
        <v>0</v>
      </c>
      <c r="L105" s="5" t="str">
        <f t="shared" si="7"/>
        <v/>
      </c>
      <c r="M105">
        <f>all_data!H234</f>
        <v>0</v>
      </c>
      <c r="N105">
        <f>all_data!I234</f>
        <v>0</v>
      </c>
    </row>
    <row r="106" spans="1:14">
      <c r="A106">
        <f>all_data!A235</f>
        <v>233</v>
      </c>
      <c r="B106" t="str">
        <f>IF(C106&gt;0,all_data!B235,"")</f>
        <v/>
      </c>
      <c r="C106">
        <f>all_data!C235</f>
        <v>0</v>
      </c>
      <c r="D106">
        <f>all_data!D235</f>
        <v>0</v>
      </c>
      <c r="E106" s="5" t="str">
        <f>all_data!E235</f>
        <v/>
      </c>
      <c r="F106">
        <f>all_data!F235</f>
        <v>0</v>
      </c>
      <c r="H106">
        <f t="shared" si="4"/>
        <v>0</v>
      </c>
      <c r="J106">
        <f t="shared" si="5"/>
        <v>0</v>
      </c>
      <c r="K106">
        <f t="shared" si="6"/>
        <v>0</v>
      </c>
      <c r="L106" s="5" t="str">
        <f t="shared" si="7"/>
        <v/>
      </c>
      <c r="M106">
        <f>all_data!H235</f>
        <v>0</v>
      </c>
      <c r="N106">
        <f>all_data!I235</f>
        <v>0</v>
      </c>
    </row>
    <row r="107" spans="1:14">
      <c r="A107">
        <f>all_data!A236</f>
        <v>234</v>
      </c>
      <c r="B107" t="str">
        <f>IF(C107&gt;0,all_data!B236,"")</f>
        <v/>
      </c>
      <c r="C107">
        <f>all_data!C236</f>
        <v>0</v>
      </c>
      <c r="D107">
        <f>all_data!D236</f>
        <v>0</v>
      </c>
      <c r="E107" s="5" t="str">
        <f>all_data!E236</f>
        <v/>
      </c>
      <c r="F107">
        <f>all_data!F236</f>
        <v>0</v>
      </c>
      <c r="H107">
        <f t="shared" si="4"/>
        <v>0</v>
      </c>
      <c r="J107">
        <f t="shared" si="5"/>
        <v>0</v>
      </c>
      <c r="K107">
        <f t="shared" si="6"/>
        <v>0</v>
      </c>
      <c r="L107" s="5" t="str">
        <f t="shared" si="7"/>
        <v/>
      </c>
      <c r="M107">
        <f>all_data!H236</f>
        <v>0</v>
      </c>
      <c r="N107">
        <f>all_data!I236</f>
        <v>0</v>
      </c>
    </row>
    <row r="108" spans="1:14">
      <c r="A108">
        <f>all_data!A237</f>
        <v>235</v>
      </c>
      <c r="B108" t="str">
        <f>IF(C108&gt;0,all_data!B237,"")</f>
        <v/>
      </c>
      <c r="C108">
        <f>all_data!C237</f>
        <v>0</v>
      </c>
      <c r="D108">
        <f>all_data!D237</f>
        <v>0</v>
      </c>
      <c r="E108" s="5" t="str">
        <f>all_data!E237</f>
        <v/>
      </c>
      <c r="F108">
        <f>all_data!F237</f>
        <v>0</v>
      </c>
      <c r="H108">
        <f t="shared" si="4"/>
        <v>0</v>
      </c>
      <c r="J108">
        <f t="shared" si="5"/>
        <v>0</v>
      </c>
      <c r="K108">
        <f t="shared" si="6"/>
        <v>0</v>
      </c>
      <c r="L108" s="5" t="str">
        <f t="shared" si="7"/>
        <v/>
      </c>
      <c r="M108">
        <f>all_data!H237</f>
        <v>0</v>
      </c>
      <c r="N108">
        <f>all_data!I237</f>
        <v>0</v>
      </c>
    </row>
    <row r="109" spans="1:14">
      <c r="A109">
        <f>all_data!A238</f>
        <v>236</v>
      </c>
      <c r="B109" t="str">
        <f>IF(C109&gt;0,all_data!B238,"")</f>
        <v/>
      </c>
      <c r="C109">
        <f>all_data!C238</f>
        <v>0</v>
      </c>
      <c r="D109">
        <f>all_data!D238</f>
        <v>0</v>
      </c>
      <c r="E109" s="5" t="str">
        <f>all_data!E238</f>
        <v/>
      </c>
      <c r="F109">
        <f>all_data!F238</f>
        <v>0</v>
      </c>
      <c r="H109">
        <f t="shared" si="4"/>
        <v>0</v>
      </c>
      <c r="J109">
        <f t="shared" si="5"/>
        <v>0</v>
      </c>
      <c r="K109">
        <f t="shared" si="6"/>
        <v>0</v>
      </c>
      <c r="L109" s="5" t="str">
        <f t="shared" si="7"/>
        <v/>
      </c>
      <c r="M109">
        <f>all_data!H238</f>
        <v>0</v>
      </c>
      <c r="N109">
        <f>all_data!I238</f>
        <v>0</v>
      </c>
    </row>
    <row r="110" spans="1:14">
      <c r="A110">
        <f>all_data!A239</f>
        <v>237</v>
      </c>
      <c r="B110" t="str">
        <f>IF(C110&gt;0,all_data!B239,"")</f>
        <v/>
      </c>
      <c r="C110">
        <f>all_data!C239</f>
        <v>0</v>
      </c>
      <c r="D110">
        <f>all_data!D239</f>
        <v>0</v>
      </c>
      <c r="E110" s="5" t="str">
        <f>all_data!E239</f>
        <v/>
      </c>
      <c r="F110">
        <f>all_data!F239</f>
        <v>0</v>
      </c>
      <c r="H110">
        <f t="shared" si="4"/>
        <v>0</v>
      </c>
      <c r="J110">
        <f t="shared" si="5"/>
        <v>0</v>
      </c>
      <c r="K110">
        <f t="shared" si="6"/>
        <v>0</v>
      </c>
      <c r="L110" s="5" t="str">
        <f t="shared" si="7"/>
        <v/>
      </c>
      <c r="M110">
        <f>all_data!H239</f>
        <v>0</v>
      </c>
      <c r="N110">
        <f>all_data!I239</f>
        <v>0</v>
      </c>
    </row>
    <row r="111" spans="1:14">
      <c r="A111">
        <f>all_data!A240</f>
        <v>238</v>
      </c>
      <c r="B111" t="str">
        <f>IF(C111&gt;0,all_data!B240,"")</f>
        <v/>
      </c>
      <c r="C111">
        <f>all_data!C240</f>
        <v>0</v>
      </c>
      <c r="D111">
        <f>all_data!D240</f>
        <v>0</v>
      </c>
      <c r="E111" s="5" t="str">
        <f>all_data!E240</f>
        <v/>
      </c>
      <c r="F111">
        <f>all_data!F240</f>
        <v>0</v>
      </c>
      <c r="H111">
        <f t="shared" si="4"/>
        <v>0</v>
      </c>
      <c r="J111">
        <f t="shared" si="5"/>
        <v>0</v>
      </c>
      <c r="K111">
        <f t="shared" si="6"/>
        <v>0</v>
      </c>
      <c r="L111" s="5" t="str">
        <f t="shared" si="7"/>
        <v/>
      </c>
      <c r="M111">
        <f>all_data!H240</f>
        <v>0</v>
      </c>
      <c r="N111">
        <f>all_data!I240</f>
        <v>0</v>
      </c>
    </row>
    <row r="112" spans="1:14">
      <c r="A112">
        <f>all_data!A241</f>
        <v>239</v>
      </c>
      <c r="B112" t="str">
        <f>IF(C112&gt;0,all_data!B241,"")</f>
        <v/>
      </c>
      <c r="C112">
        <f>all_data!C241</f>
        <v>0</v>
      </c>
      <c r="D112">
        <f>all_data!D241</f>
        <v>0</v>
      </c>
      <c r="E112" s="5" t="str">
        <f>all_data!E241</f>
        <v/>
      </c>
      <c r="F112">
        <f>all_data!F241</f>
        <v>0</v>
      </c>
      <c r="H112">
        <f t="shared" si="4"/>
        <v>0</v>
      </c>
      <c r="J112">
        <f t="shared" si="5"/>
        <v>0</v>
      </c>
      <c r="K112">
        <f t="shared" si="6"/>
        <v>0</v>
      </c>
      <c r="L112" s="5" t="str">
        <f t="shared" si="7"/>
        <v/>
      </c>
      <c r="M112">
        <f>all_data!H241</f>
        <v>0</v>
      </c>
      <c r="N112">
        <f>all_data!I241</f>
        <v>0</v>
      </c>
    </row>
    <row r="113" spans="1:14">
      <c r="A113">
        <f>all_data!A242</f>
        <v>240</v>
      </c>
      <c r="B113" t="str">
        <f>IF(C113&gt;0,all_data!B242,"")</f>
        <v/>
      </c>
      <c r="C113">
        <f>all_data!C242</f>
        <v>0</v>
      </c>
      <c r="D113">
        <f>all_data!D242</f>
        <v>0</v>
      </c>
      <c r="E113" s="5" t="str">
        <f>all_data!E242</f>
        <v/>
      </c>
      <c r="F113">
        <f>all_data!F242</f>
        <v>0</v>
      </c>
      <c r="H113">
        <f t="shared" si="4"/>
        <v>0</v>
      </c>
      <c r="J113">
        <f t="shared" si="5"/>
        <v>0</v>
      </c>
      <c r="K113">
        <f t="shared" si="6"/>
        <v>0</v>
      </c>
      <c r="L113" s="5" t="str">
        <f t="shared" si="7"/>
        <v/>
      </c>
      <c r="M113">
        <f>all_data!H242</f>
        <v>0</v>
      </c>
      <c r="N113">
        <f>all_data!I242</f>
        <v>0</v>
      </c>
    </row>
    <row r="114" spans="1:14">
      <c r="A114">
        <f>all_data!A243</f>
        <v>241</v>
      </c>
      <c r="B114" t="str">
        <f>IF(C114&gt;0,all_data!B243,"")</f>
        <v/>
      </c>
      <c r="C114">
        <f>all_data!C243</f>
        <v>0</v>
      </c>
      <c r="D114">
        <f>all_data!D243</f>
        <v>0</v>
      </c>
      <c r="E114" s="5" t="str">
        <f>all_data!E243</f>
        <v/>
      </c>
      <c r="F114">
        <f>all_data!F243</f>
        <v>0</v>
      </c>
      <c r="H114">
        <f t="shared" si="4"/>
        <v>0</v>
      </c>
      <c r="J114">
        <f t="shared" si="5"/>
        <v>0</v>
      </c>
      <c r="K114">
        <f t="shared" si="6"/>
        <v>0</v>
      </c>
      <c r="L114" s="5" t="str">
        <f t="shared" si="7"/>
        <v/>
      </c>
      <c r="M114">
        <f>all_data!H243</f>
        <v>0</v>
      </c>
      <c r="N114">
        <f>all_data!I243</f>
        <v>0</v>
      </c>
    </row>
    <row r="115" spans="1:14">
      <c r="A115">
        <f>all_data!A244</f>
        <v>242</v>
      </c>
      <c r="B115" t="str">
        <f>IF(C115&gt;0,all_data!B244,"")</f>
        <v/>
      </c>
      <c r="C115">
        <f>all_data!C244</f>
        <v>0</v>
      </c>
      <c r="D115">
        <f>all_data!D244</f>
        <v>0</v>
      </c>
      <c r="E115" s="5" t="str">
        <f>all_data!E244</f>
        <v/>
      </c>
      <c r="F115">
        <f>all_data!F244</f>
        <v>0</v>
      </c>
      <c r="H115">
        <f t="shared" si="4"/>
        <v>0</v>
      </c>
      <c r="J115">
        <f t="shared" si="5"/>
        <v>0</v>
      </c>
      <c r="K115">
        <f t="shared" si="6"/>
        <v>0</v>
      </c>
      <c r="L115" s="5" t="str">
        <f t="shared" si="7"/>
        <v/>
      </c>
      <c r="M115">
        <f>all_data!H244</f>
        <v>0</v>
      </c>
      <c r="N115">
        <f>all_data!I244</f>
        <v>0</v>
      </c>
    </row>
    <row r="116" spans="1:14">
      <c r="A116">
        <f>all_data!A245</f>
        <v>243</v>
      </c>
      <c r="B116" t="str">
        <f>IF(C116&gt;0,all_data!B245,"")</f>
        <v/>
      </c>
      <c r="C116">
        <f>all_data!C245</f>
        <v>0</v>
      </c>
      <c r="D116">
        <f>all_data!D245</f>
        <v>0</v>
      </c>
      <c r="E116" s="5" t="str">
        <f>all_data!E245</f>
        <v/>
      </c>
      <c r="F116">
        <f>all_data!F245</f>
        <v>0</v>
      </c>
      <c r="H116">
        <f t="shared" si="4"/>
        <v>0</v>
      </c>
      <c r="J116">
        <f t="shared" si="5"/>
        <v>0</v>
      </c>
      <c r="K116">
        <f t="shared" si="6"/>
        <v>0</v>
      </c>
      <c r="L116" s="5" t="str">
        <f t="shared" si="7"/>
        <v/>
      </c>
      <c r="M116">
        <f>all_data!H245</f>
        <v>0</v>
      </c>
      <c r="N116">
        <f>all_data!I245</f>
        <v>0</v>
      </c>
    </row>
    <row r="117" spans="1:14">
      <c r="A117">
        <f>all_data!A246</f>
        <v>244</v>
      </c>
      <c r="B117" t="str">
        <f>IF(C117&gt;0,all_data!B246,"")</f>
        <v/>
      </c>
      <c r="C117">
        <f>all_data!C246</f>
        <v>0</v>
      </c>
      <c r="D117">
        <f>all_data!D246</f>
        <v>0</v>
      </c>
      <c r="E117" s="5" t="str">
        <f>all_data!E246</f>
        <v/>
      </c>
      <c r="F117">
        <f>all_data!F246</f>
        <v>0</v>
      </c>
      <c r="H117">
        <f t="shared" si="4"/>
        <v>0</v>
      </c>
      <c r="J117">
        <f t="shared" si="5"/>
        <v>0</v>
      </c>
      <c r="K117">
        <f t="shared" si="6"/>
        <v>0</v>
      </c>
      <c r="L117" s="5" t="str">
        <f t="shared" si="7"/>
        <v/>
      </c>
      <c r="M117">
        <f>all_data!H246</f>
        <v>0</v>
      </c>
      <c r="N117">
        <f>all_data!I246</f>
        <v>0</v>
      </c>
    </row>
    <row r="118" spans="1:14">
      <c r="A118">
        <f>all_data!A247</f>
        <v>245</v>
      </c>
      <c r="B118" t="str">
        <f>IF(C118&gt;0,all_data!B247,"")</f>
        <v/>
      </c>
      <c r="C118">
        <f>all_data!C247</f>
        <v>0</v>
      </c>
      <c r="D118">
        <f>all_data!D247</f>
        <v>0</v>
      </c>
      <c r="E118" s="5" t="str">
        <f>all_data!E247</f>
        <v/>
      </c>
      <c r="F118">
        <f>all_data!F247</f>
        <v>0</v>
      </c>
      <c r="H118">
        <f t="shared" si="4"/>
        <v>0</v>
      </c>
      <c r="J118">
        <f t="shared" si="5"/>
        <v>0</v>
      </c>
      <c r="K118">
        <f t="shared" si="6"/>
        <v>0</v>
      </c>
      <c r="L118" s="5" t="str">
        <f t="shared" si="7"/>
        <v/>
      </c>
      <c r="M118">
        <f>all_data!H247</f>
        <v>0</v>
      </c>
      <c r="N118">
        <f>all_data!I247</f>
        <v>0</v>
      </c>
    </row>
    <row r="119" spans="1:14">
      <c r="A119">
        <f>all_data!A248</f>
        <v>246</v>
      </c>
      <c r="B119" t="str">
        <f>IF(C119&gt;0,all_data!B248,"")</f>
        <v/>
      </c>
      <c r="C119">
        <f>all_data!C248</f>
        <v>0</v>
      </c>
      <c r="D119">
        <f>all_data!D248</f>
        <v>0</v>
      </c>
      <c r="E119" s="5" t="str">
        <f>all_data!E248</f>
        <v/>
      </c>
      <c r="F119">
        <f>all_data!F248</f>
        <v>0</v>
      </c>
      <c r="H119">
        <f t="shared" si="4"/>
        <v>0</v>
      </c>
      <c r="J119">
        <f t="shared" si="5"/>
        <v>0</v>
      </c>
      <c r="K119">
        <f t="shared" si="6"/>
        <v>0</v>
      </c>
      <c r="L119" s="5" t="str">
        <f t="shared" si="7"/>
        <v/>
      </c>
      <c r="M119">
        <f>all_data!H248</f>
        <v>0</v>
      </c>
      <c r="N119">
        <f>all_data!I248</f>
        <v>0</v>
      </c>
    </row>
    <row r="120" spans="1:14">
      <c r="A120">
        <f>all_data!A249</f>
        <v>247</v>
      </c>
      <c r="B120" t="str">
        <f>IF(C120&gt;0,all_data!B249,"")</f>
        <v/>
      </c>
      <c r="C120">
        <f>all_data!C249</f>
        <v>0</v>
      </c>
      <c r="D120">
        <f>all_data!D249</f>
        <v>0</v>
      </c>
      <c r="E120" s="5" t="str">
        <f>all_data!E249</f>
        <v/>
      </c>
      <c r="F120">
        <f>all_data!F249</f>
        <v>0</v>
      </c>
      <c r="H120">
        <f t="shared" si="4"/>
        <v>0</v>
      </c>
      <c r="J120">
        <f t="shared" si="5"/>
        <v>0</v>
      </c>
      <c r="K120">
        <f t="shared" si="6"/>
        <v>0</v>
      </c>
      <c r="L120" s="5" t="str">
        <f t="shared" si="7"/>
        <v/>
      </c>
      <c r="M120">
        <f>all_data!H249</f>
        <v>0</v>
      </c>
      <c r="N120">
        <f>all_data!I249</f>
        <v>0</v>
      </c>
    </row>
    <row r="121" spans="1:14">
      <c r="A121">
        <f>all_data!A250</f>
        <v>248</v>
      </c>
      <c r="B121" t="str">
        <f>IF(C121&gt;0,all_data!B250,"")</f>
        <v/>
      </c>
      <c r="C121">
        <f>all_data!C250</f>
        <v>0</v>
      </c>
      <c r="D121">
        <f>all_data!D250</f>
        <v>0</v>
      </c>
      <c r="E121" s="5" t="str">
        <f>all_data!E250</f>
        <v/>
      </c>
      <c r="F121">
        <f>all_data!F250</f>
        <v>0</v>
      </c>
      <c r="H121">
        <f t="shared" si="4"/>
        <v>0</v>
      </c>
      <c r="J121">
        <f t="shared" si="5"/>
        <v>0</v>
      </c>
      <c r="K121">
        <f t="shared" si="6"/>
        <v>0</v>
      </c>
      <c r="L121" s="5" t="str">
        <f t="shared" si="7"/>
        <v/>
      </c>
      <c r="M121">
        <f>all_data!H250</f>
        <v>0</v>
      </c>
      <c r="N121">
        <f>all_data!I250</f>
        <v>0</v>
      </c>
    </row>
    <row r="122" spans="1:14">
      <c r="A122">
        <f>all_data!A251</f>
        <v>249</v>
      </c>
      <c r="B122" t="str">
        <f>IF(C122&gt;0,all_data!B251,"")</f>
        <v/>
      </c>
      <c r="C122">
        <f>all_data!C251</f>
        <v>0</v>
      </c>
      <c r="D122">
        <f>all_data!D251</f>
        <v>0</v>
      </c>
      <c r="E122" s="5" t="str">
        <f>all_data!E251</f>
        <v/>
      </c>
      <c r="F122">
        <f>all_data!F251</f>
        <v>0</v>
      </c>
      <c r="H122">
        <f t="shared" si="4"/>
        <v>0</v>
      </c>
      <c r="J122">
        <f t="shared" si="5"/>
        <v>0</v>
      </c>
      <c r="K122">
        <f t="shared" si="6"/>
        <v>0</v>
      </c>
      <c r="L122" s="5" t="str">
        <f t="shared" si="7"/>
        <v/>
      </c>
      <c r="M122">
        <f>all_data!H251</f>
        <v>0</v>
      </c>
      <c r="N122">
        <f>all_data!I251</f>
        <v>0</v>
      </c>
    </row>
    <row r="123" spans="1:14">
      <c r="A123">
        <f>all_data!A252</f>
        <v>250</v>
      </c>
      <c r="B123" t="str">
        <f>IF(C123&gt;0,all_data!B252,"")</f>
        <v/>
      </c>
      <c r="C123">
        <f>all_data!C252</f>
        <v>0</v>
      </c>
      <c r="D123">
        <f>all_data!D252</f>
        <v>0</v>
      </c>
      <c r="E123" s="5" t="str">
        <f>all_data!E252</f>
        <v/>
      </c>
      <c r="F123">
        <f>all_data!F252</f>
        <v>0</v>
      </c>
      <c r="H123">
        <f t="shared" si="4"/>
        <v>0</v>
      </c>
      <c r="J123">
        <f t="shared" si="5"/>
        <v>0</v>
      </c>
      <c r="K123">
        <f t="shared" si="6"/>
        <v>0</v>
      </c>
      <c r="L123" s="5" t="str">
        <f t="shared" si="7"/>
        <v/>
      </c>
      <c r="M123">
        <f>all_data!H252</f>
        <v>0</v>
      </c>
      <c r="N123">
        <f>all_data!I252</f>
        <v>0</v>
      </c>
    </row>
    <row r="124" spans="1:14">
      <c r="A124">
        <f>all_data!A253</f>
        <v>251</v>
      </c>
      <c r="B124" t="str">
        <f>IF(C124&gt;0,all_data!B253,"")</f>
        <v/>
      </c>
      <c r="C124">
        <f>all_data!C253</f>
        <v>0</v>
      </c>
      <c r="D124">
        <f>all_data!D253</f>
        <v>0</v>
      </c>
      <c r="E124" s="5" t="str">
        <f>all_data!E253</f>
        <v/>
      </c>
      <c r="F124">
        <f>all_data!F253</f>
        <v>0</v>
      </c>
      <c r="H124">
        <f t="shared" si="4"/>
        <v>0</v>
      </c>
      <c r="J124">
        <f t="shared" si="5"/>
        <v>0</v>
      </c>
      <c r="K124">
        <f t="shared" si="6"/>
        <v>0</v>
      </c>
      <c r="L124" s="5" t="str">
        <f t="shared" si="7"/>
        <v/>
      </c>
      <c r="M124">
        <f>all_data!H253</f>
        <v>0</v>
      </c>
      <c r="N124">
        <f>all_data!I253</f>
        <v>0</v>
      </c>
    </row>
    <row r="125" spans="1:14">
      <c r="A125">
        <f>all_data!A254</f>
        <v>252</v>
      </c>
      <c r="B125" t="str">
        <f>IF(C125&gt;0,all_data!B254,"")</f>
        <v/>
      </c>
      <c r="C125">
        <f>all_data!C254</f>
        <v>0</v>
      </c>
      <c r="D125">
        <f>all_data!D254</f>
        <v>0</v>
      </c>
      <c r="E125" s="5" t="str">
        <f>all_data!E254</f>
        <v/>
      </c>
      <c r="F125">
        <f>all_data!F254</f>
        <v>0</v>
      </c>
      <c r="H125">
        <f t="shared" si="4"/>
        <v>0</v>
      </c>
      <c r="J125">
        <f t="shared" si="5"/>
        <v>0</v>
      </c>
      <c r="K125">
        <f t="shared" si="6"/>
        <v>0</v>
      </c>
      <c r="L125" s="5" t="str">
        <f t="shared" si="7"/>
        <v/>
      </c>
      <c r="M125">
        <f>all_data!H254</f>
        <v>0</v>
      </c>
      <c r="N125">
        <f>all_data!I254</f>
        <v>0</v>
      </c>
    </row>
    <row r="126" spans="1:14">
      <c r="A126">
        <f>all_data!A255</f>
        <v>253</v>
      </c>
      <c r="B126" t="str">
        <f>IF(C126&gt;0,all_data!B255,"")</f>
        <v/>
      </c>
      <c r="C126">
        <f>all_data!C255</f>
        <v>0</v>
      </c>
      <c r="D126">
        <f>all_data!D255</f>
        <v>0</v>
      </c>
      <c r="E126" s="5" t="str">
        <f>all_data!E255</f>
        <v/>
      </c>
      <c r="F126">
        <f>all_data!F255</f>
        <v>0</v>
      </c>
      <c r="H126">
        <f t="shared" si="4"/>
        <v>0</v>
      </c>
      <c r="J126">
        <f t="shared" si="5"/>
        <v>0</v>
      </c>
      <c r="K126">
        <f t="shared" si="6"/>
        <v>0</v>
      </c>
      <c r="L126" s="5" t="str">
        <f t="shared" si="7"/>
        <v/>
      </c>
      <c r="M126">
        <f>all_data!H255</f>
        <v>0</v>
      </c>
      <c r="N126">
        <f>all_data!I255</f>
        <v>0</v>
      </c>
    </row>
    <row r="127" spans="1:14">
      <c r="A127">
        <f>all_data!A256</f>
        <v>254</v>
      </c>
      <c r="B127" t="str">
        <f>IF(C127&gt;0,all_data!B256,"")</f>
        <v/>
      </c>
      <c r="C127">
        <f>all_data!C256</f>
        <v>0</v>
      </c>
      <c r="D127">
        <f>all_data!D256</f>
        <v>0</v>
      </c>
      <c r="E127" s="5" t="str">
        <f>all_data!E256</f>
        <v/>
      </c>
      <c r="F127">
        <f>all_data!F256</f>
        <v>0</v>
      </c>
      <c r="H127">
        <f t="shared" si="4"/>
        <v>0</v>
      </c>
      <c r="J127">
        <f t="shared" si="5"/>
        <v>0</v>
      </c>
      <c r="K127">
        <f t="shared" si="6"/>
        <v>0</v>
      </c>
      <c r="L127" s="5" t="str">
        <f t="shared" si="7"/>
        <v/>
      </c>
      <c r="M127">
        <f>all_data!H256</f>
        <v>0</v>
      </c>
      <c r="N127">
        <f>all_data!I256</f>
        <v>0</v>
      </c>
    </row>
    <row r="128" spans="1:14">
      <c r="A128">
        <f>all_data!A257</f>
        <v>255</v>
      </c>
      <c r="B128" t="str">
        <f>IF(C128&gt;0,all_data!B257,"")</f>
        <v/>
      </c>
      <c r="C128">
        <f>all_data!C257</f>
        <v>0</v>
      </c>
      <c r="D128">
        <f>all_data!D257</f>
        <v>0</v>
      </c>
      <c r="E128" s="5" t="str">
        <f>all_data!E257</f>
        <v/>
      </c>
      <c r="F128">
        <f>all_data!F257</f>
        <v>0</v>
      </c>
      <c r="H128">
        <f t="shared" si="4"/>
        <v>0</v>
      </c>
      <c r="J128">
        <f t="shared" si="5"/>
        <v>0</v>
      </c>
      <c r="K128">
        <f t="shared" si="6"/>
        <v>0</v>
      </c>
      <c r="L128" s="5" t="str">
        <f t="shared" si="7"/>
        <v/>
      </c>
      <c r="M128">
        <f>all_data!H257</f>
        <v>0</v>
      </c>
      <c r="N128">
        <f>all_data!I257</f>
        <v>0</v>
      </c>
    </row>
    <row r="129" spans="1:14">
      <c r="A129">
        <f>all_data!A258</f>
        <v>256</v>
      </c>
      <c r="B129" t="str">
        <f>IF(C129&gt;0,all_data!B258,"")</f>
        <v/>
      </c>
      <c r="C129">
        <f>all_data!C258</f>
        <v>0</v>
      </c>
      <c r="D129">
        <f>all_data!D258</f>
        <v>0</v>
      </c>
      <c r="E129" s="5" t="str">
        <f>all_data!E258</f>
        <v/>
      </c>
      <c r="F129">
        <f>all_data!F258</f>
        <v>0</v>
      </c>
      <c r="H129">
        <f t="shared" si="4"/>
        <v>0</v>
      </c>
      <c r="J129">
        <f t="shared" si="5"/>
        <v>0</v>
      </c>
      <c r="K129">
        <f t="shared" si="6"/>
        <v>0</v>
      </c>
      <c r="L129" s="5" t="str">
        <f t="shared" si="7"/>
        <v/>
      </c>
      <c r="M129">
        <f>all_data!H258</f>
        <v>0</v>
      </c>
      <c r="N129">
        <f>all_data!I258</f>
        <v>0</v>
      </c>
    </row>
    <row r="130" spans="1:14">
      <c r="A130">
        <f>all_data!A259</f>
        <v>257</v>
      </c>
      <c r="B130" t="str">
        <f>IF(C130&gt;0,all_data!B259,"")</f>
        <v/>
      </c>
      <c r="C130">
        <f>all_data!C259</f>
        <v>0</v>
      </c>
      <c r="D130">
        <f>all_data!D259</f>
        <v>0</v>
      </c>
      <c r="E130" s="5" t="str">
        <f>all_data!E259</f>
        <v/>
      </c>
      <c r="F130">
        <f>all_data!F259</f>
        <v>0</v>
      </c>
      <c r="H130">
        <f t="shared" si="4"/>
        <v>0</v>
      </c>
      <c r="J130">
        <f t="shared" si="5"/>
        <v>0</v>
      </c>
      <c r="K130">
        <f t="shared" si="6"/>
        <v>0</v>
      </c>
      <c r="L130" s="5" t="str">
        <f t="shared" si="7"/>
        <v/>
      </c>
      <c r="M130">
        <f>all_data!H259</f>
        <v>0</v>
      </c>
      <c r="N130">
        <f>all_data!I259</f>
        <v>0</v>
      </c>
    </row>
    <row r="131" spans="1:14">
      <c r="A131">
        <f>all_data!A260</f>
        <v>258</v>
      </c>
      <c r="B131" t="str">
        <f>IF(C131&gt;0,all_data!B260,"")</f>
        <v/>
      </c>
      <c r="C131">
        <f>all_data!C260</f>
        <v>0</v>
      </c>
      <c r="D131">
        <f>all_data!D260</f>
        <v>0</v>
      </c>
      <c r="E131" s="5" t="str">
        <f>all_data!E260</f>
        <v/>
      </c>
      <c r="F131">
        <f>all_data!F260</f>
        <v>0</v>
      </c>
      <c r="H131">
        <f t="shared" ref="H131:H194" si="8">IF(C131&lt;=10,F131,0)</f>
        <v>0</v>
      </c>
      <c r="J131">
        <f t="shared" ref="J131:J194" si="9">ABS(D131)</f>
        <v>0</v>
      </c>
      <c r="K131">
        <f t="shared" ref="K131:K194" si="10">ABS(F131)</f>
        <v>0</v>
      </c>
      <c r="L131" s="5" t="str">
        <f t="shared" ref="L131:L194" si="11">IF(C131=0,"",(ABS(J131-K131))*100/D131)</f>
        <v/>
      </c>
      <c r="M131">
        <f>all_data!H260</f>
        <v>0</v>
      </c>
      <c r="N131">
        <f>all_data!I260</f>
        <v>0</v>
      </c>
    </row>
    <row r="132" spans="1:14">
      <c r="A132">
        <f>all_data!A261</f>
        <v>259</v>
      </c>
      <c r="B132" t="str">
        <f>IF(C132&gt;0,all_data!B261,"")</f>
        <v/>
      </c>
      <c r="C132">
        <f>all_data!C261</f>
        <v>0</v>
      </c>
      <c r="D132">
        <f>all_data!D261</f>
        <v>0</v>
      </c>
      <c r="E132" s="5" t="str">
        <f>all_data!E261</f>
        <v/>
      </c>
      <c r="F132">
        <f>all_data!F261</f>
        <v>0</v>
      </c>
      <c r="H132">
        <f t="shared" si="8"/>
        <v>0</v>
      </c>
      <c r="J132">
        <f t="shared" si="9"/>
        <v>0</v>
      </c>
      <c r="K132">
        <f t="shared" si="10"/>
        <v>0</v>
      </c>
      <c r="L132" s="5" t="str">
        <f t="shared" si="11"/>
        <v/>
      </c>
      <c r="M132">
        <f>all_data!H261</f>
        <v>0</v>
      </c>
      <c r="N132">
        <f>all_data!I261</f>
        <v>0</v>
      </c>
    </row>
    <row r="133" spans="1:14">
      <c r="A133">
        <f>all_data!A262</f>
        <v>260</v>
      </c>
      <c r="B133" t="str">
        <f>IF(C133&gt;0,all_data!B262,"")</f>
        <v/>
      </c>
      <c r="C133">
        <f>all_data!C262</f>
        <v>0</v>
      </c>
      <c r="D133">
        <f>all_data!D262</f>
        <v>0</v>
      </c>
      <c r="E133" s="5" t="str">
        <f>all_data!E262</f>
        <v/>
      </c>
      <c r="F133">
        <f>all_data!F262</f>
        <v>0</v>
      </c>
      <c r="H133">
        <f t="shared" si="8"/>
        <v>0</v>
      </c>
      <c r="J133">
        <f t="shared" si="9"/>
        <v>0</v>
      </c>
      <c r="K133">
        <f t="shared" si="10"/>
        <v>0</v>
      </c>
      <c r="L133" s="5" t="str">
        <f t="shared" si="11"/>
        <v/>
      </c>
      <c r="M133">
        <f>all_data!H262</f>
        <v>0</v>
      </c>
      <c r="N133">
        <f>all_data!I262</f>
        <v>0</v>
      </c>
    </row>
    <row r="134" spans="1:14">
      <c r="A134">
        <f>all_data!A263</f>
        <v>261</v>
      </c>
      <c r="B134" t="str">
        <f>IF(C134&gt;0,all_data!B263,"")</f>
        <v/>
      </c>
      <c r="C134">
        <f>all_data!C263</f>
        <v>0</v>
      </c>
      <c r="D134">
        <f>all_data!D263</f>
        <v>0</v>
      </c>
      <c r="E134" s="5" t="str">
        <f>all_data!E263</f>
        <v/>
      </c>
      <c r="F134">
        <f>all_data!F263</f>
        <v>0</v>
      </c>
      <c r="H134">
        <f t="shared" si="8"/>
        <v>0</v>
      </c>
      <c r="J134">
        <f t="shared" si="9"/>
        <v>0</v>
      </c>
      <c r="K134">
        <f t="shared" si="10"/>
        <v>0</v>
      </c>
      <c r="L134" s="5" t="str">
        <f t="shared" si="11"/>
        <v/>
      </c>
      <c r="M134">
        <f>all_data!H263</f>
        <v>0</v>
      </c>
      <c r="N134">
        <f>all_data!I263</f>
        <v>0</v>
      </c>
    </row>
    <row r="135" spans="1:14">
      <c r="A135">
        <f>all_data!A264</f>
        <v>262</v>
      </c>
      <c r="B135" t="str">
        <f>IF(C135&gt;0,all_data!B264,"")</f>
        <v/>
      </c>
      <c r="C135">
        <f>all_data!C264</f>
        <v>0</v>
      </c>
      <c r="D135">
        <f>all_data!D264</f>
        <v>0</v>
      </c>
      <c r="E135" s="5" t="str">
        <f>all_data!E264</f>
        <v/>
      </c>
      <c r="F135">
        <f>all_data!F264</f>
        <v>0</v>
      </c>
      <c r="H135">
        <f t="shared" si="8"/>
        <v>0</v>
      </c>
      <c r="J135">
        <f t="shared" si="9"/>
        <v>0</v>
      </c>
      <c r="K135">
        <f t="shared" si="10"/>
        <v>0</v>
      </c>
      <c r="L135" s="5" t="str">
        <f t="shared" si="11"/>
        <v/>
      </c>
      <c r="M135">
        <f>all_data!H264</f>
        <v>0</v>
      </c>
      <c r="N135">
        <f>all_data!I264</f>
        <v>0</v>
      </c>
    </row>
    <row r="136" spans="1:14">
      <c r="A136">
        <f>all_data!A265</f>
        <v>263</v>
      </c>
      <c r="B136" t="str">
        <f>IF(C136&gt;0,all_data!B265,"")</f>
        <v/>
      </c>
      <c r="C136">
        <f>all_data!C265</f>
        <v>0</v>
      </c>
      <c r="D136">
        <f>all_data!D265</f>
        <v>0</v>
      </c>
      <c r="E136" s="5" t="str">
        <f>all_data!E265</f>
        <v/>
      </c>
      <c r="F136">
        <f>all_data!F265</f>
        <v>0</v>
      </c>
      <c r="H136">
        <f t="shared" si="8"/>
        <v>0</v>
      </c>
      <c r="J136">
        <f t="shared" si="9"/>
        <v>0</v>
      </c>
      <c r="K136">
        <f t="shared" si="10"/>
        <v>0</v>
      </c>
      <c r="L136" s="5" t="str">
        <f t="shared" si="11"/>
        <v/>
      </c>
      <c r="M136">
        <f>all_data!H265</f>
        <v>0</v>
      </c>
      <c r="N136">
        <f>all_data!I265</f>
        <v>0</v>
      </c>
    </row>
    <row r="137" spans="1:14">
      <c r="A137">
        <f>all_data!A266</f>
        <v>264</v>
      </c>
      <c r="B137" t="str">
        <f>IF(C137&gt;0,all_data!B266,"")</f>
        <v/>
      </c>
      <c r="C137">
        <f>all_data!C266</f>
        <v>0</v>
      </c>
      <c r="D137">
        <f>all_data!D266</f>
        <v>0</v>
      </c>
      <c r="E137" s="5" t="str">
        <f>all_data!E266</f>
        <v/>
      </c>
      <c r="F137">
        <f>all_data!F266</f>
        <v>0</v>
      </c>
      <c r="H137">
        <f t="shared" si="8"/>
        <v>0</v>
      </c>
      <c r="J137">
        <f t="shared" si="9"/>
        <v>0</v>
      </c>
      <c r="K137">
        <f t="shared" si="10"/>
        <v>0</v>
      </c>
      <c r="L137" s="5" t="str">
        <f t="shared" si="11"/>
        <v/>
      </c>
      <c r="M137">
        <f>all_data!H266</f>
        <v>0</v>
      </c>
      <c r="N137">
        <f>all_data!I266</f>
        <v>0</v>
      </c>
    </row>
    <row r="138" spans="1:14">
      <c r="A138">
        <f>all_data!A267</f>
        <v>265</v>
      </c>
      <c r="B138" t="str">
        <f>IF(C138&gt;0,all_data!B267,"")</f>
        <v/>
      </c>
      <c r="C138">
        <f>all_data!C267</f>
        <v>0</v>
      </c>
      <c r="D138">
        <f>all_data!D267</f>
        <v>0</v>
      </c>
      <c r="E138" s="5" t="str">
        <f>all_data!E267</f>
        <v/>
      </c>
      <c r="F138">
        <f>all_data!F267</f>
        <v>0</v>
      </c>
      <c r="H138">
        <f t="shared" si="8"/>
        <v>0</v>
      </c>
      <c r="J138">
        <f t="shared" si="9"/>
        <v>0</v>
      </c>
      <c r="K138">
        <f t="shared" si="10"/>
        <v>0</v>
      </c>
      <c r="L138" s="5" t="str">
        <f t="shared" si="11"/>
        <v/>
      </c>
      <c r="M138">
        <f>all_data!H267</f>
        <v>0</v>
      </c>
      <c r="N138">
        <f>all_data!I267</f>
        <v>0</v>
      </c>
    </row>
    <row r="139" spans="1:14">
      <c r="A139">
        <f>all_data!A268</f>
        <v>266</v>
      </c>
      <c r="B139" t="str">
        <f>IF(C139&gt;0,all_data!B268,"")</f>
        <v/>
      </c>
      <c r="C139">
        <f>all_data!C268</f>
        <v>0</v>
      </c>
      <c r="D139">
        <f>all_data!D268</f>
        <v>0</v>
      </c>
      <c r="E139" s="5" t="str">
        <f>all_data!E268</f>
        <v/>
      </c>
      <c r="F139">
        <f>all_data!F268</f>
        <v>0</v>
      </c>
      <c r="H139">
        <f t="shared" si="8"/>
        <v>0</v>
      </c>
      <c r="J139">
        <f t="shared" si="9"/>
        <v>0</v>
      </c>
      <c r="K139">
        <f t="shared" si="10"/>
        <v>0</v>
      </c>
      <c r="L139" s="5" t="str">
        <f t="shared" si="11"/>
        <v/>
      </c>
      <c r="M139">
        <f>all_data!H268</f>
        <v>0</v>
      </c>
      <c r="N139">
        <f>all_data!I268</f>
        <v>0</v>
      </c>
    </row>
    <row r="140" spans="1:14">
      <c r="A140">
        <f>all_data!A269</f>
        <v>267</v>
      </c>
      <c r="B140" t="str">
        <f>IF(C140&gt;0,all_data!B269,"")</f>
        <v/>
      </c>
      <c r="C140">
        <f>all_data!C269</f>
        <v>0</v>
      </c>
      <c r="D140">
        <f>all_data!D269</f>
        <v>0</v>
      </c>
      <c r="E140" s="5" t="str">
        <f>all_data!E269</f>
        <v/>
      </c>
      <c r="F140">
        <f>all_data!F269</f>
        <v>0</v>
      </c>
      <c r="H140">
        <f t="shared" si="8"/>
        <v>0</v>
      </c>
      <c r="J140">
        <f t="shared" si="9"/>
        <v>0</v>
      </c>
      <c r="K140">
        <f t="shared" si="10"/>
        <v>0</v>
      </c>
      <c r="L140" s="5" t="str">
        <f t="shared" si="11"/>
        <v/>
      </c>
      <c r="M140">
        <f>all_data!H269</f>
        <v>0</v>
      </c>
      <c r="N140">
        <f>all_data!I269</f>
        <v>0</v>
      </c>
    </row>
    <row r="141" spans="1:14">
      <c r="A141">
        <f>all_data!A270</f>
        <v>268</v>
      </c>
      <c r="B141" t="str">
        <f>IF(C141&gt;0,all_data!B270,"")</f>
        <v/>
      </c>
      <c r="C141">
        <f>all_data!C270</f>
        <v>0</v>
      </c>
      <c r="D141">
        <f>all_data!D270</f>
        <v>0</v>
      </c>
      <c r="E141" s="5" t="str">
        <f>all_data!E270</f>
        <v/>
      </c>
      <c r="F141">
        <f>all_data!F270</f>
        <v>0</v>
      </c>
      <c r="H141">
        <f t="shared" si="8"/>
        <v>0</v>
      </c>
      <c r="J141">
        <f t="shared" si="9"/>
        <v>0</v>
      </c>
      <c r="K141">
        <f t="shared" si="10"/>
        <v>0</v>
      </c>
      <c r="L141" s="5" t="str">
        <f t="shared" si="11"/>
        <v/>
      </c>
      <c r="M141">
        <f>all_data!H270</f>
        <v>0</v>
      </c>
      <c r="N141">
        <f>all_data!I270</f>
        <v>0</v>
      </c>
    </row>
    <row r="142" spans="1:14">
      <c r="A142">
        <f>all_data!A271</f>
        <v>269</v>
      </c>
      <c r="B142" t="str">
        <f>IF(C142&gt;0,all_data!B271,"")</f>
        <v/>
      </c>
      <c r="C142">
        <f>all_data!C271</f>
        <v>0</v>
      </c>
      <c r="D142">
        <f>all_data!D271</f>
        <v>0</v>
      </c>
      <c r="E142" s="5" t="str">
        <f>all_data!E271</f>
        <v/>
      </c>
      <c r="F142">
        <f>all_data!F271</f>
        <v>0</v>
      </c>
      <c r="H142">
        <f t="shared" si="8"/>
        <v>0</v>
      </c>
      <c r="J142">
        <f t="shared" si="9"/>
        <v>0</v>
      </c>
      <c r="K142">
        <f t="shared" si="10"/>
        <v>0</v>
      </c>
      <c r="L142" s="5" t="str">
        <f t="shared" si="11"/>
        <v/>
      </c>
      <c r="M142">
        <f>all_data!H271</f>
        <v>0</v>
      </c>
      <c r="N142">
        <f>all_data!I271</f>
        <v>0</v>
      </c>
    </row>
    <row r="143" spans="1:14">
      <c r="A143">
        <f>all_data!A272</f>
        <v>270</v>
      </c>
      <c r="B143" t="str">
        <f>IF(C143&gt;0,all_data!B272,"")</f>
        <v/>
      </c>
      <c r="C143">
        <f>all_data!C272</f>
        <v>0</v>
      </c>
      <c r="D143">
        <f>all_data!D272</f>
        <v>0</v>
      </c>
      <c r="E143" s="5" t="str">
        <f>all_data!E272</f>
        <v/>
      </c>
      <c r="F143">
        <f>all_data!F272</f>
        <v>0</v>
      </c>
      <c r="H143">
        <f t="shared" si="8"/>
        <v>0</v>
      </c>
      <c r="J143">
        <f t="shared" si="9"/>
        <v>0</v>
      </c>
      <c r="K143">
        <f t="shared" si="10"/>
        <v>0</v>
      </c>
      <c r="L143" s="5" t="str">
        <f t="shared" si="11"/>
        <v/>
      </c>
      <c r="M143">
        <f>all_data!H272</f>
        <v>0</v>
      </c>
      <c r="N143">
        <f>all_data!I272</f>
        <v>0</v>
      </c>
    </row>
    <row r="144" spans="1:14">
      <c r="A144">
        <f>all_data!A273</f>
        <v>271</v>
      </c>
      <c r="B144" t="str">
        <f>IF(C144&gt;0,all_data!B273,"")</f>
        <v/>
      </c>
      <c r="C144">
        <f>all_data!C273</f>
        <v>0</v>
      </c>
      <c r="D144">
        <f>all_data!D273</f>
        <v>0</v>
      </c>
      <c r="E144" s="5" t="str">
        <f>all_data!E273</f>
        <v/>
      </c>
      <c r="F144">
        <f>all_data!F273</f>
        <v>0</v>
      </c>
      <c r="H144">
        <f t="shared" si="8"/>
        <v>0</v>
      </c>
      <c r="J144">
        <f t="shared" si="9"/>
        <v>0</v>
      </c>
      <c r="K144">
        <f t="shared" si="10"/>
        <v>0</v>
      </c>
      <c r="L144" s="5" t="str">
        <f t="shared" si="11"/>
        <v/>
      </c>
      <c r="M144">
        <f>all_data!H273</f>
        <v>0</v>
      </c>
      <c r="N144">
        <f>all_data!I273</f>
        <v>0</v>
      </c>
    </row>
    <row r="145" spans="1:14">
      <c r="A145">
        <f>all_data!A274</f>
        <v>272</v>
      </c>
      <c r="B145" t="str">
        <f>IF(C145&gt;0,all_data!B274,"")</f>
        <v/>
      </c>
      <c r="C145">
        <f>all_data!C274</f>
        <v>0</v>
      </c>
      <c r="D145">
        <f>all_data!D274</f>
        <v>0</v>
      </c>
      <c r="E145" s="5" t="str">
        <f>all_data!E274</f>
        <v/>
      </c>
      <c r="F145">
        <f>all_data!F274</f>
        <v>0</v>
      </c>
      <c r="H145">
        <f t="shared" si="8"/>
        <v>0</v>
      </c>
      <c r="J145">
        <f t="shared" si="9"/>
        <v>0</v>
      </c>
      <c r="K145">
        <f t="shared" si="10"/>
        <v>0</v>
      </c>
      <c r="L145" s="5" t="str">
        <f t="shared" si="11"/>
        <v/>
      </c>
      <c r="M145">
        <f>all_data!H274</f>
        <v>0</v>
      </c>
      <c r="N145">
        <f>all_data!I274</f>
        <v>0</v>
      </c>
    </row>
    <row r="146" spans="1:14">
      <c r="A146">
        <f>all_data!A275</f>
        <v>273</v>
      </c>
      <c r="B146" t="str">
        <f>IF(C146&gt;0,all_data!B275,"")</f>
        <v/>
      </c>
      <c r="C146">
        <f>all_data!C275</f>
        <v>0</v>
      </c>
      <c r="D146">
        <f>all_data!D275</f>
        <v>0</v>
      </c>
      <c r="E146" s="5" t="str">
        <f>all_data!E275</f>
        <v/>
      </c>
      <c r="F146">
        <f>all_data!F275</f>
        <v>0</v>
      </c>
      <c r="H146">
        <f t="shared" si="8"/>
        <v>0</v>
      </c>
      <c r="J146">
        <f t="shared" si="9"/>
        <v>0</v>
      </c>
      <c r="K146">
        <f t="shared" si="10"/>
        <v>0</v>
      </c>
      <c r="L146" s="5" t="str">
        <f t="shared" si="11"/>
        <v/>
      </c>
      <c r="M146">
        <f>all_data!H275</f>
        <v>0</v>
      </c>
      <c r="N146">
        <f>all_data!I275</f>
        <v>0</v>
      </c>
    </row>
    <row r="147" spans="1:14">
      <c r="A147">
        <f>all_data!A276</f>
        <v>274</v>
      </c>
      <c r="B147" t="str">
        <f>IF(C147&gt;0,all_data!B276,"")</f>
        <v/>
      </c>
      <c r="C147">
        <f>all_data!C276</f>
        <v>0</v>
      </c>
      <c r="D147">
        <f>all_data!D276</f>
        <v>0</v>
      </c>
      <c r="E147" s="5" t="str">
        <f>all_data!E276</f>
        <v/>
      </c>
      <c r="F147">
        <f>all_data!F276</f>
        <v>0</v>
      </c>
      <c r="H147">
        <f t="shared" si="8"/>
        <v>0</v>
      </c>
      <c r="J147">
        <f t="shared" si="9"/>
        <v>0</v>
      </c>
      <c r="K147">
        <f t="shared" si="10"/>
        <v>0</v>
      </c>
      <c r="L147" s="5" t="str">
        <f t="shared" si="11"/>
        <v/>
      </c>
      <c r="M147">
        <f>all_data!H276</f>
        <v>0</v>
      </c>
      <c r="N147">
        <f>all_data!I276</f>
        <v>0</v>
      </c>
    </row>
    <row r="148" spans="1:14">
      <c r="A148">
        <f>all_data!A277</f>
        <v>275</v>
      </c>
      <c r="B148" t="str">
        <f>IF(C148&gt;0,all_data!B277,"")</f>
        <v/>
      </c>
      <c r="C148">
        <f>all_data!C277</f>
        <v>0</v>
      </c>
      <c r="D148">
        <f>all_data!D277</f>
        <v>0</v>
      </c>
      <c r="E148" s="5" t="str">
        <f>all_data!E277</f>
        <v/>
      </c>
      <c r="F148">
        <f>all_data!F277</f>
        <v>0</v>
      </c>
      <c r="H148">
        <f t="shared" si="8"/>
        <v>0</v>
      </c>
      <c r="J148">
        <f t="shared" si="9"/>
        <v>0</v>
      </c>
      <c r="K148">
        <f t="shared" si="10"/>
        <v>0</v>
      </c>
      <c r="L148" s="5" t="str">
        <f t="shared" si="11"/>
        <v/>
      </c>
      <c r="M148">
        <f>all_data!H277</f>
        <v>0</v>
      </c>
      <c r="N148">
        <f>all_data!I277</f>
        <v>0</v>
      </c>
    </row>
    <row r="149" spans="1:14">
      <c r="A149">
        <f>all_data!A278</f>
        <v>276</v>
      </c>
      <c r="B149" t="str">
        <f>IF(C149&gt;0,all_data!B278,"")</f>
        <v/>
      </c>
      <c r="C149">
        <f>all_data!C278</f>
        <v>0</v>
      </c>
      <c r="D149">
        <f>all_data!D278</f>
        <v>0</v>
      </c>
      <c r="E149" s="5" t="str">
        <f>all_data!E278</f>
        <v/>
      </c>
      <c r="F149">
        <f>all_data!F278</f>
        <v>0</v>
      </c>
      <c r="H149">
        <f t="shared" si="8"/>
        <v>0</v>
      </c>
      <c r="J149">
        <f t="shared" si="9"/>
        <v>0</v>
      </c>
      <c r="K149">
        <f t="shared" si="10"/>
        <v>0</v>
      </c>
      <c r="L149" s="5" t="str">
        <f t="shared" si="11"/>
        <v/>
      </c>
      <c r="M149">
        <f>all_data!H278</f>
        <v>0</v>
      </c>
      <c r="N149">
        <f>all_data!I278</f>
        <v>0</v>
      </c>
    </row>
    <row r="150" spans="1:14">
      <c r="A150">
        <f>all_data!A279</f>
        <v>277</v>
      </c>
      <c r="B150" t="str">
        <f>IF(C150&gt;0,all_data!B279,"")</f>
        <v/>
      </c>
      <c r="C150">
        <f>all_data!C279</f>
        <v>0</v>
      </c>
      <c r="D150">
        <f>all_data!D279</f>
        <v>0</v>
      </c>
      <c r="E150" s="5" t="str">
        <f>all_data!E279</f>
        <v/>
      </c>
      <c r="F150">
        <f>all_data!F279</f>
        <v>0</v>
      </c>
      <c r="H150">
        <f t="shared" si="8"/>
        <v>0</v>
      </c>
      <c r="J150">
        <f t="shared" si="9"/>
        <v>0</v>
      </c>
      <c r="K150">
        <f t="shared" si="10"/>
        <v>0</v>
      </c>
      <c r="L150" s="5" t="str">
        <f t="shared" si="11"/>
        <v/>
      </c>
      <c r="M150">
        <f>all_data!H279</f>
        <v>0</v>
      </c>
      <c r="N150">
        <f>all_data!I279</f>
        <v>0</v>
      </c>
    </row>
    <row r="151" spans="1:14">
      <c r="A151">
        <f>all_data!A280</f>
        <v>278</v>
      </c>
      <c r="B151" t="str">
        <f>IF(C151&gt;0,all_data!B280,"")</f>
        <v/>
      </c>
      <c r="C151">
        <f>all_data!C280</f>
        <v>0</v>
      </c>
      <c r="D151">
        <f>all_data!D280</f>
        <v>0</v>
      </c>
      <c r="E151" s="5" t="str">
        <f>all_data!E280</f>
        <v/>
      </c>
      <c r="F151">
        <f>all_data!F280</f>
        <v>0</v>
      </c>
      <c r="H151">
        <f t="shared" si="8"/>
        <v>0</v>
      </c>
      <c r="J151">
        <f t="shared" si="9"/>
        <v>0</v>
      </c>
      <c r="K151">
        <f t="shared" si="10"/>
        <v>0</v>
      </c>
      <c r="L151" s="5" t="str">
        <f t="shared" si="11"/>
        <v/>
      </c>
      <c r="M151">
        <f>all_data!H280</f>
        <v>0</v>
      </c>
      <c r="N151">
        <f>all_data!I280</f>
        <v>0</v>
      </c>
    </row>
    <row r="152" spans="1:14">
      <c r="A152">
        <f>all_data!A281</f>
        <v>279</v>
      </c>
      <c r="B152" t="str">
        <f>IF(C152&gt;0,all_data!B281,"")</f>
        <v/>
      </c>
      <c r="C152">
        <f>all_data!C281</f>
        <v>0</v>
      </c>
      <c r="D152">
        <f>all_data!D281</f>
        <v>0</v>
      </c>
      <c r="E152" s="5" t="str">
        <f>all_data!E281</f>
        <v/>
      </c>
      <c r="F152">
        <f>all_data!F281</f>
        <v>0</v>
      </c>
      <c r="H152">
        <f t="shared" si="8"/>
        <v>0</v>
      </c>
      <c r="J152">
        <f t="shared" si="9"/>
        <v>0</v>
      </c>
      <c r="K152">
        <f t="shared" si="10"/>
        <v>0</v>
      </c>
      <c r="L152" s="5" t="str">
        <f t="shared" si="11"/>
        <v/>
      </c>
      <c r="M152">
        <f>all_data!H281</f>
        <v>0</v>
      </c>
      <c r="N152">
        <f>all_data!I281</f>
        <v>0</v>
      </c>
    </row>
    <row r="153" spans="1:14">
      <c r="A153">
        <f>all_data!A282</f>
        <v>280</v>
      </c>
      <c r="B153" t="str">
        <f>IF(C153&gt;0,all_data!B282,"")</f>
        <v/>
      </c>
      <c r="C153">
        <f>all_data!C282</f>
        <v>0</v>
      </c>
      <c r="D153">
        <f>all_data!D282</f>
        <v>0</v>
      </c>
      <c r="E153" s="5" t="str">
        <f>all_data!E282</f>
        <v/>
      </c>
      <c r="F153">
        <f>all_data!F282</f>
        <v>0</v>
      </c>
      <c r="H153">
        <f t="shared" si="8"/>
        <v>0</v>
      </c>
      <c r="J153">
        <f t="shared" si="9"/>
        <v>0</v>
      </c>
      <c r="K153">
        <f t="shared" si="10"/>
        <v>0</v>
      </c>
      <c r="L153" s="5" t="str">
        <f t="shared" si="11"/>
        <v/>
      </c>
      <c r="M153">
        <f>all_data!H282</f>
        <v>0</v>
      </c>
      <c r="N153">
        <f>all_data!I282</f>
        <v>0</v>
      </c>
    </row>
    <row r="154" spans="1:14">
      <c r="A154">
        <f>all_data!A283</f>
        <v>281</v>
      </c>
      <c r="B154" t="str">
        <f>IF(C154&gt;0,all_data!B283,"")</f>
        <v/>
      </c>
      <c r="C154">
        <f>all_data!C283</f>
        <v>0</v>
      </c>
      <c r="D154">
        <f>all_data!D283</f>
        <v>0</v>
      </c>
      <c r="E154" s="5" t="str">
        <f>all_data!E283</f>
        <v/>
      </c>
      <c r="F154">
        <f>all_data!F283</f>
        <v>0</v>
      </c>
      <c r="H154">
        <f t="shared" si="8"/>
        <v>0</v>
      </c>
      <c r="J154">
        <f t="shared" si="9"/>
        <v>0</v>
      </c>
      <c r="K154">
        <f t="shared" si="10"/>
        <v>0</v>
      </c>
      <c r="L154" s="5" t="str">
        <f t="shared" si="11"/>
        <v/>
      </c>
      <c r="M154">
        <f>all_data!H283</f>
        <v>0</v>
      </c>
      <c r="N154">
        <f>all_data!I283</f>
        <v>0</v>
      </c>
    </row>
    <row r="155" spans="1:14">
      <c r="A155">
        <f>all_data!A284</f>
        <v>282</v>
      </c>
      <c r="B155" t="str">
        <f>IF(C155&gt;0,all_data!B284,"")</f>
        <v/>
      </c>
      <c r="C155">
        <f>all_data!C284</f>
        <v>0</v>
      </c>
      <c r="D155">
        <f>all_data!D284</f>
        <v>0</v>
      </c>
      <c r="E155" s="5" t="str">
        <f>all_data!E284</f>
        <v/>
      </c>
      <c r="F155">
        <f>all_data!F284</f>
        <v>0</v>
      </c>
      <c r="H155">
        <f t="shared" si="8"/>
        <v>0</v>
      </c>
      <c r="J155">
        <f t="shared" si="9"/>
        <v>0</v>
      </c>
      <c r="K155">
        <f t="shared" si="10"/>
        <v>0</v>
      </c>
      <c r="L155" s="5" t="str">
        <f t="shared" si="11"/>
        <v/>
      </c>
      <c r="M155">
        <f>all_data!H284</f>
        <v>0</v>
      </c>
      <c r="N155">
        <f>all_data!I284</f>
        <v>0</v>
      </c>
    </row>
    <row r="156" spans="1:14">
      <c r="A156">
        <f>all_data!A285</f>
        <v>283</v>
      </c>
      <c r="B156" t="str">
        <f>IF(C156&gt;0,all_data!B285,"")</f>
        <v/>
      </c>
      <c r="C156">
        <f>all_data!C285</f>
        <v>0</v>
      </c>
      <c r="D156">
        <f>all_data!D285</f>
        <v>0</v>
      </c>
      <c r="E156" s="5" t="str">
        <f>all_data!E285</f>
        <v/>
      </c>
      <c r="F156">
        <f>all_data!F285</f>
        <v>0</v>
      </c>
      <c r="H156">
        <f t="shared" si="8"/>
        <v>0</v>
      </c>
      <c r="J156">
        <f t="shared" si="9"/>
        <v>0</v>
      </c>
      <c r="K156">
        <f t="shared" si="10"/>
        <v>0</v>
      </c>
      <c r="L156" s="5" t="str">
        <f t="shared" si="11"/>
        <v/>
      </c>
      <c r="M156">
        <f>all_data!H285</f>
        <v>0</v>
      </c>
      <c r="N156">
        <f>all_data!I285</f>
        <v>0</v>
      </c>
    </row>
    <row r="157" spans="1:14">
      <c r="A157">
        <f>all_data!A286</f>
        <v>284</v>
      </c>
      <c r="B157" t="str">
        <f>IF(C157&gt;0,all_data!B286,"")</f>
        <v/>
      </c>
      <c r="C157">
        <f>all_data!C286</f>
        <v>0</v>
      </c>
      <c r="D157">
        <f>all_data!D286</f>
        <v>0</v>
      </c>
      <c r="E157" s="5" t="str">
        <f>all_data!E286</f>
        <v/>
      </c>
      <c r="F157">
        <f>all_data!F286</f>
        <v>0</v>
      </c>
      <c r="H157">
        <f t="shared" si="8"/>
        <v>0</v>
      </c>
      <c r="J157">
        <f t="shared" si="9"/>
        <v>0</v>
      </c>
      <c r="K157">
        <f t="shared" si="10"/>
        <v>0</v>
      </c>
      <c r="L157" s="5" t="str">
        <f t="shared" si="11"/>
        <v/>
      </c>
      <c r="M157">
        <f>all_data!H286</f>
        <v>0</v>
      </c>
      <c r="N157">
        <f>all_data!I286</f>
        <v>0</v>
      </c>
    </row>
    <row r="158" spans="1:14">
      <c r="A158">
        <f>all_data!A287</f>
        <v>285</v>
      </c>
      <c r="B158" t="str">
        <f>IF(C158&gt;0,all_data!B287,"")</f>
        <v/>
      </c>
      <c r="C158">
        <f>all_data!C287</f>
        <v>0</v>
      </c>
      <c r="D158">
        <f>all_data!D287</f>
        <v>0</v>
      </c>
      <c r="E158" s="5" t="str">
        <f>all_data!E287</f>
        <v/>
      </c>
      <c r="F158">
        <f>all_data!F287</f>
        <v>0</v>
      </c>
      <c r="H158">
        <f t="shared" si="8"/>
        <v>0</v>
      </c>
      <c r="J158">
        <f t="shared" si="9"/>
        <v>0</v>
      </c>
      <c r="K158">
        <f t="shared" si="10"/>
        <v>0</v>
      </c>
      <c r="L158" s="5" t="str">
        <f t="shared" si="11"/>
        <v/>
      </c>
      <c r="M158">
        <f>all_data!H287</f>
        <v>0</v>
      </c>
      <c r="N158">
        <f>all_data!I287</f>
        <v>0</v>
      </c>
    </row>
    <row r="159" spans="1:14">
      <c r="A159">
        <f>all_data!A288</f>
        <v>286</v>
      </c>
      <c r="B159" t="str">
        <f>IF(C159&gt;0,all_data!B288,"")</f>
        <v/>
      </c>
      <c r="C159">
        <f>all_data!C288</f>
        <v>0</v>
      </c>
      <c r="D159">
        <f>all_data!D288</f>
        <v>0</v>
      </c>
      <c r="E159" s="5" t="str">
        <f>all_data!E288</f>
        <v/>
      </c>
      <c r="F159">
        <f>all_data!F288</f>
        <v>0</v>
      </c>
      <c r="H159">
        <f t="shared" si="8"/>
        <v>0</v>
      </c>
      <c r="J159">
        <f t="shared" si="9"/>
        <v>0</v>
      </c>
      <c r="K159">
        <f t="shared" si="10"/>
        <v>0</v>
      </c>
      <c r="L159" s="5" t="str">
        <f t="shared" si="11"/>
        <v/>
      </c>
      <c r="M159">
        <f>all_data!H288</f>
        <v>0</v>
      </c>
      <c r="N159">
        <f>all_data!I288</f>
        <v>0</v>
      </c>
    </row>
    <row r="160" spans="1:14">
      <c r="A160">
        <f>all_data!A289</f>
        <v>287</v>
      </c>
      <c r="B160" t="str">
        <f>IF(C160&gt;0,all_data!B289,"")</f>
        <v/>
      </c>
      <c r="C160">
        <f>all_data!C289</f>
        <v>0</v>
      </c>
      <c r="D160">
        <f>all_data!D289</f>
        <v>0</v>
      </c>
      <c r="E160" s="5" t="str">
        <f>all_data!E289</f>
        <v/>
      </c>
      <c r="F160">
        <f>all_data!F289</f>
        <v>0</v>
      </c>
      <c r="H160">
        <f t="shared" si="8"/>
        <v>0</v>
      </c>
      <c r="J160">
        <f t="shared" si="9"/>
        <v>0</v>
      </c>
      <c r="K160">
        <f t="shared" si="10"/>
        <v>0</v>
      </c>
      <c r="L160" s="5" t="str">
        <f t="shared" si="11"/>
        <v/>
      </c>
      <c r="M160">
        <f>all_data!H289</f>
        <v>0</v>
      </c>
      <c r="N160">
        <f>all_data!I289</f>
        <v>0</v>
      </c>
    </row>
    <row r="161" spans="1:14">
      <c r="A161">
        <f>all_data!A290</f>
        <v>288</v>
      </c>
      <c r="B161" t="str">
        <f>IF(C161&gt;0,all_data!B290,"")</f>
        <v/>
      </c>
      <c r="C161">
        <f>all_data!C290</f>
        <v>0</v>
      </c>
      <c r="D161">
        <f>all_data!D290</f>
        <v>0</v>
      </c>
      <c r="E161" s="5" t="str">
        <f>all_data!E290</f>
        <v/>
      </c>
      <c r="F161">
        <f>all_data!F290</f>
        <v>0</v>
      </c>
      <c r="H161">
        <f t="shared" si="8"/>
        <v>0</v>
      </c>
      <c r="J161">
        <f t="shared" si="9"/>
        <v>0</v>
      </c>
      <c r="K161">
        <f t="shared" si="10"/>
        <v>0</v>
      </c>
      <c r="L161" s="5" t="str">
        <f t="shared" si="11"/>
        <v/>
      </c>
      <c r="M161">
        <f>all_data!H290</f>
        <v>0</v>
      </c>
      <c r="N161">
        <f>all_data!I290</f>
        <v>0</v>
      </c>
    </row>
    <row r="162" spans="1:14">
      <c r="A162">
        <f>all_data!A291</f>
        <v>289</v>
      </c>
      <c r="B162" t="str">
        <f>IF(C162&gt;0,all_data!B291,"")</f>
        <v/>
      </c>
      <c r="C162">
        <f>all_data!C291</f>
        <v>0</v>
      </c>
      <c r="D162">
        <f>all_data!D291</f>
        <v>0</v>
      </c>
      <c r="E162" s="5" t="str">
        <f>all_data!E291</f>
        <v/>
      </c>
      <c r="F162">
        <f>all_data!F291</f>
        <v>0</v>
      </c>
      <c r="H162">
        <f t="shared" si="8"/>
        <v>0</v>
      </c>
      <c r="J162">
        <f t="shared" si="9"/>
        <v>0</v>
      </c>
      <c r="K162">
        <f t="shared" si="10"/>
        <v>0</v>
      </c>
      <c r="L162" s="5" t="str">
        <f t="shared" si="11"/>
        <v/>
      </c>
      <c r="M162">
        <f>all_data!H291</f>
        <v>0</v>
      </c>
      <c r="N162">
        <f>all_data!I291</f>
        <v>0</v>
      </c>
    </row>
    <row r="163" spans="1:14">
      <c r="A163">
        <f>all_data!A292</f>
        <v>290</v>
      </c>
      <c r="B163" t="str">
        <f>IF(C163&gt;0,all_data!B292,"")</f>
        <v/>
      </c>
      <c r="C163">
        <f>all_data!C292</f>
        <v>0</v>
      </c>
      <c r="D163">
        <f>all_data!D292</f>
        <v>0</v>
      </c>
      <c r="E163" s="5" t="str">
        <f>all_data!E292</f>
        <v/>
      </c>
      <c r="F163">
        <f>all_data!F292</f>
        <v>0</v>
      </c>
      <c r="H163">
        <f t="shared" si="8"/>
        <v>0</v>
      </c>
      <c r="J163">
        <f t="shared" si="9"/>
        <v>0</v>
      </c>
      <c r="K163">
        <f t="shared" si="10"/>
        <v>0</v>
      </c>
      <c r="L163" s="5" t="str">
        <f t="shared" si="11"/>
        <v/>
      </c>
      <c r="M163">
        <f>all_data!H292</f>
        <v>0</v>
      </c>
      <c r="N163">
        <f>all_data!I292</f>
        <v>0</v>
      </c>
    </row>
    <row r="164" spans="1:14">
      <c r="A164">
        <f>all_data!A293</f>
        <v>291</v>
      </c>
      <c r="B164" t="str">
        <f>IF(C164&gt;0,all_data!B293,"")</f>
        <v/>
      </c>
      <c r="C164">
        <f>all_data!C293</f>
        <v>0</v>
      </c>
      <c r="D164">
        <f>all_data!D293</f>
        <v>0</v>
      </c>
      <c r="E164" s="5" t="str">
        <f>all_data!E293</f>
        <v/>
      </c>
      <c r="F164">
        <f>all_data!F293</f>
        <v>0</v>
      </c>
      <c r="H164">
        <f t="shared" si="8"/>
        <v>0</v>
      </c>
      <c r="J164">
        <f t="shared" si="9"/>
        <v>0</v>
      </c>
      <c r="K164">
        <f t="shared" si="10"/>
        <v>0</v>
      </c>
      <c r="L164" s="5" t="str">
        <f t="shared" si="11"/>
        <v/>
      </c>
      <c r="M164">
        <f>all_data!H293</f>
        <v>0</v>
      </c>
      <c r="N164">
        <f>all_data!I293</f>
        <v>0</v>
      </c>
    </row>
    <row r="165" spans="1:14">
      <c r="A165">
        <f>all_data!A294</f>
        <v>292</v>
      </c>
      <c r="B165" t="str">
        <f>IF(C165&gt;0,all_data!B294,"")</f>
        <v/>
      </c>
      <c r="C165">
        <f>all_data!C294</f>
        <v>0</v>
      </c>
      <c r="D165">
        <f>all_data!D294</f>
        <v>0</v>
      </c>
      <c r="E165" s="5" t="str">
        <f>all_data!E294</f>
        <v/>
      </c>
      <c r="F165">
        <f>all_data!F294</f>
        <v>0</v>
      </c>
      <c r="H165">
        <f t="shared" si="8"/>
        <v>0</v>
      </c>
      <c r="J165">
        <f t="shared" si="9"/>
        <v>0</v>
      </c>
      <c r="K165">
        <f t="shared" si="10"/>
        <v>0</v>
      </c>
      <c r="L165" s="5" t="str">
        <f t="shared" si="11"/>
        <v/>
      </c>
      <c r="M165">
        <f>all_data!H294</f>
        <v>0</v>
      </c>
      <c r="N165">
        <f>all_data!I294</f>
        <v>0</v>
      </c>
    </row>
    <row r="166" spans="1:14">
      <c r="A166">
        <f>all_data!A295</f>
        <v>293</v>
      </c>
      <c r="B166" t="str">
        <f>IF(C166&gt;0,all_data!B295,"")</f>
        <v/>
      </c>
      <c r="C166">
        <f>all_data!C295</f>
        <v>0</v>
      </c>
      <c r="D166">
        <f>all_data!D295</f>
        <v>0</v>
      </c>
      <c r="E166" s="5" t="str">
        <f>all_data!E295</f>
        <v/>
      </c>
      <c r="F166">
        <f>all_data!F295</f>
        <v>0</v>
      </c>
      <c r="H166">
        <f t="shared" si="8"/>
        <v>0</v>
      </c>
      <c r="J166">
        <f t="shared" si="9"/>
        <v>0</v>
      </c>
      <c r="K166">
        <f t="shared" si="10"/>
        <v>0</v>
      </c>
      <c r="L166" s="5" t="str">
        <f t="shared" si="11"/>
        <v/>
      </c>
      <c r="M166">
        <f>all_data!H295</f>
        <v>0</v>
      </c>
      <c r="N166">
        <f>all_data!I295</f>
        <v>0</v>
      </c>
    </row>
    <row r="167" spans="1:14">
      <c r="A167">
        <f>all_data!A296</f>
        <v>294</v>
      </c>
      <c r="B167" t="str">
        <f>IF(C167&gt;0,all_data!B296,"")</f>
        <v/>
      </c>
      <c r="C167">
        <f>all_data!C296</f>
        <v>0</v>
      </c>
      <c r="D167">
        <f>all_data!D296</f>
        <v>0</v>
      </c>
      <c r="E167" s="5" t="str">
        <f>all_data!E296</f>
        <v/>
      </c>
      <c r="F167">
        <f>all_data!F296</f>
        <v>0</v>
      </c>
      <c r="H167">
        <f t="shared" si="8"/>
        <v>0</v>
      </c>
      <c r="J167">
        <f t="shared" si="9"/>
        <v>0</v>
      </c>
      <c r="K167">
        <f t="shared" si="10"/>
        <v>0</v>
      </c>
      <c r="L167" s="5" t="str">
        <f t="shared" si="11"/>
        <v/>
      </c>
      <c r="M167">
        <f>all_data!H296</f>
        <v>0</v>
      </c>
      <c r="N167">
        <f>all_data!I296</f>
        <v>0</v>
      </c>
    </row>
    <row r="168" spans="1:14">
      <c r="A168">
        <f>all_data!A297</f>
        <v>295</v>
      </c>
      <c r="B168" t="str">
        <f>IF(C168&gt;0,all_data!B297,"")</f>
        <v/>
      </c>
      <c r="C168">
        <f>all_data!C297</f>
        <v>0</v>
      </c>
      <c r="D168">
        <f>all_data!D297</f>
        <v>0</v>
      </c>
      <c r="E168" s="5" t="str">
        <f>all_data!E297</f>
        <v/>
      </c>
      <c r="F168">
        <f>all_data!F297</f>
        <v>0</v>
      </c>
      <c r="H168">
        <f t="shared" si="8"/>
        <v>0</v>
      </c>
      <c r="J168">
        <f t="shared" si="9"/>
        <v>0</v>
      </c>
      <c r="K168">
        <f t="shared" si="10"/>
        <v>0</v>
      </c>
      <c r="L168" s="5" t="str">
        <f t="shared" si="11"/>
        <v/>
      </c>
      <c r="M168">
        <f>all_data!H297</f>
        <v>0</v>
      </c>
      <c r="N168">
        <f>all_data!I297</f>
        <v>0</v>
      </c>
    </row>
    <row r="169" spans="1:14">
      <c r="A169">
        <f>all_data!A298</f>
        <v>296</v>
      </c>
      <c r="B169" t="str">
        <f>IF(C169&gt;0,all_data!B298,"")</f>
        <v/>
      </c>
      <c r="C169">
        <f>all_data!C298</f>
        <v>0</v>
      </c>
      <c r="D169">
        <f>all_data!D298</f>
        <v>0</v>
      </c>
      <c r="E169" s="5" t="str">
        <f>all_data!E298</f>
        <v/>
      </c>
      <c r="F169">
        <f>all_data!F298</f>
        <v>0</v>
      </c>
      <c r="H169">
        <f t="shared" si="8"/>
        <v>0</v>
      </c>
      <c r="J169">
        <f t="shared" si="9"/>
        <v>0</v>
      </c>
      <c r="K169">
        <f t="shared" si="10"/>
        <v>0</v>
      </c>
      <c r="L169" s="5" t="str">
        <f t="shared" si="11"/>
        <v/>
      </c>
      <c r="M169">
        <f>all_data!H298</f>
        <v>0</v>
      </c>
      <c r="N169">
        <f>all_data!I298</f>
        <v>0</v>
      </c>
    </row>
    <row r="170" spans="1:14">
      <c r="A170">
        <f>all_data!A299</f>
        <v>297</v>
      </c>
      <c r="B170" t="str">
        <f>IF(C170&gt;0,all_data!B299,"")</f>
        <v/>
      </c>
      <c r="C170">
        <f>all_data!C299</f>
        <v>0</v>
      </c>
      <c r="D170">
        <f>all_data!D299</f>
        <v>0</v>
      </c>
      <c r="E170" s="5" t="str">
        <f>all_data!E299</f>
        <v/>
      </c>
      <c r="F170">
        <f>all_data!F299</f>
        <v>0</v>
      </c>
      <c r="H170">
        <f t="shared" si="8"/>
        <v>0</v>
      </c>
      <c r="J170">
        <f t="shared" si="9"/>
        <v>0</v>
      </c>
      <c r="K170">
        <f t="shared" si="10"/>
        <v>0</v>
      </c>
      <c r="L170" s="5" t="str">
        <f t="shared" si="11"/>
        <v/>
      </c>
      <c r="M170">
        <f>all_data!H299</f>
        <v>0</v>
      </c>
      <c r="N170">
        <f>all_data!I299</f>
        <v>0</v>
      </c>
    </row>
    <row r="171" spans="1:14">
      <c r="A171">
        <f>all_data!A300</f>
        <v>298</v>
      </c>
      <c r="B171" t="str">
        <f>IF(C171&gt;0,all_data!B300,"")</f>
        <v/>
      </c>
      <c r="C171">
        <f>all_data!C300</f>
        <v>0</v>
      </c>
      <c r="D171">
        <f>all_data!D300</f>
        <v>0</v>
      </c>
      <c r="E171" s="5" t="str">
        <f>all_data!E300</f>
        <v/>
      </c>
      <c r="F171">
        <f>all_data!F300</f>
        <v>0</v>
      </c>
      <c r="H171">
        <f t="shared" si="8"/>
        <v>0</v>
      </c>
      <c r="J171">
        <f t="shared" si="9"/>
        <v>0</v>
      </c>
      <c r="K171">
        <f t="shared" si="10"/>
        <v>0</v>
      </c>
      <c r="L171" s="5" t="str">
        <f t="shared" si="11"/>
        <v/>
      </c>
      <c r="M171">
        <f>all_data!H300</f>
        <v>0</v>
      </c>
      <c r="N171">
        <f>all_data!I300</f>
        <v>0</v>
      </c>
    </row>
    <row r="172" spans="1:14">
      <c r="A172">
        <f>all_data!A301</f>
        <v>299</v>
      </c>
      <c r="B172" t="str">
        <f>IF(C172&gt;0,all_data!B301,"")</f>
        <v/>
      </c>
      <c r="C172">
        <f>all_data!C301</f>
        <v>0</v>
      </c>
      <c r="D172">
        <f>all_data!D301</f>
        <v>0</v>
      </c>
      <c r="E172" s="5" t="str">
        <f>all_data!E301</f>
        <v/>
      </c>
      <c r="F172">
        <f>all_data!F301</f>
        <v>0</v>
      </c>
      <c r="H172">
        <f t="shared" si="8"/>
        <v>0</v>
      </c>
      <c r="J172">
        <f t="shared" si="9"/>
        <v>0</v>
      </c>
      <c r="K172">
        <f t="shared" si="10"/>
        <v>0</v>
      </c>
      <c r="L172" s="5" t="str">
        <f t="shared" si="11"/>
        <v/>
      </c>
      <c r="M172">
        <f>all_data!H301</f>
        <v>0</v>
      </c>
      <c r="N172">
        <f>all_data!I301</f>
        <v>0</v>
      </c>
    </row>
    <row r="173" spans="1:14">
      <c r="A173">
        <f>all_data!A302</f>
        <v>300</v>
      </c>
      <c r="B173" t="str">
        <f>IF(C173&gt;0,all_data!B302,"")</f>
        <v/>
      </c>
      <c r="C173">
        <f>all_data!C302</f>
        <v>0</v>
      </c>
      <c r="D173">
        <f>all_data!D302</f>
        <v>0</v>
      </c>
      <c r="E173" s="5" t="str">
        <f>all_data!E302</f>
        <v/>
      </c>
      <c r="F173">
        <f>all_data!F302</f>
        <v>0</v>
      </c>
      <c r="H173">
        <f t="shared" si="8"/>
        <v>0</v>
      </c>
      <c r="J173">
        <f t="shared" si="9"/>
        <v>0</v>
      </c>
      <c r="K173">
        <f t="shared" si="10"/>
        <v>0</v>
      </c>
      <c r="L173" s="5" t="str">
        <f t="shared" si="11"/>
        <v/>
      </c>
      <c r="M173">
        <f>all_data!H302</f>
        <v>0</v>
      </c>
      <c r="N173">
        <f>all_data!I302</f>
        <v>0</v>
      </c>
    </row>
    <row r="174" spans="1:14">
      <c r="A174">
        <f>all_data!A40</f>
        <v>38</v>
      </c>
      <c r="B174" t="str">
        <f>IF(C174&gt;0,all_data!B40,"")</f>
        <v>Solida</v>
      </c>
      <c r="C174">
        <f>all_data!C40</f>
        <v>9.9</v>
      </c>
      <c r="D174">
        <f>all_data!D40</f>
        <v>0</v>
      </c>
      <c r="E174" s="5">
        <f>all_data!E40</f>
        <v>0</v>
      </c>
      <c r="F174">
        <f>all_data!F40</f>
        <v>1</v>
      </c>
      <c r="H174">
        <f t="shared" si="8"/>
        <v>1</v>
      </c>
      <c r="J174">
        <f t="shared" si="9"/>
        <v>0</v>
      </c>
      <c r="K174">
        <f t="shared" si="10"/>
        <v>1</v>
      </c>
      <c r="L174" s="5" t="e">
        <f t="shared" si="11"/>
        <v>#DIV/0!</v>
      </c>
      <c r="M174" t="str">
        <f>all_data!H40</f>
        <v>Ingrid Bierkamp-Nienkarken</v>
      </c>
      <c r="N174">
        <f>all_data!I40</f>
        <v>0</v>
      </c>
    </row>
    <row r="175" spans="1:14">
      <c r="A175">
        <f>all_data!A111</f>
        <v>109</v>
      </c>
      <c r="B175" t="str">
        <f>IF(C175&gt;0,all_data!B111,"")</f>
        <v>Ü-Boot</v>
      </c>
      <c r="C175">
        <f>all_data!C111</f>
        <v>9.8000000000000007</v>
      </c>
      <c r="D175">
        <f>all_data!D111</f>
        <v>0</v>
      </c>
      <c r="E175" s="5">
        <f>all_data!E111</f>
        <v>0</v>
      </c>
      <c r="F175">
        <f>all_data!F111</f>
        <v>1900</v>
      </c>
      <c r="H175">
        <f t="shared" si="8"/>
        <v>1900</v>
      </c>
      <c r="J175">
        <f t="shared" si="9"/>
        <v>0</v>
      </c>
      <c r="K175">
        <f t="shared" si="10"/>
        <v>1900</v>
      </c>
      <c r="L175" s="5" t="e">
        <f t="shared" si="11"/>
        <v>#DIV/0!</v>
      </c>
      <c r="M175" t="str">
        <f>all_data!H111</f>
        <v>Lars Erhard Düring</v>
      </c>
      <c r="N175" t="str">
        <f>all_data!I111</f>
        <v>Wossidlo-Gymnasium</v>
      </c>
    </row>
    <row r="176" spans="1:14">
      <c r="A176">
        <f>all_data!A53</f>
        <v>51</v>
      </c>
      <c r="B176" t="str">
        <f>IF(C176&gt;0,all_data!B53,"")</f>
        <v>Falti der Historyfreak</v>
      </c>
      <c r="C176">
        <f>all_data!C53</f>
        <v>10.3</v>
      </c>
      <c r="D176">
        <f>all_data!D53</f>
        <v>0</v>
      </c>
      <c r="E176" s="5">
        <f>all_data!E53</f>
        <v>0</v>
      </c>
      <c r="F176">
        <f>all_data!F53</f>
        <v>300</v>
      </c>
      <c r="H176">
        <f t="shared" si="8"/>
        <v>0</v>
      </c>
      <c r="J176">
        <f t="shared" si="9"/>
        <v>0</v>
      </c>
      <c r="K176">
        <f t="shared" si="10"/>
        <v>300</v>
      </c>
      <c r="L176" s="5" t="e">
        <f t="shared" si="11"/>
        <v>#DIV/0!</v>
      </c>
      <c r="M176" t="str">
        <f>all_data!H53</f>
        <v>Kjell Schröder</v>
      </c>
      <c r="N176" t="str">
        <f>all_data!I53</f>
        <v>Jungmannschule Eckernförde</v>
      </c>
    </row>
    <row r="177" spans="1:14">
      <c r="A177">
        <f>all_data!A109</f>
        <v>107</v>
      </c>
      <c r="B177" t="str">
        <f>IF(C177&gt;0,all_data!B109,"")</f>
        <v>MS Kargow</v>
      </c>
      <c r="C177">
        <f>all_data!C109</f>
        <v>9.4</v>
      </c>
      <c r="D177">
        <f>all_data!D109</f>
        <v>0</v>
      </c>
      <c r="E177" s="5">
        <f>all_data!E109</f>
        <v>0</v>
      </c>
      <c r="F177">
        <f>all_data!F109</f>
        <v>1800</v>
      </c>
      <c r="H177">
        <f t="shared" si="8"/>
        <v>1800</v>
      </c>
      <c r="J177">
        <f t="shared" si="9"/>
        <v>0</v>
      </c>
      <c r="K177">
        <f t="shared" si="10"/>
        <v>1800</v>
      </c>
      <c r="L177" s="5" t="e">
        <f t="shared" si="11"/>
        <v>#DIV/0!</v>
      </c>
      <c r="M177" t="str">
        <f>all_data!H109</f>
        <v>Maximilian Thurm</v>
      </c>
      <c r="N177" t="str">
        <f>all_data!I109</f>
        <v>Wossidlo-Gymnasium</v>
      </c>
    </row>
    <row r="178" spans="1:14">
      <c r="A178">
        <f>all_data!A59</f>
        <v>57</v>
      </c>
      <c r="B178" t="str">
        <f>IF(C178&gt;0,all_data!B59,"")</f>
        <v>Brjamota</v>
      </c>
      <c r="C178">
        <f>all_data!C59</f>
        <v>5.9</v>
      </c>
      <c r="D178">
        <f>all_data!D59</f>
        <v>0</v>
      </c>
      <c r="E178" s="5">
        <f>all_data!E59</f>
        <v>0</v>
      </c>
      <c r="F178">
        <f>all_data!F59</f>
        <v>600</v>
      </c>
      <c r="H178">
        <f t="shared" si="8"/>
        <v>600</v>
      </c>
      <c r="J178">
        <f t="shared" si="9"/>
        <v>0</v>
      </c>
      <c r="K178">
        <f t="shared" si="10"/>
        <v>600</v>
      </c>
      <c r="L178" s="5" t="e">
        <f t="shared" si="11"/>
        <v>#DIV/0!</v>
      </c>
      <c r="M178" t="str">
        <f>all_data!H59</f>
        <v>Tanja Dreves
Breskel Yosef
Jana Lenz
Moritz Steffens</v>
      </c>
      <c r="N178" t="str">
        <f>all_data!I59</f>
        <v>Bertha von Suttner Schule</v>
      </c>
    </row>
    <row r="179" spans="1:14">
      <c r="A179">
        <f>all_data!A75</f>
        <v>73</v>
      </c>
      <c r="B179" t="str">
        <f>IF(C179&gt;0,all_data!B75,"")</f>
        <v>Bennet</v>
      </c>
      <c r="C179">
        <f>all_data!C75</f>
        <v>9.5</v>
      </c>
      <c r="D179">
        <f>all_data!D75</f>
        <v>0</v>
      </c>
      <c r="E179" s="5">
        <f>all_data!E75</f>
        <v>0</v>
      </c>
      <c r="F179">
        <f>all_data!F75</f>
        <v>1000</v>
      </c>
      <c r="H179">
        <f t="shared" si="8"/>
        <v>1000</v>
      </c>
      <c r="J179">
        <f t="shared" si="9"/>
        <v>0</v>
      </c>
      <c r="K179">
        <f t="shared" si="10"/>
        <v>1000</v>
      </c>
      <c r="L179" s="5" t="e">
        <f t="shared" si="11"/>
        <v>#DIV/0!</v>
      </c>
      <c r="M179" t="str">
        <f>all_data!H75</f>
        <v>Hannes Pries</v>
      </c>
      <c r="N179" t="str">
        <f>all_data!I75</f>
        <v>Jungmannschule Eckernförde</v>
      </c>
    </row>
    <row r="180" spans="1:14">
      <c r="A180">
        <f>all_data!A82</f>
        <v>80</v>
      </c>
      <c r="B180" t="str">
        <f>IF(C180&gt;0,all_data!B82,"")</f>
        <v>Hannes</v>
      </c>
      <c r="C180">
        <f>all_data!C82</f>
        <v>4.0999999999999996</v>
      </c>
      <c r="D180">
        <f>all_data!D82</f>
        <v>0</v>
      </c>
      <c r="E180" s="5">
        <f>all_data!E82</f>
        <v>0</v>
      </c>
      <c r="F180">
        <f>all_data!F82</f>
        <v>1000</v>
      </c>
      <c r="H180">
        <f t="shared" si="8"/>
        <v>1000</v>
      </c>
      <c r="J180">
        <f t="shared" si="9"/>
        <v>0</v>
      </c>
      <c r="K180">
        <f t="shared" si="10"/>
        <v>1000</v>
      </c>
      <c r="L180" s="5" t="e">
        <f t="shared" si="11"/>
        <v>#DIV/0!</v>
      </c>
      <c r="M180" t="str">
        <f>all_data!H82</f>
        <v>Marc
Phillip
Hendrik Meier</v>
      </c>
      <c r="N180" t="str">
        <f>all_data!I82</f>
        <v>Bertha von Suttner Schule</v>
      </c>
    </row>
    <row r="181" spans="1:14">
      <c r="A181">
        <f>all_data!A115</f>
        <v>113</v>
      </c>
      <c r="B181" t="str">
        <f>IF(C181&gt;0,all_data!B115,"")</f>
        <v>H3H7</v>
      </c>
      <c r="C181">
        <f>all_data!C115</f>
        <v>8.1999999999999993</v>
      </c>
      <c r="D181">
        <f>all_data!D115</f>
        <v>0</v>
      </c>
      <c r="E181" s="5">
        <f>all_data!E115</f>
        <v>0</v>
      </c>
      <c r="F181">
        <f>all_data!F115</f>
        <v>2000</v>
      </c>
      <c r="H181">
        <f t="shared" si="8"/>
        <v>2000</v>
      </c>
      <c r="J181">
        <f t="shared" si="9"/>
        <v>0</v>
      </c>
      <c r="K181">
        <f t="shared" si="10"/>
        <v>2000</v>
      </c>
      <c r="L181" s="5" t="e">
        <f t="shared" si="11"/>
        <v>#DIV/0!</v>
      </c>
      <c r="M181" t="str">
        <f>all_data!H115</f>
        <v>Fredy Lüdtke</v>
      </c>
      <c r="N181">
        <f>all_data!I115</f>
        <v>0</v>
      </c>
    </row>
    <row r="182" spans="1:14">
      <c r="A182">
        <f>all_data!A85</f>
        <v>83</v>
      </c>
      <c r="B182" t="str">
        <f>IF(C182&gt;0,all_data!B85,"")</f>
        <v>Le boat de Hannes</v>
      </c>
      <c r="C182">
        <f>all_data!C85</f>
        <v>9.1999999999999993</v>
      </c>
      <c r="D182">
        <f>all_data!D85</f>
        <v>0</v>
      </c>
      <c r="E182" s="5">
        <f>all_data!E85</f>
        <v>0</v>
      </c>
      <c r="F182">
        <f>all_data!F85</f>
        <v>1000</v>
      </c>
      <c r="H182">
        <f t="shared" si="8"/>
        <v>1000</v>
      </c>
      <c r="J182">
        <f t="shared" si="9"/>
        <v>0</v>
      </c>
      <c r="K182">
        <f t="shared" si="10"/>
        <v>1000</v>
      </c>
      <c r="L182" s="5" t="e">
        <f t="shared" si="11"/>
        <v>#DIV/0!</v>
      </c>
      <c r="M182" t="str">
        <f>all_data!H85</f>
        <v>Hannes Lübke</v>
      </c>
      <c r="N182" t="str">
        <f>all_data!I85</f>
        <v>Wossidlo-Gymnasium</v>
      </c>
    </row>
    <row r="183" spans="1:14">
      <c r="A183">
        <f>all_data!A69</f>
        <v>67</v>
      </c>
      <c r="B183" t="str">
        <f>IF(C183&gt;0,all_data!B69,"")</f>
        <v>Kyleyb</v>
      </c>
      <c r="C183">
        <f>all_data!C69</f>
        <v>9.8000000000000007</v>
      </c>
      <c r="D183">
        <f>all_data!D69</f>
        <v>0</v>
      </c>
      <c r="E183" s="5">
        <f>all_data!E69</f>
        <v>0</v>
      </c>
      <c r="F183">
        <f>all_data!F69</f>
        <v>876</v>
      </c>
      <c r="H183">
        <f t="shared" si="8"/>
        <v>876</v>
      </c>
      <c r="J183">
        <f t="shared" si="9"/>
        <v>0</v>
      </c>
      <c r="K183">
        <f t="shared" si="10"/>
        <v>876</v>
      </c>
      <c r="L183" s="5" t="e">
        <f t="shared" si="11"/>
        <v>#DIV/0!</v>
      </c>
      <c r="M183" t="str">
        <f>all_data!H69</f>
        <v>Oliver Meseck
Enis Bilgi
Ramsen Toma</v>
      </c>
      <c r="N183" t="str">
        <f>all_data!I69</f>
        <v>Gymnasium Wellingdorf</v>
      </c>
    </row>
    <row r="184" spans="1:14">
      <c r="A184">
        <f>all_data!A65</f>
        <v>63</v>
      </c>
      <c r="B184" t="str">
        <f>IF(C184&gt;0,all_data!B65,"")</f>
        <v>MS. Schachtel</v>
      </c>
      <c r="C184">
        <f>all_data!C65</f>
        <v>9.8000000000000007</v>
      </c>
      <c r="D184">
        <f>all_data!D65</f>
        <v>0</v>
      </c>
      <c r="E184" s="5">
        <f>all_data!E65</f>
        <v>0</v>
      </c>
      <c r="F184">
        <f>all_data!F65</f>
        <v>752</v>
      </c>
      <c r="H184">
        <f t="shared" si="8"/>
        <v>752</v>
      </c>
      <c r="J184">
        <f t="shared" si="9"/>
        <v>0</v>
      </c>
      <c r="K184">
        <f t="shared" si="10"/>
        <v>752</v>
      </c>
      <c r="L184" s="5" t="e">
        <f t="shared" si="11"/>
        <v>#DIV/0!</v>
      </c>
      <c r="M184" t="str">
        <f>all_data!H65</f>
        <v>Tim Könnecke</v>
      </c>
      <c r="N184" t="str">
        <f>all_data!I65</f>
        <v>Wossidlo-Gymnasium</v>
      </c>
    </row>
    <row r="185" spans="1:14">
      <c r="A185">
        <f>all_data!A98</f>
        <v>96</v>
      </c>
      <c r="B185" t="str">
        <f>IF(C185&gt;0,all_data!B98,"")</f>
        <v>Smoking Hippo</v>
      </c>
      <c r="C185">
        <f>all_data!C98</f>
        <v>9.6</v>
      </c>
      <c r="D185">
        <f>all_data!D98</f>
        <v>0</v>
      </c>
      <c r="E185" s="5">
        <f>all_data!E98</f>
        <v>0</v>
      </c>
      <c r="F185">
        <f>all_data!F98</f>
        <v>1397</v>
      </c>
      <c r="H185">
        <f t="shared" si="8"/>
        <v>1397</v>
      </c>
      <c r="J185">
        <f t="shared" si="9"/>
        <v>0</v>
      </c>
      <c r="K185">
        <f t="shared" si="10"/>
        <v>1397</v>
      </c>
      <c r="L185" s="5" t="e">
        <f t="shared" si="11"/>
        <v>#DIV/0!</v>
      </c>
      <c r="M185" t="str">
        <f>all_data!H98</f>
        <v>Nicola Brüninghoff
Konstantin Baune
Martin Truong</v>
      </c>
      <c r="N185" t="str">
        <f>all_data!I98</f>
        <v>Pascal Gymnasium Münster</v>
      </c>
    </row>
    <row r="186" spans="1:14">
      <c r="A186">
        <f>all_data!A120</f>
        <v>118</v>
      </c>
      <c r="B186" t="str">
        <f>IF(C186&gt;0,all_data!B120,"")</f>
        <v>Taifun</v>
      </c>
      <c r="C186">
        <f>all_data!C120</f>
        <v>10.199999999999999</v>
      </c>
      <c r="D186">
        <f>all_data!D120</f>
        <v>0</v>
      </c>
      <c r="E186" s="5">
        <f>all_data!E120</f>
        <v>0</v>
      </c>
      <c r="F186">
        <f>all_data!F120</f>
        <v>2000</v>
      </c>
      <c r="H186">
        <f t="shared" si="8"/>
        <v>0</v>
      </c>
      <c r="J186">
        <f t="shared" si="9"/>
        <v>0</v>
      </c>
      <c r="K186">
        <f t="shared" si="10"/>
        <v>2000</v>
      </c>
      <c r="L186" s="5" t="e">
        <f t="shared" si="11"/>
        <v>#DIV/0!</v>
      </c>
      <c r="M186" t="str">
        <f>all_data!H120</f>
        <v>Gabriele Lüdtke</v>
      </c>
      <c r="N186">
        <f>all_data!I120</f>
        <v>0</v>
      </c>
    </row>
    <row r="187" spans="1:14">
      <c r="A187">
        <f>all_data!A74</f>
        <v>72</v>
      </c>
      <c r="B187" t="str">
        <f>IF(C187&gt;0,all_data!B74,"")</f>
        <v>Dornauge</v>
      </c>
      <c r="C187">
        <f>all_data!C74</f>
        <v>8.6999999999999993</v>
      </c>
      <c r="D187">
        <f>all_data!D74</f>
        <v>0</v>
      </c>
      <c r="E187" s="5">
        <f>all_data!E74</f>
        <v>0</v>
      </c>
      <c r="F187">
        <f>all_data!F74</f>
        <v>964</v>
      </c>
      <c r="H187">
        <f t="shared" si="8"/>
        <v>964</v>
      </c>
      <c r="J187">
        <f t="shared" si="9"/>
        <v>0</v>
      </c>
      <c r="K187">
        <f t="shared" si="10"/>
        <v>964</v>
      </c>
      <c r="L187" s="5" t="e">
        <f t="shared" si="11"/>
        <v>#DIV/0!</v>
      </c>
      <c r="M187" t="str">
        <f>all_data!H74</f>
        <v>Jonas Arendt</v>
      </c>
      <c r="N187" t="str">
        <f>all_data!I74</f>
        <v>Gymnasium Wellingdorf</v>
      </c>
    </row>
    <row r="188" spans="1:14">
      <c r="A188">
        <f>all_data!A114</f>
        <v>112</v>
      </c>
      <c r="B188" t="str">
        <f>IF(C188&gt;0,all_data!B114,"")</f>
        <v>Falter</v>
      </c>
      <c r="C188">
        <f>all_data!C114</f>
        <v>10.5</v>
      </c>
      <c r="D188">
        <f>all_data!D114</f>
        <v>0</v>
      </c>
      <c r="E188" s="5">
        <f>all_data!E114</f>
        <v>0</v>
      </c>
      <c r="F188">
        <f>all_data!F114</f>
        <v>2000</v>
      </c>
      <c r="H188">
        <f t="shared" si="8"/>
        <v>0</v>
      </c>
      <c r="J188">
        <f t="shared" si="9"/>
        <v>0</v>
      </c>
      <c r="K188">
        <f t="shared" si="10"/>
        <v>2000</v>
      </c>
      <c r="L188" s="5" t="e">
        <f t="shared" si="11"/>
        <v>#DIV/0!</v>
      </c>
      <c r="M188" t="str">
        <f>all_data!H114</f>
        <v>Gabriele Lüdtke</v>
      </c>
      <c r="N188">
        <f>all_data!I114</f>
        <v>0</v>
      </c>
    </row>
    <row r="189" spans="1:14">
      <c r="A189">
        <f>all_data!A110</f>
        <v>108</v>
      </c>
      <c r="B189" t="str">
        <f>IF(C189&gt;0,all_data!B110,"")</f>
        <v>My Fair Lady</v>
      </c>
      <c r="C189">
        <f>all_data!C110</f>
        <v>9.8000000000000007</v>
      </c>
      <c r="D189">
        <f>all_data!D110</f>
        <v>0</v>
      </c>
      <c r="E189" s="5">
        <f>all_data!E110</f>
        <v>0</v>
      </c>
      <c r="F189">
        <f>all_data!F110</f>
        <v>1863</v>
      </c>
      <c r="H189">
        <f t="shared" si="8"/>
        <v>1863</v>
      </c>
      <c r="J189">
        <f t="shared" si="9"/>
        <v>0</v>
      </c>
      <c r="K189">
        <f t="shared" si="10"/>
        <v>1863</v>
      </c>
      <c r="L189" s="5" t="e">
        <f t="shared" si="11"/>
        <v>#DIV/0!</v>
      </c>
      <c r="M189" t="str">
        <f>all_data!H110</f>
        <v>Julia Bernert</v>
      </c>
      <c r="N189" t="str">
        <f>all_data!I110</f>
        <v>Wossidlo-Gymnasium</v>
      </c>
    </row>
    <row r="190" spans="1:14">
      <c r="A190">
        <f>all_data!A130</f>
        <v>128</v>
      </c>
      <c r="B190" t="str">
        <f>IF(C190&gt;0,all_data!B130,"")</f>
        <v>PB10</v>
      </c>
      <c r="C190">
        <f>all_data!C130</f>
        <v>9.8000000000000007</v>
      </c>
      <c r="D190">
        <f>all_data!D130</f>
        <v>0</v>
      </c>
      <c r="E190" s="5">
        <f>all_data!E130</f>
        <v>0</v>
      </c>
      <c r="F190">
        <f>all_data!F130</f>
        <v>2500</v>
      </c>
      <c r="H190">
        <f t="shared" si="8"/>
        <v>2500</v>
      </c>
      <c r="J190">
        <f t="shared" si="9"/>
        <v>0</v>
      </c>
      <c r="K190">
        <f t="shared" si="10"/>
        <v>2500</v>
      </c>
      <c r="L190" s="5" t="e">
        <f t="shared" si="11"/>
        <v>#DIV/0!</v>
      </c>
      <c r="M190" t="str">
        <f>all_data!H130</f>
        <v>Martin Eckermann</v>
      </c>
      <c r="N190">
        <f>all_data!I130</f>
        <v>0</v>
      </c>
    </row>
    <row r="191" spans="1:14">
      <c r="A191">
        <f>all_data!A87</f>
        <v>85</v>
      </c>
      <c r="B191" t="str">
        <f>IF(C191&gt;0,all_data!B87,"")</f>
        <v>Marco Polo</v>
      </c>
      <c r="C191">
        <f>all_data!C87</f>
        <v>8.3000000000000007</v>
      </c>
      <c r="D191">
        <f>all_data!D87</f>
        <v>0</v>
      </c>
      <c r="E191" s="5">
        <f>all_data!E87</f>
        <v>0</v>
      </c>
      <c r="F191">
        <f>all_data!F87</f>
        <v>1000</v>
      </c>
      <c r="H191">
        <f t="shared" si="8"/>
        <v>1000</v>
      </c>
      <c r="J191">
        <f t="shared" si="9"/>
        <v>0</v>
      </c>
      <c r="K191">
        <f t="shared" si="10"/>
        <v>1000</v>
      </c>
      <c r="L191" s="5" t="e">
        <f t="shared" si="11"/>
        <v>#DIV/0!</v>
      </c>
      <c r="M191" t="str">
        <f>all_data!H87</f>
        <v>Gymnasium Donauwörth</v>
      </c>
      <c r="N191" t="str">
        <f>all_data!I87</f>
        <v>Gymnasium Donauwörth</v>
      </c>
    </row>
    <row r="192" spans="1:14">
      <c r="A192">
        <f>all_data!A99</f>
        <v>97</v>
      </c>
      <c r="B192" t="str">
        <f>IF(C192&gt;0,all_data!B99,"")</f>
        <v>Poseidon</v>
      </c>
      <c r="C192">
        <f>all_data!C99</f>
        <v>8.6999999999999993</v>
      </c>
      <c r="D192">
        <f>all_data!D99</f>
        <v>0</v>
      </c>
      <c r="E192" s="5">
        <f>all_data!E99</f>
        <v>0</v>
      </c>
      <c r="F192">
        <f>all_data!F99</f>
        <v>1400</v>
      </c>
      <c r="H192">
        <f t="shared" si="8"/>
        <v>1400</v>
      </c>
      <c r="J192">
        <f t="shared" si="9"/>
        <v>0</v>
      </c>
      <c r="K192">
        <f t="shared" si="10"/>
        <v>1400</v>
      </c>
      <c r="L192" s="5" t="e">
        <f t="shared" si="11"/>
        <v>#DIV/0!</v>
      </c>
      <c r="M192" t="str">
        <f>all_data!H99</f>
        <v>Tobias Tulke</v>
      </c>
      <c r="N192" t="str">
        <f>all_data!I99</f>
        <v>Wossidlo-Gymnasium</v>
      </c>
    </row>
    <row r="193" spans="1:14">
      <c r="A193">
        <f>all_data!A66</f>
        <v>64</v>
      </c>
      <c r="B193" t="str">
        <f>IF(C193&gt;0,all_data!B66,"")</f>
        <v>Derp-Boot!</v>
      </c>
      <c r="C193">
        <f>all_data!C66</f>
        <v>6.8</v>
      </c>
      <c r="D193">
        <f>all_data!D66</f>
        <v>0</v>
      </c>
      <c r="E193" s="5">
        <f>all_data!E66</f>
        <v>0</v>
      </c>
      <c r="F193">
        <f>all_data!F66</f>
        <v>800</v>
      </c>
      <c r="H193">
        <f t="shared" si="8"/>
        <v>800</v>
      </c>
      <c r="J193">
        <f t="shared" si="9"/>
        <v>0</v>
      </c>
      <c r="K193">
        <f t="shared" si="10"/>
        <v>800</v>
      </c>
      <c r="L193" s="5" t="e">
        <f t="shared" si="11"/>
        <v>#DIV/0!</v>
      </c>
      <c r="M193" t="str">
        <f>all_data!H66</f>
        <v>Kilian Rohde</v>
      </c>
      <c r="N193" t="str">
        <f>all_data!I66</f>
        <v>Wossidlo-Gymnasium</v>
      </c>
    </row>
    <row r="194" spans="1:14">
      <c r="A194">
        <f>all_data!A101</f>
        <v>99</v>
      </c>
      <c r="B194" t="str">
        <f>IF(C194&gt;0,all_data!B101,"")</f>
        <v>MS. Langeweile</v>
      </c>
      <c r="C194">
        <f>all_data!C101</f>
        <v>9.8000000000000007</v>
      </c>
      <c r="D194">
        <f>all_data!D101</f>
        <v>0</v>
      </c>
      <c r="E194" s="5">
        <f>all_data!E101</f>
        <v>0</v>
      </c>
      <c r="F194">
        <f>all_data!F101</f>
        <v>1500</v>
      </c>
      <c r="H194">
        <f t="shared" si="8"/>
        <v>1500</v>
      </c>
      <c r="J194">
        <f t="shared" si="9"/>
        <v>0</v>
      </c>
      <c r="K194">
        <f t="shared" si="10"/>
        <v>1500</v>
      </c>
      <c r="L194" s="5" t="e">
        <f t="shared" si="11"/>
        <v>#DIV/0!</v>
      </c>
      <c r="M194" t="str">
        <f>all_data!H101</f>
        <v>Tim Schult</v>
      </c>
      <c r="N194" t="str">
        <f>all_data!I101</f>
        <v>Wossidlo-Gymnasium</v>
      </c>
    </row>
    <row r="195" spans="1:14">
      <c r="A195">
        <f>all_data!A112</f>
        <v>110</v>
      </c>
      <c r="B195" t="str">
        <f>IF(C195&gt;0,all_data!B112,"")</f>
        <v>BINKS</v>
      </c>
      <c r="C195">
        <f>all_data!C112</f>
        <v>9.6</v>
      </c>
      <c r="D195">
        <f>all_data!D112</f>
        <v>0</v>
      </c>
      <c r="E195" s="5">
        <f>all_data!E112</f>
        <v>0</v>
      </c>
      <c r="F195">
        <f>all_data!F112</f>
        <v>2000</v>
      </c>
      <c r="H195">
        <f t="shared" ref="H195:H258" si="12">IF(C195&lt;=10,F195,0)</f>
        <v>2000</v>
      </c>
      <c r="J195">
        <f t="shared" ref="J195:J258" si="13">ABS(D195)</f>
        <v>0</v>
      </c>
      <c r="K195">
        <f t="shared" ref="K195:K258" si="14">ABS(F195)</f>
        <v>2000</v>
      </c>
      <c r="L195" s="5" t="e">
        <f t="shared" ref="L195:L258" si="15">IF(C195=0,"",(ABS(J195-K195))*100/D195)</f>
        <v>#DIV/0!</v>
      </c>
      <c r="M195" t="str">
        <f>all_data!H112</f>
        <v>Laura Groß
Lina Sofie Scholz</v>
      </c>
      <c r="N195" t="str">
        <f>all_data!I112</f>
        <v>Gymnasium Wellingdorf</v>
      </c>
    </row>
    <row r="196" spans="1:14">
      <c r="A196">
        <f>all_data!A116</f>
        <v>114</v>
      </c>
      <c r="B196" t="str">
        <f>IF(C196&gt;0,all_data!B116,"")</f>
        <v>Königswasser B1</v>
      </c>
      <c r="C196">
        <f>all_data!C116</f>
        <v>9.8000000000000007</v>
      </c>
      <c r="D196">
        <f>all_data!D116</f>
        <v>0</v>
      </c>
      <c r="E196" s="5">
        <f>all_data!E116</f>
        <v>0</v>
      </c>
      <c r="F196">
        <f>all_data!F116</f>
        <v>2000</v>
      </c>
      <c r="H196">
        <f t="shared" si="12"/>
        <v>2000</v>
      </c>
      <c r="J196">
        <f t="shared" si="13"/>
        <v>0</v>
      </c>
      <c r="K196">
        <f t="shared" si="14"/>
        <v>2000</v>
      </c>
      <c r="L196" s="5" t="e">
        <f t="shared" si="15"/>
        <v>#DIV/0!</v>
      </c>
      <c r="M196" t="str">
        <f>all_data!H116</f>
        <v>Wolfgang Böttcher</v>
      </c>
      <c r="N196">
        <f>all_data!I116</f>
        <v>0</v>
      </c>
    </row>
    <row r="197" spans="1:14">
      <c r="A197">
        <f>all_data!A60</f>
        <v>58</v>
      </c>
      <c r="B197" t="str">
        <f>IF(C197&gt;0,all_data!B60,"")</f>
        <v>Mein Boot</v>
      </c>
      <c r="C197">
        <f>all_data!C60</f>
        <v>9.8000000000000007</v>
      </c>
      <c r="D197">
        <f>all_data!D60</f>
        <v>0</v>
      </c>
      <c r="E197" s="5">
        <f>all_data!E60</f>
        <v>0</v>
      </c>
      <c r="F197">
        <f>all_data!F60</f>
        <v>600</v>
      </c>
      <c r="H197">
        <f t="shared" si="12"/>
        <v>600</v>
      </c>
      <c r="J197">
        <f t="shared" si="13"/>
        <v>0</v>
      </c>
      <c r="K197">
        <f t="shared" si="14"/>
        <v>600</v>
      </c>
      <c r="L197" s="5" t="e">
        <f t="shared" si="15"/>
        <v>#DIV/0!</v>
      </c>
      <c r="M197" t="str">
        <f>all_data!H60</f>
        <v>Florian Sossou</v>
      </c>
      <c r="N197" t="str">
        <f>all_data!I60</f>
        <v>Gymnasium Wellingdorf</v>
      </c>
    </row>
    <row r="198" spans="1:14">
      <c r="A198">
        <f>all_data!A124</f>
        <v>122</v>
      </c>
      <c r="B198" t="str">
        <f>IF(C198&gt;0,all_data!B124,"")</f>
        <v>Zum Schluss</v>
      </c>
      <c r="C198">
        <f>all_data!C124</f>
        <v>9.8000000000000007</v>
      </c>
      <c r="D198">
        <f>all_data!D124</f>
        <v>0</v>
      </c>
      <c r="E198" s="5">
        <f>all_data!E124</f>
        <v>0</v>
      </c>
      <c r="F198">
        <f>all_data!F124</f>
        <v>2000</v>
      </c>
      <c r="H198">
        <f t="shared" si="12"/>
        <v>2000</v>
      </c>
      <c r="J198">
        <f t="shared" si="13"/>
        <v>0</v>
      </c>
      <c r="K198">
        <f t="shared" si="14"/>
        <v>2000</v>
      </c>
      <c r="L198" s="5" t="e">
        <f t="shared" si="15"/>
        <v>#DIV/0!</v>
      </c>
      <c r="M198" t="str">
        <f>all_data!H124</f>
        <v>Jessika Lüdtke</v>
      </c>
      <c r="N198">
        <f>all_data!I124</f>
        <v>0</v>
      </c>
    </row>
    <row r="199" spans="1:14">
      <c r="A199">
        <f>all_data!A131</f>
        <v>129</v>
      </c>
      <c r="B199" t="str">
        <f>IF(C199&gt;0,all_data!B131,"")</f>
        <v>Jonas</v>
      </c>
      <c r="C199">
        <f>all_data!C131</f>
        <v>9.4</v>
      </c>
      <c r="D199">
        <f>all_data!D131</f>
        <v>0</v>
      </c>
      <c r="E199" s="5">
        <f>all_data!E131</f>
        <v>0</v>
      </c>
      <c r="F199">
        <f>all_data!F131</f>
        <v>2700</v>
      </c>
      <c r="H199">
        <f t="shared" si="12"/>
        <v>2700</v>
      </c>
      <c r="J199">
        <f t="shared" si="13"/>
        <v>0</v>
      </c>
      <c r="K199">
        <f t="shared" si="14"/>
        <v>2700</v>
      </c>
      <c r="L199" s="5" t="e">
        <f t="shared" si="15"/>
        <v>#DIV/0!</v>
      </c>
      <c r="M199" t="str">
        <f>all_data!H131</f>
        <v>Benjamin Wittke</v>
      </c>
      <c r="N199" t="str">
        <f>all_data!I131</f>
        <v>Wossidlo-Gymnasium</v>
      </c>
    </row>
    <row r="200" spans="1:14">
      <c r="A200">
        <f>all_data!A129</f>
        <v>127</v>
      </c>
      <c r="B200" t="str">
        <f>IF(C200&gt;0,all_data!B129,"")</f>
        <v>MS Mississippi</v>
      </c>
      <c r="C200">
        <f>all_data!C129</f>
        <v>9.5</v>
      </c>
      <c r="D200">
        <f>all_data!D129</f>
        <v>0</v>
      </c>
      <c r="E200" s="5">
        <f>all_data!E129</f>
        <v>0</v>
      </c>
      <c r="F200">
        <f>all_data!F129</f>
        <v>2250</v>
      </c>
      <c r="H200">
        <f t="shared" si="12"/>
        <v>2250</v>
      </c>
      <c r="J200">
        <f t="shared" si="13"/>
        <v>0</v>
      </c>
      <c r="K200">
        <f t="shared" si="14"/>
        <v>2250</v>
      </c>
      <c r="L200" s="5" t="e">
        <f t="shared" si="15"/>
        <v>#DIV/0!</v>
      </c>
      <c r="M200" t="str">
        <f>all_data!H129</f>
        <v>Benno Weischer</v>
      </c>
      <c r="N200">
        <f>all_data!I129</f>
        <v>0</v>
      </c>
    </row>
    <row r="201" spans="1:14">
      <c r="A201">
        <f>all_data!A128</f>
        <v>126</v>
      </c>
      <c r="B201" t="str">
        <f>IF(C201&gt;0,all_data!B128,"")</f>
        <v>LINKS</v>
      </c>
      <c r="C201">
        <f>all_data!C128</f>
        <v>9.4</v>
      </c>
      <c r="D201">
        <f>all_data!D128</f>
        <v>0</v>
      </c>
      <c r="E201" s="5">
        <f>all_data!E128</f>
        <v>0</v>
      </c>
      <c r="F201">
        <f>all_data!F128</f>
        <v>2225</v>
      </c>
      <c r="H201">
        <f t="shared" si="12"/>
        <v>2225</v>
      </c>
      <c r="J201">
        <f t="shared" si="13"/>
        <v>0</v>
      </c>
      <c r="K201">
        <f t="shared" si="14"/>
        <v>2225</v>
      </c>
      <c r="L201" s="5" t="e">
        <f t="shared" si="15"/>
        <v>#DIV/0!</v>
      </c>
      <c r="M201" t="str">
        <f>all_data!H128</f>
        <v>Lina Sofie Scholz
Laura Groß</v>
      </c>
      <c r="N201">
        <f>all_data!I128</f>
        <v>0</v>
      </c>
    </row>
    <row r="202" spans="1:14">
      <c r="A202">
        <f>all_data!A64</f>
        <v>62</v>
      </c>
      <c r="B202" t="str">
        <f>IF(C202&gt;0,all_data!B64,"")</f>
        <v>MS Oscar</v>
      </c>
      <c r="C202">
        <f>all_data!C64</f>
        <v>10.5</v>
      </c>
      <c r="D202">
        <f>all_data!D64</f>
        <v>0</v>
      </c>
      <c r="E202" s="5">
        <f>all_data!E64</f>
        <v>0</v>
      </c>
      <c r="F202">
        <f>all_data!F64</f>
        <v>750</v>
      </c>
      <c r="H202">
        <f t="shared" si="12"/>
        <v>0</v>
      </c>
      <c r="J202">
        <f t="shared" si="13"/>
        <v>0</v>
      </c>
      <c r="K202">
        <f t="shared" si="14"/>
        <v>750</v>
      </c>
      <c r="L202" s="5" t="e">
        <f t="shared" si="15"/>
        <v>#DIV/0!</v>
      </c>
      <c r="M202" t="str">
        <f>all_data!H64</f>
        <v>Leon Pecat</v>
      </c>
      <c r="N202" t="str">
        <f>all_data!I64</f>
        <v>Wossidlo-Gymnasium</v>
      </c>
    </row>
    <row r="203" spans="1:14">
      <c r="A203">
        <f>all_data!A72</f>
        <v>70</v>
      </c>
      <c r="B203" t="str">
        <f>IF(C203&gt;0,all_data!B72,"")</f>
        <v>YOLO II</v>
      </c>
      <c r="C203">
        <f>all_data!C72</f>
        <v>6</v>
      </c>
      <c r="D203">
        <f>all_data!D72</f>
        <v>0</v>
      </c>
      <c r="E203" s="5">
        <f>all_data!E72</f>
        <v>0</v>
      </c>
      <c r="F203">
        <f>all_data!F72</f>
        <v>900</v>
      </c>
      <c r="H203">
        <f t="shared" si="12"/>
        <v>900</v>
      </c>
      <c r="J203">
        <f t="shared" si="13"/>
        <v>0</v>
      </c>
      <c r="K203">
        <f t="shared" si="14"/>
        <v>900</v>
      </c>
      <c r="L203" s="5" t="e">
        <f t="shared" si="15"/>
        <v>#DIV/0!</v>
      </c>
      <c r="M203" t="str">
        <f>all_data!H72</f>
        <v>Laura Sophie Nordheim
Melina Daucks
Swantje Geidus</v>
      </c>
      <c r="N203" t="str">
        <f>all_data!I72</f>
        <v>Gymnasium Wellingdorf</v>
      </c>
    </row>
    <row r="204" spans="1:14">
      <c r="A204">
        <f>all_data!A81</f>
        <v>79</v>
      </c>
      <c r="B204" t="str">
        <f>IF(C204&gt;0,all_data!B81,"")</f>
        <v>Hägars Galeere</v>
      </c>
      <c r="C204">
        <f>all_data!C81</f>
        <v>7.4</v>
      </c>
      <c r="D204">
        <f>all_data!D81</f>
        <v>0</v>
      </c>
      <c r="E204" s="5">
        <f>all_data!E81</f>
        <v>0</v>
      </c>
      <c r="F204">
        <f>all_data!F81</f>
        <v>1000</v>
      </c>
      <c r="H204">
        <f t="shared" si="12"/>
        <v>1000</v>
      </c>
      <c r="J204">
        <f t="shared" si="13"/>
        <v>0</v>
      </c>
      <c r="K204">
        <f t="shared" si="14"/>
        <v>1000</v>
      </c>
      <c r="L204" s="5" t="e">
        <f t="shared" si="15"/>
        <v>#DIV/0!</v>
      </c>
      <c r="M204" t="str">
        <f>all_data!H81</f>
        <v>Gymnasium Donauwörth</v>
      </c>
      <c r="N204" t="str">
        <f>all_data!I81</f>
        <v>Gymnasium Donauwörth</v>
      </c>
    </row>
    <row r="205" spans="1:14">
      <c r="A205">
        <f>all_data!A123</f>
        <v>121</v>
      </c>
      <c r="B205" t="str">
        <f>IF(C205&gt;0,all_data!B123,"")</f>
        <v>und weg</v>
      </c>
      <c r="C205">
        <f>all_data!C123</f>
        <v>8.1999999999999993</v>
      </c>
      <c r="D205">
        <f>all_data!D123</f>
        <v>0</v>
      </c>
      <c r="E205" s="5">
        <f>all_data!E123</f>
        <v>0</v>
      </c>
      <c r="F205">
        <f>all_data!F123</f>
        <v>2000</v>
      </c>
      <c r="H205">
        <f t="shared" si="12"/>
        <v>2000</v>
      </c>
      <c r="J205">
        <f t="shared" si="13"/>
        <v>0</v>
      </c>
      <c r="K205">
        <f t="shared" si="14"/>
        <v>2000</v>
      </c>
      <c r="L205" s="5" t="e">
        <f t="shared" si="15"/>
        <v>#DIV/0!</v>
      </c>
      <c r="M205" t="str">
        <f>all_data!H123</f>
        <v>Hartmut Lüdtke</v>
      </c>
      <c r="N205">
        <f>all_data!I123</f>
        <v>0</v>
      </c>
    </row>
    <row r="206" spans="1:14">
      <c r="A206">
        <f>all_data!A73</f>
        <v>71</v>
      </c>
      <c r="B206" t="str">
        <f>IF(C206&gt;0,all_data!B73,"")</f>
        <v>Black Ops III</v>
      </c>
      <c r="C206">
        <f>all_data!C73</f>
        <v>5.0999999999999996</v>
      </c>
      <c r="D206">
        <f>all_data!D73</f>
        <v>0</v>
      </c>
      <c r="E206" s="5">
        <f>all_data!E73</f>
        <v>0</v>
      </c>
      <c r="F206">
        <f>all_data!F73</f>
        <v>950</v>
      </c>
      <c r="H206">
        <f t="shared" si="12"/>
        <v>950</v>
      </c>
      <c r="J206">
        <f t="shared" si="13"/>
        <v>0</v>
      </c>
      <c r="K206">
        <f t="shared" si="14"/>
        <v>950</v>
      </c>
      <c r="L206" s="5" t="e">
        <f t="shared" si="15"/>
        <v>#DIV/0!</v>
      </c>
      <c r="M206" t="str">
        <f>all_data!H73</f>
        <v>Maxi Meuche
Aiman Beggar</v>
      </c>
      <c r="N206" t="str">
        <f>all_data!I73</f>
        <v>Gymnasium Wellingdorf</v>
      </c>
    </row>
    <row r="207" spans="1:14">
      <c r="A207">
        <f>all_data!A107</f>
        <v>105</v>
      </c>
      <c r="B207" t="str">
        <f>IF(C207&gt;0,all_data!B107,"")</f>
        <v>Weisse Rose</v>
      </c>
      <c r="C207">
        <f>all_data!C107</f>
        <v>9.6999999999999993</v>
      </c>
      <c r="D207">
        <f>all_data!D107</f>
        <v>0</v>
      </c>
      <c r="E207" s="5">
        <f>all_data!E107</f>
        <v>0</v>
      </c>
      <c r="F207">
        <f>all_data!F107</f>
        <v>1700</v>
      </c>
      <c r="H207">
        <f t="shared" si="12"/>
        <v>1700</v>
      </c>
      <c r="J207">
        <f t="shared" si="13"/>
        <v>0</v>
      </c>
      <c r="K207">
        <f t="shared" si="14"/>
        <v>1700</v>
      </c>
      <c r="L207" s="5" t="e">
        <f t="shared" si="15"/>
        <v>#DIV/0!</v>
      </c>
      <c r="M207" t="str">
        <f>all_data!H107</f>
        <v>Marius Roggenbuck</v>
      </c>
      <c r="N207" t="str">
        <f>all_data!I107</f>
        <v>Wossidlo-Gymnasium</v>
      </c>
    </row>
    <row r="208" spans="1:14">
      <c r="A208">
        <f>all_data!A113</f>
        <v>111</v>
      </c>
      <c r="B208" t="str">
        <f>IF(C208&gt;0,all_data!B113,"")</f>
        <v>Expendable</v>
      </c>
      <c r="C208">
        <f>all_data!C113</f>
        <v>9.6999999999999993</v>
      </c>
      <c r="D208">
        <f>all_data!D113</f>
        <v>0</v>
      </c>
      <c r="E208" s="5">
        <f>all_data!E113</f>
        <v>0</v>
      </c>
      <c r="F208">
        <f>all_data!F113</f>
        <v>2000</v>
      </c>
      <c r="H208">
        <f t="shared" si="12"/>
        <v>2000</v>
      </c>
      <c r="J208">
        <f t="shared" si="13"/>
        <v>0</v>
      </c>
      <c r="K208">
        <f t="shared" si="14"/>
        <v>2000</v>
      </c>
      <c r="L208" s="5" t="e">
        <f t="shared" si="15"/>
        <v>#DIV/0!</v>
      </c>
      <c r="M208" t="str">
        <f>all_data!H113</f>
        <v>Scott Schneider</v>
      </c>
      <c r="N208" t="str">
        <f>all_data!I113</f>
        <v>Wossidlo-Gymnasium</v>
      </c>
    </row>
    <row r="209" spans="1:14">
      <c r="A209">
        <f>all_data!A71</f>
        <v>69</v>
      </c>
      <c r="B209" t="str">
        <f>IF(C209&gt;0,all_data!B71,"")</f>
        <v>YOLO I</v>
      </c>
      <c r="C209">
        <f>all_data!C71</f>
        <v>9.5</v>
      </c>
      <c r="D209">
        <f>all_data!D71</f>
        <v>0</v>
      </c>
      <c r="E209" s="5">
        <f>all_data!E71</f>
        <v>0</v>
      </c>
      <c r="F209">
        <f>all_data!F71</f>
        <v>900</v>
      </c>
      <c r="H209">
        <f t="shared" si="12"/>
        <v>900</v>
      </c>
      <c r="J209">
        <f t="shared" si="13"/>
        <v>0</v>
      </c>
      <c r="K209">
        <f t="shared" si="14"/>
        <v>900</v>
      </c>
      <c r="L209" s="5" t="e">
        <f t="shared" si="15"/>
        <v>#DIV/0!</v>
      </c>
      <c r="M209" t="str">
        <f>all_data!H71</f>
        <v>Laura Sophie Nordheim
Melina Daucks
Swantje Geidus</v>
      </c>
      <c r="N209" t="str">
        <f>all_data!I71</f>
        <v>Gymnasium Wellingdorf</v>
      </c>
    </row>
    <row r="210" spans="1:14">
      <c r="A210">
        <f>all_data!A103</f>
        <v>101</v>
      </c>
      <c r="B210" t="str">
        <f>IF(C210&gt;0,all_data!B103,"")</f>
        <v>Argo II</v>
      </c>
      <c r="C210">
        <f>all_data!C103</f>
        <v>9.6999999999999993</v>
      </c>
      <c r="D210">
        <f>all_data!D103</f>
        <v>0</v>
      </c>
      <c r="E210" s="5">
        <f>all_data!E103</f>
        <v>0</v>
      </c>
      <c r="F210">
        <f>all_data!F103</f>
        <v>1600</v>
      </c>
      <c r="H210">
        <f t="shared" si="12"/>
        <v>1600</v>
      </c>
      <c r="J210">
        <f t="shared" si="13"/>
        <v>0</v>
      </c>
      <c r="K210">
        <f t="shared" si="14"/>
        <v>1600</v>
      </c>
      <c r="L210" s="5" t="e">
        <f t="shared" si="15"/>
        <v>#DIV/0!</v>
      </c>
      <c r="M210" t="str">
        <f>all_data!H103</f>
        <v>Annika Schatz</v>
      </c>
      <c r="N210" t="str">
        <f>all_data!I103</f>
        <v>Wossidlo-Gymnasium</v>
      </c>
    </row>
    <row r="211" spans="1:14">
      <c r="A211">
        <f>all_data!A97</f>
        <v>95</v>
      </c>
      <c r="B211" t="str">
        <f>IF(C211&gt;0,all_data!B97,"")</f>
        <v>Puzzel 2</v>
      </c>
      <c r="C211">
        <f>all_data!C97</f>
        <v>9.1999999999999993</v>
      </c>
      <c r="D211">
        <f>all_data!D97</f>
        <v>0</v>
      </c>
      <c r="E211" s="5">
        <f>all_data!E97</f>
        <v>0</v>
      </c>
      <c r="F211">
        <f>all_data!F97</f>
        <v>1353</v>
      </c>
      <c r="H211">
        <f t="shared" si="12"/>
        <v>1353</v>
      </c>
      <c r="J211">
        <f t="shared" si="13"/>
        <v>0</v>
      </c>
      <c r="K211">
        <f t="shared" si="14"/>
        <v>1353</v>
      </c>
      <c r="L211" s="5" t="e">
        <f t="shared" si="15"/>
        <v>#DIV/0!</v>
      </c>
      <c r="M211" t="str">
        <f>all_data!H97</f>
        <v>Leonhard Stork</v>
      </c>
      <c r="N211" t="str">
        <f>all_data!I97</f>
        <v>Wossidlo-Gymnasium</v>
      </c>
    </row>
    <row r="212" spans="1:14">
      <c r="A212">
        <f>all_data!A126</f>
        <v>124</v>
      </c>
      <c r="B212" t="str">
        <f>IF(C212&gt;0,all_data!B126,"")</f>
        <v>Neptun</v>
      </c>
      <c r="C212">
        <f>all_data!C126</f>
        <v>10</v>
      </c>
      <c r="D212">
        <f>all_data!D126</f>
        <v>0</v>
      </c>
      <c r="E212" s="5">
        <f>all_data!E126</f>
        <v>0</v>
      </c>
      <c r="F212">
        <f>all_data!F126</f>
        <v>2100</v>
      </c>
      <c r="H212">
        <f t="shared" si="12"/>
        <v>2100</v>
      </c>
      <c r="J212">
        <f t="shared" si="13"/>
        <v>0</v>
      </c>
      <c r="K212">
        <f t="shared" si="14"/>
        <v>2100</v>
      </c>
      <c r="L212" s="5" t="e">
        <f t="shared" si="15"/>
        <v>#DIV/0!</v>
      </c>
      <c r="M212" t="str">
        <f>all_data!H126</f>
        <v>Benjamin Wittke</v>
      </c>
      <c r="N212" t="str">
        <f>all_data!I126</f>
        <v>Wossidlo-Gymnasium</v>
      </c>
    </row>
    <row r="213" spans="1:14">
      <c r="A213">
        <f>all_data!A61</f>
        <v>59</v>
      </c>
      <c r="B213" t="str">
        <f>IF(C213&gt;0,all_data!B61,"")</f>
        <v>Junior</v>
      </c>
      <c r="C213">
        <f>all_data!C61</f>
        <v>6.4</v>
      </c>
      <c r="D213">
        <f>all_data!D61</f>
        <v>0</v>
      </c>
      <c r="E213" s="5">
        <f>all_data!E61</f>
        <v>0</v>
      </c>
      <c r="F213">
        <f>all_data!F61</f>
        <v>648</v>
      </c>
      <c r="H213">
        <f t="shared" si="12"/>
        <v>648</v>
      </c>
      <c r="J213">
        <f t="shared" si="13"/>
        <v>0</v>
      </c>
      <c r="K213">
        <f t="shared" si="14"/>
        <v>648</v>
      </c>
      <c r="L213" s="5" t="e">
        <f t="shared" si="15"/>
        <v>#DIV/0!</v>
      </c>
      <c r="M213" t="str">
        <f>all_data!H61</f>
        <v>Jendrik Nase
Kevin Cao</v>
      </c>
      <c r="N213" t="str">
        <f>all_data!I61</f>
        <v>Gymnasium Wellingdorf</v>
      </c>
    </row>
    <row r="214" spans="1:14">
      <c r="A214">
        <f>all_data!A70</f>
        <v>68</v>
      </c>
      <c r="B214" t="str">
        <f>IF(C214&gt;0,all_data!B70,"")</f>
        <v>Dunkelroter Oktober</v>
      </c>
      <c r="C214">
        <f>all_data!C70</f>
        <v>10</v>
      </c>
      <c r="D214">
        <f>all_data!D70</f>
        <v>0</v>
      </c>
      <c r="E214" s="5">
        <f>all_data!E70</f>
        <v>0</v>
      </c>
      <c r="F214">
        <f>all_data!F70</f>
        <v>900</v>
      </c>
      <c r="H214">
        <f t="shared" si="12"/>
        <v>900</v>
      </c>
      <c r="J214">
        <f t="shared" si="13"/>
        <v>0</v>
      </c>
      <c r="K214">
        <f t="shared" si="14"/>
        <v>900</v>
      </c>
      <c r="L214" s="5" t="e">
        <f t="shared" si="15"/>
        <v>#DIV/0!</v>
      </c>
      <c r="M214" t="str">
        <f>all_data!H70</f>
        <v>Lukas Lindow</v>
      </c>
      <c r="N214" t="str">
        <f>all_data!I70</f>
        <v>Wossidlo-Gymnasium</v>
      </c>
    </row>
    <row r="215" spans="1:14">
      <c r="A215">
        <f>all_data!A86</f>
        <v>84</v>
      </c>
      <c r="B215" t="str">
        <f>IF(C215&gt;0,all_data!B86,"")</f>
        <v>LKS</v>
      </c>
      <c r="C215">
        <f>all_data!C86</f>
        <v>10</v>
      </c>
      <c r="D215">
        <f>all_data!D86</f>
        <v>0</v>
      </c>
      <c r="E215" s="5">
        <f>all_data!E86</f>
        <v>0</v>
      </c>
      <c r="F215">
        <f>all_data!F86</f>
        <v>1000</v>
      </c>
      <c r="H215">
        <f t="shared" si="12"/>
        <v>1000</v>
      </c>
      <c r="J215">
        <f t="shared" si="13"/>
        <v>0</v>
      </c>
      <c r="K215">
        <f t="shared" si="14"/>
        <v>1000</v>
      </c>
      <c r="L215" s="5" t="e">
        <f t="shared" si="15"/>
        <v>#DIV/0!</v>
      </c>
      <c r="M215" t="str">
        <f>all_data!H86</f>
        <v>Gymnasium Donauwörth</v>
      </c>
      <c r="N215" t="str">
        <f>all_data!I86</f>
        <v>Gymnasium Donauwörth</v>
      </c>
    </row>
    <row r="216" spans="1:14">
      <c r="A216">
        <f>all_data!A88</f>
        <v>86</v>
      </c>
      <c r="B216" t="str">
        <f>IF(C216&gt;0,all_data!B88,"")</f>
        <v>MEGGIE I</v>
      </c>
      <c r="C216">
        <f>all_data!C88</f>
        <v>8.9</v>
      </c>
      <c r="D216">
        <f>all_data!D88</f>
        <v>0</v>
      </c>
      <c r="E216" s="5">
        <f>all_data!E88</f>
        <v>0</v>
      </c>
      <c r="F216">
        <f>all_data!F88</f>
        <v>1000</v>
      </c>
      <c r="H216">
        <f t="shared" si="12"/>
        <v>1000</v>
      </c>
      <c r="J216">
        <f t="shared" si="13"/>
        <v>0</v>
      </c>
      <c r="K216">
        <f t="shared" si="14"/>
        <v>1000</v>
      </c>
      <c r="L216" s="5" t="e">
        <f t="shared" si="15"/>
        <v>#DIV/0!</v>
      </c>
      <c r="M216" t="str">
        <f>all_data!H88</f>
        <v>Mattis Elwert
Annika Block
Nina Baumann</v>
      </c>
      <c r="N216" t="str">
        <f>all_data!I88</f>
        <v>Gymnasium Wellingdorf</v>
      </c>
    </row>
    <row r="217" spans="1:14">
      <c r="A217">
        <f>all_data!A125</f>
        <v>123</v>
      </c>
      <c r="B217" t="str">
        <f>IF(C217&gt;0,all_data!B125,"")</f>
        <v>Zum Schößchen</v>
      </c>
      <c r="C217">
        <f>all_data!C125</f>
        <v>8.6999999999999993</v>
      </c>
      <c r="D217">
        <f>all_data!D125</f>
        <v>0</v>
      </c>
      <c r="E217" s="5">
        <f>all_data!E125</f>
        <v>0</v>
      </c>
      <c r="F217">
        <f>all_data!F125</f>
        <v>2000</v>
      </c>
      <c r="H217">
        <f t="shared" si="12"/>
        <v>2000</v>
      </c>
      <c r="J217">
        <f t="shared" si="13"/>
        <v>0</v>
      </c>
      <c r="K217">
        <f t="shared" si="14"/>
        <v>2000</v>
      </c>
      <c r="L217" s="5" t="e">
        <f t="shared" si="15"/>
        <v>#DIV/0!</v>
      </c>
      <c r="M217" t="str">
        <f>all_data!H125</f>
        <v>Jessika Lüdtke</v>
      </c>
      <c r="N217">
        <f>all_data!I125</f>
        <v>0</v>
      </c>
    </row>
    <row r="218" spans="1:14">
      <c r="A218">
        <f>all_data!A57</f>
        <v>55</v>
      </c>
      <c r="B218" t="str">
        <f>IF(C218&gt;0,all_data!B57,"")</f>
        <v>Gummibärchen</v>
      </c>
      <c r="C218">
        <f>all_data!C57</f>
        <v>10</v>
      </c>
      <c r="D218">
        <f>all_data!D57</f>
        <v>0</v>
      </c>
      <c r="E218" s="5">
        <f>all_data!E57</f>
        <v>0</v>
      </c>
      <c r="F218">
        <f>all_data!F57</f>
        <v>500</v>
      </c>
      <c r="H218">
        <f t="shared" si="12"/>
        <v>500</v>
      </c>
      <c r="J218">
        <f t="shared" si="13"/>
        <v>0</v>
      </c>
      <c r="K218">
        <f t="shared" si="14"/>
        <v>500</v>
      </c>
      <c r="L218" s="5" t="e">
        <f t="shared" si="15"/>
        <v>#DIV/0!</v>
      </c>
      <c r="M218" t="str">
        <f>all_data!H57</f>
        <v>Janne Catharina Carstensen
Hande Eyicalis</v>
      </c>
      <c r="N218" t="str">
        <f>all_data!I57</f>
        <v>Gymnasium Wellingdorf</v>
      </c>
    </row>
    <row r="219" spans="1:14">
      <c r="A219">
        <f>all_data!A84</f>
        <v>82</v>
      </c>
      <c r="B219" t="str">
        <f>IF(C219&gt;0,all_data!B84,"")</f>
        <v>JSM-XXL</v>
      </c>
      <c r="C219">
        <f>all_data!C84</f>
        <v>10.7</v>
      </c>
      <c r="D219">
        <f>all_data!D84</f>
        <v>0</v>
      </c>
      <c r="E219" s="5">
        <f>all_data!E84</f>
        <v>0</v>
      </c>
      <c r="F219">
        <f>all_data!F84</f>
        <v>1000</v>
      </c>
      <c r="H219">
        <f t="shared" si="12"/>
        <v>0</v>
      </c>
      <c r="J219">
        <f t="shared" si="13"/>
        <v>0</v>
      </c>
      <c r="K219">
        <f t="shared" si="14"/>
        <v>1000</v>
      </c>
      <c r="L219" s="5" t="e">
        <f t="shared" si="15"/>
        <v>#DIV/0!</v>
      </c>
      <c r="M219" t="str">
        <f>all_data!H84</f>
        <v>Gymnasium Donauwörth</v>
      </c>
      <c r="N219" t="str">
        <f>all_data!I84</f>
        <v>Gymnasium Donauwörth</v>
      </c>
    </row>
    <row r="220" spans="1:14">
      <c r="A220">
        <f>all_data!A90</f>
        <v>88</v>
      </c>
      <c r="B220" t="str">
        <f>IF(C220&gt;0,all_data!B90,"")</f>
        <v>S.S. Christofzik</v>
      </c>
      <c r="C220">
        <f>all_data!C90</f>
        <v>9.6999999999999993</v>
      </c>
      <c r="D220">
        <f>all_data!D90</f>
        <v>0</v>
      </c>
      <c r="E220" s="5">
        <f>all_data!E90</f>
        <v>0</v>
      </c>
      <c r="F220">
        <f>all_data!F90</f>
        <v>1000</v>
      </c>
      <c r="H220">
        <f t="shared" si="12"/>
        <v>1000</v>
      </c>
      <c r="J220">
        <f t="shared" si="13"/>
        <v>0</v>
      </c>
      <c r="K220">
        <f t="shared" si="14"/>
        <v>1000</v>
      </c>
      <c r="L220" s="5" t="e">
        <f t="shared" si="15"/>
        <v>#DIV/0!</v>
      </c>
      <c r="M220" t="str">
        <f>all_data!H90</f>
        <v>Sascha Christofzik</v>
      </c>
      <c r="N220" t="str">
        <f>all_data!I90</f>
        <v>Wossidlo-Gymnasium</v>
      </c>
    </row>
    <row r="221" spans="1:14">
      <c r="A221">
        <f>all_data!A137</f>
        <v>135</v>
      </c>
      <c r="B221" t="str">
        <f>IF(C221&gt;0,all_data!B137,"")</f>
        <v>Bodo</v>
      </c>
      <c r="C221">
        <f>all_data!C137</f>
        <v>11</v>
      </c>
      <c r="D221">
        <f>all_data!D137</f>
        <v>0</v>
      </c>
      <c r="E221" s="5">
        <f>all_data!E137</f>
        <v>0</v>
      </c>
      <c r="F221">
        <f>all_data!F137</f>
        <v>4500</v>
      </c>
      <c r="H221">
        <f t="shared" si="12"/>
        <v>0</v>
      </c>
      <c r="J221">
        <f t="shared" si="13"/>
        <v>0</v>
      </c>
      <c r="K221">
        <f t="shared" si="14"/>
        <v>4500</v>
      </c>
      <c r="L221" s="5" t="e">
        <f t="shared" si="15"/>
        <v>#DIV/0!</v>
      </c>
      <c r="M221" t="str">
        <f>all_data!H137</f>
        <v>Bodo Jackstell</v>
      </c>
      <c r="N221">
        <f>all_data!I137</f>
        <v>0</v>
      </c>
    </row>
    <row r="222" spans="1:14">
      <c r="A222">
        <f>all_data!A106</f>
        <v>104</v>
      </c>
      <c r="B222" t="str">
        <f>IF(C222&gt;0,all_data!B106,"")</f>
        <v>MS. Evalt</v>
      </c>
      <c r="C222">
        <f>all_data!C106</f>
        <v>9.6999999999999993</v>
      </c>
      <c r="D222">
        <f>all_data!D106</f>
        <v>0</v>
      </c>
      <c r="E222" s="5">
        <f>all_data!E106</f>
        <v>0</v>
      </c>
      <c r="F222">
        <f>all_data!F106</f>
        <v>1700</v>
      </c>
      <c r="H222">
        <f t="shared" si="12"/>
        <v>1700</v>
      </c>
      <c r="J222">
        <f t="shared" si="13"/>
        <v>0</v>
      </c>
      <c r="K222">
        <f t="shared" si="14"/>
        <v>1700</v>
      </c>
      <c r="L222" s="5" t="e">
        <f t="shared" si="15"/>
        <v>#DIV/0!</v>
      </c>
      <c r="M222" t="str">
        <f>all_data!H106</f>
        <v>Peter Brand</v>
      </c>
      <c r="N222" t="str">
        <f>all_data!I106</f>
        <v>Wossidlo-Gymnasium</v>
      </c>
    </row>
    <row r="223" spans="1:14">
      <c r="A223">
        <f>all_data!A100</f>
        <v>98</v>
      </c>
      <c r="B223" t="str">
        <f>IF(C223&gt;0,all_data!B100,"")</f>
        <v>You Oush</v>
      </c>
      <c r="C223">
        <f>all_data!C100</f>
        <v>9.5</v>
      </c>
      <c r="D223">
        <f>all_data!D100</f>
        <v>0</v>
      </c>
      <c r="E223" s="5">
        <f>all_data!E100</f>
        <v>0</v>
      </c>
      <c r="F223">
        <f>all_data!F100</f>
        <v>1400</v>
      </c>
      <c r="H223">
        <f t="shared" si="12"/>
        <v>1400</v>
      </c>
      <c r="J223">
        <f t="shared" si="13"/>
        <v>0</v>
      </c>
      <c r="K223">
        <f t="shared" si="14"/>
        <v>1400</v>
      </c>
      <c r="L223" s="5" t="e">
        <f t="shared" si="15"/>
        <v>#DIV/0!</v>
      </c>
      <c r="M223" t="str">
        <f>all_data!H100</f>
        <v>Willi Karberg</v>
      </c>
      <c r="N223" t="str">
        <f>all_data!I100</f>
        <v>Wossidlo-Gymnasium</v>
      </c>
    </row>
    <row r="224" spans="1:14">
      <c r="A224">
        <f>all_data!A117</f>
        <v>115</v>
      </c>
      <c r="B224" t="str">
        <f>IF(C224&gt;0,all_data!B117,"")</f>
        <v>Max</v>
      </c>
      <c r="C224">
        <f>all_data!C117</f>
        <v>8.6</v>
      </c>
      <c r="D224">
        <f>all_data!D117</f>
        <v>0</v>
      </c>
      <c r="E224" s="5">
        <f>all_data!E117</f>
        <v>0</v>
      </c>
      <c r="F224">
        <f>all_data!F117</f>
        <v>2000</v>
      </c>
      <c r="H224">
        <f t="shared" si="12"/>
        <v>2000</v>
      </c>
      <c r="J224">
        <f t="shared" si="13"/>
        <v>0</v>
      </c>
      <c r="K224">
        <f t="shared" si="14"/>
        <v>2000</v>
      </c>
      <c r="L224" s="5" t="e">
        <f t="shared" si="15"/>
        <v>#DIV/0!</v>
      </c>
      <c r="M224" t="str">
        <f>all_data!H117</f>
        <v>Marlene Lüdtke</v>
      </c>
      <c r="N224">
        <f>all_data!I117</f>
        <v>0</v>
      </c>
    </row>
    <row r="225" spans="1:14">
      <c r="A225">
        <f>all_data!A95</f>
        <v>93</v>
      </c>
      <c r="B225" t="str">
        <f>IF(C225&gt;0,all_data!B95,"")</f>
        <v>Padnoaktnbhoct!</v>
      </c>
      <c r="C225">
        <f>all_data!C95</f>
        <v>5.3</v>
      </c>
      <c r="D225">
        <f>all_data!D95</f>
        <v>0</v>
      </c>
      <c r="E225" s="5">
        <f>all_data!E95</f>
        <v>0</v>
      </c>
      <c r="F225">
        <f>all_data!F95</f>
        <v>1300</v>
      </c>
      <c r="H225">
        <f t="shared" si="12"/>
        <v>1300</v>
      </c>
      <c r="J225">
        <f t="shared" si="13"/>
        <v>0</v>
      </c>
      <c r="K225">
        <f t="shared" si="14"/>
        <v>1300</v>
      </c>
      <c r="L225" s="5" t="e">
        <f t="shared" si="15"/>
        <v>#DIV/0!</v>
      </c>
      <c r="M225" t="str">
        <f>all_data!H95</f>
        <v>Tim Henning</v>
      </c>
      <c r="N225" t="str">
        <f>all_data!I95</f>
        <v>Wossidlo-Gymnasium</v>
      </c>
    </row>
    <row r="226" spans="1:14">
      <c r="A226">
        <f>all_data!A105</f>
        <v>103</v>
      </c>
      <c r="B226" t="str">
        <f>IF(C226&gt;0,all_data!B105,"")</f>
        <v>Octopussy</v>
      </c>
      <c r="C226">
        <f>all_data!C105</f>
        <v>9.8000000000000007</v>
      </c>
      <c r="D226">
        <f>all_data!D105</f>
        <v>0</v>
      </c>
      <c r="E226" s="5">
        <f>all_data!E105</f>
        <v>0</v>
      </c>
      <c r="F226">
        <f>all_data!F105</f>
        <v>1673</v>
      </c>
      <c r="H226">
        <f t="shared" si="12"/>
        <v>1673</v>
      </c>
      <c r="J226">
        <f t="shared" si="13"/>
        <v>0</v>
      </c>
      <c r="K226">
        <f t="shared" si="14"/>
        <v>1673</v>
      </c>
      <c r="L226" s="5" t="e">
        <f t="shared" si="15"/>
        <v>#DIV/0!</v>
      </c>
      <c r="M226" t="str">
        <f>all_data!H105</f>
        <v>Marie-Christin Kostow</v>
      </c>
      <c r="N226" t="str">
        <f>all_data!I105</f>
        <v>Wossidlo-Gymnasium</v>
      </c>
    </row>
    <row r="227" spans="1:14">
      <c r="A227">
        <f>all_data!A108</f>
        <v>106</v>
      </c>
      <c r="B227" t="str">
        <f>IF(C227&gt;0,all_data!B108,"")</f>
        <v>DAT</v>
      </c>
      <c r="C227">
        <f>all_data!C108</f>
        <v>10.199999999999999</v>
      </c>
      <c r="D227">
        <f>all_data!D108</f>
        <v>0</v>
      </c>
      <c r="E227" s="5">
        <f>all_data!E108</f>
        <v>0</v>
      </c>
      <c r="F227">
        <f>all_data!F108</f>
        <v>1800</v>
      </c>
      <c r="H227">
        <f t="shared" si="12"/>
        <v>0</v>
      </c>
      <c r="J227">
        <f t="shared" si="13"/>
        <v>0</v>
      </c>
      <c r="K227">
        <f t="shared" si="14"/>
        <v>1800</v>
      </c>
      <c r="L227" s="5" t="e">
        <f t="shared" si="15"/>
        <v>#DIV/0!</v>
      </c>
      <c r="M227" t="str">
        <f>all_data!H108</f>
        <v>Trong-Dat Dinh</v>
      </c>
      <c r="N227" t="str">
        <f>all_data!I108</f>
        <v>Wossidlo-Gymnasium</v>
      </c>
    </row>
    <row r="228" spans="1:14">
      <c r="A228">
        <f>all_data!A104</f>
        <v>102</v>
      </c>
      <c r="B228" t="str">
        <f>IF(C228&gt;0,all_data!B104,"")</f>
        <v>HMS Maretania</v>
      </c>
      <c r="C228">
        <f>all_data!C104</f>
        <v>9.9</v>
      </c>
      <c r="D228">
        <f>all_data!D104</f>
        <v>0</v>
      </c>
      <c r="E228" s="5">
        <f>all_data!E104</f>
        <v>0</v>
      </c>
      <c r="F228">
        <f>all_data!F104</f>
        <v>1600</v>
      </c>
      <c r="H228">
        <f t="shared" si="12"/>
        <v>1600</v>
      </c>
      <c r="J228">
        <f t="shared" si="13"/>
        <v>0</v>
      </c>
      <c r="K228">
        <f t="shared" si="14"/>
        <v>1600</v>
      </c>
      <c r="L228" s="5" t="e">
        <f t="shared" si="15"/>
        <v>#DIV/0!</v>
      </c>
      <c r="M228" t="str">
        <f>all_data!H104</f>
        <v>Ludwig Stenzel</v>
      </c>
      <c r="N228" t="str">
        <f>all_data!I104</f>
        <v>Wossidlo-Gymnasium</v>
      </c>
    </row>
    <row r="229" spans="1:14">
      <c r="A229">
        <f>all_data!A121</f>
        <v>119</v>
      </c>
      <c r="B229" t="str">
        <f>IF(C229&gt;0,all_data!B121,"")</f>
        <v>Top</v>
      </c>
      <c r="C229">
        <f>all_data!C121</f>
        <v>9.5</v>
      </c>
      <c r="D229">
        <f>all_data!D121</f>
        <v>0</v>
      </c>
      <c r="E229" s="5">
        <f>all_data!E121</f>
        <v>0</v>
      </c>
      <c r="F229">
        <f>all_data!F121</f>
        <v>2000</v>
      </c>
      <c r="H229">
        <f t="shared" si="12"/>
        <v>2000</v>
      </c>
      <c r="J229">
        <f t="shared" si="13"/>
        <v>0</v>
      </c>
      <c r="K229">
        <f t="shared" si="14"/>
        <v>2000</v>
      </c>
      <c r="L229" s="5" t="e">
        <f t="shared" si="15"/>
        <v>#DIV/0!</v>
      </c>
      <c r="M229" t="str">
        <f>all_data!H121</f>
        <v>Tom Kuhl</v>
      </c>
      <c r="N229" t="str">
        <f>all_data!I121</f>
        <v>Ernst-Abbe-Gymnasium</v>
      </c>
    </row>
    <row r="230" spans="1:14">
      <c r="A230">
        <f>all_data!A78</f>
        <v>76</v>
      </c>
      <c r="B230" t="str">
        <f>IF(C230&gt;0,all_data!B78,"")</f>
        <v>CHARON</v>
      </c>
      <c r="C230">
        <f>all_data!C78</f>
        <v>9.6999999999999993</v>
      </c>
      <c r="D230">
        <f>all_data!D78</f>
        <v>0</v>
      </c>
      <c r="E230" s="5">
        <f>all_data!E78</f>
        <v>0</v>
      </c>
      <c r="F230">
        <f>all_data!F78</f>
        <v>1000</v>
      </c>
      <c r="H230">
        <f t="shared" si="12"/>
        <v>1000</v>
      </c>
      <c r="J230">
        <f t="shared" si="13"/>
        <v>0</v>
      </c>
      <c r="K230">
        <f t="shared" si="14"/>
        <v>1000</v>
      </c>
      <c r="L230" s="5" t="e">
        <f t="shared" si="15"/>
        <v>#DIV/0!</v>
      </c>
      <c r="M230" t="str">
        <f>all_data!H78</f>
        <v>Gymnasium Donauwörth</v>
      </c>
      <c r="N230" t="str">
        <f>all_data!I78</f>
        <v>Gymnasium Donauwörth</v>
      </c>
    </row>
    <row r="231" spans="1:14">
      <c r="A231">
        <f>all_data!A68</f>
        <v>66</v>
      </c>
      <c r="B231" t="str">
        <f>IF(C231&gt;0,all_data!B68,"")</f>
        <v>Las Americas</v>
      </c>
      <c r="C231">
        <f>all_data!C68</f>
        <v>9.9</v>
      </c>
      <c r="D231">
        <f>all_data!D68</f>
        <v>0</v>
      </c>
      <c r="E231" s="5">
        <f>all_data!E68</f>
        <v>0</v>
      </c>
      <c r="F231">
        <f>all_data!F68</f>
        <v>800</v>
      </c>
      <c r="H231">
        <f t="shared" si="12"/>
        <v>800</v>
      </c>
      <c r="J231">
        <f t="shared" si="13"/>
        <v>0</v>
      </c>
      <c r="K231">
        <f t="shared" si="14"/>
        <v>800</v>
      </c>
      <c r="L231" s="5" t="e">
        <f t="shared" si="15"/>
        <v>#DIV/0!</v>
      </c>
      <c r="M231" t="str">
        <f>all_data!H68</f>
        <v>René Scheiermann</v>
      </c>
      <c r="N231" t="str">
        <f>all_data!I68</f>
        <v>Wossidlo-Gymnasium</v>
      </c>
    </row>
    <row r="232" spans="1:14">
      <c r="A232">
        <f>all_data!A118</f>
        <v>116</v>
      </c>
      <c r="B232" t="str">
        <f>IF(C232&gt;0,all_data!B118,"")</f>
        <v>Moritz</v>
      </c>
      <c r="C232">
        <f>all_data!C118</f>
        <v>10</v>
      </c>
      <c r="D232">
        <f>all_data!D118</f>
        <v>0</v>
      </c>
      <c r="E232" s="5">
        <f>all_data!E118</f>
        <v>0</v>
      </c>
      <c r="F232">
        <f>all_data!F118</f>
        <v>2000</v>
      </c>
      <c r="H232">
        <f t="shared" si="12"/>
        <v>2000</v>
      </c>
      <c r="J232">
        <f t="shared" si="13"/>
        <v>0</v>
      </c>
      <c r="K232">
        <f t="shared" si="14"/>
        <v>2000</v>
      </c>
      <c r="L232" s="5" t="e">
        <f t="shared" si="15"/>
        <v>#DIV/0!</v>
      </c>
      <c r="M232" t="str">
        <f>all_data!H118</f>
        <v>Marlene Lüdtke</v>
      </c>
      <c r="N232">
        <f>all_data!I118</f>
        <v>0</v>
      </c>
    </row>
    <row r="233" spans="1:14">
      <c r="A233">
        <f>all_data!A119</f>
        <v>117</v>
      </c>
      <c r="B233" t="str">
        <f>IF(C233&gt;0,all_data!B119,"")</f>
        <v>N1H7</v>
      </c>
      <c r="C233">
        <f>all_data!C119</f>
        <v>8.6999999999999993</v>
      </c>
      <c r="D233">
        <f>all_data!D119</f>
        <v>0</v>
      </c>
      <c r="E233" s="5">
        <f>all_data!E119</f>
        <v>0</v>
      </c>
      <c r="F233">
        <f>all_data!F119</f>
        <v>2000</v>
      </c>
      <c r="H233">
        <f t="shared" si="12"/>
        <v>2000</v>
      </c>
      <c r="J233">
        <f t="shared" si="13"/>
        <v>0</v>
      </c>
      <c r="K233">
        <f t="shared" si="14"/>
        <v>2000</v>
      </c>
      <c r="L233" s="5" t="e">
        <f t="shared" si="15"/>
        <v>#DIV/0!</v>
      </c>
      <c r="M233" t="str">
        <f>all_data!H119</f>
        <v>Fredy Lüdtke</v>
      </c>
      <c r="N233">
        <f>all_data!I119</f>
        <v>0</v>
      </c>
    </row>
    <row r="234" spans="1:14">
      <c r="A234">
        <f>all_data!A94</f>
        <v>92</v>
      </c>
      <c r="B234" t="str">
        <f>IF(C234&gt;0,all_data!B94,"")</f>
        <v>Black Pearl</v>
      </c>
      <c r="C234">
        <f>all_data!C94</f>
        <v>10.5</v>
      </c>
      <c r="D234">
        <f>all_data!D94</f>
        <v>0</v>
      </c>
      <c r="E234" s="5">
        <f>all_data!E94</f>
        <v>0</v>
      </c>
      <c r="F234">
        <f>all_data!F94</f>
        <v>1300</v>
      </c>
      <c r="H234">
        <f t="shared" si="12"/>
        <v>0</v>
      </c>
      <c r="J234">
        <f t="shared" si="13"/>
        <v>0</v>
      </c>
      <c r="K234">
        <f t="shared" si="14"/>
        <v>1300</v>
      </c>
      <c r="L234" s="5" t="e">
        <f t="shared" si="15"/>
        <v>#DIV/0!</v>
      </c>
      <c r="M234" t="str">
        <f>all_data!H94</f>
        <v>Henning Venohr</v>
      </c>
      <c r="N234" t="str">
        <f>all_data!I94</f>
        <v>Wossidlo-Gymnasium</v>
      </c>
    </row>
    <row r="235" spans="1:14">
      <c r="A235">
        <f>all_data!A102</f>
        <v>100</v>
      </c>
      <c r="B235" t="str">
        <f>IF(C235&gt;0,all_data!B102,"")</f>
        <v>Planktonium</v>
      </c>
      <c r="C235">
        <f>all_data!C102</f>
        <v>8.3000000000000007</v>
      </c>
      <c r="D235">
        <f>all_data!D102</f>
        <v>0</v>
      </c>
      <c r="E235" s="5">
        <f>all_data!E102</f>
        <v>0</v>
      </c>
      <c r="F235">
        <f>all_data!F102</f>
        <v>1500</v>
      </c>
      <c r="H235">
        <f t="shared" si="12"/>
        <v>1500</v>
      </c>
      <c r="J235">
        <f t="shared" si="13"/>
        <v>0</v>
      </c>
      <c r="K235">
        <f t="shared" si="14"/>
        <v>1500</v>
      </c>
      <c r="L235" s="5" t="e">
        <f t="shared" si="15"/>
        <v>#DIV/0!</v>
      </c>
      <c r="M235" t="str">
        <f>all_data!H102</f>
        <v>Sebastian Stork</v>
      </c>
      <c r="N235" t="str">
        <f>all_data!I102</f>
        <v>Wossidlo-Gymnasium</v>
      </c>
    </row>
    <row r="236" spans="1:14">
      <c r="A236">
        <f>all_data!A93</f>
        <v>91</v>
      </c>
      <c r="B236" t="str">
        <f>IF(C236&gt;0,all_data!B93,"")</f>
        <v>MS Downstairs</v>
      </c>
      <c r="C236">
        <f>all_data!C93</f>
        <v>10</v>
      </c>
      <c r="D236">
        <f>all_data!D93</f>
        <v>0</v>
      </c>
      <c r="E236" s="5">
        <f>all_data!E93</f>
        <v>0</v>
      </c>
      <c r="F236">
        <f>all_data!F93</f>
        <v>1200</v>
      </c>
      <c r="H236">
        <f t="shared" si="12"/>
        <v>1200</v>
      </c>
      <c r="J236">
        <f t="shared" si="13"/>
        <v>0</v>
      </c>
      <c r="K236">
        <f t="shared" si="14"/>
        <v>1200</v>
      </c>
      <c r="L236" s="5" t="e">
        <f t="shared" si="15"/>
        <v>#DIV/0!</v>
      </c>
      <c r="M236" t="str">
        <f>all_data!H93</f>
        <v>Jonas Groth</v>
      </c>
      <c r="N236" t="str">
        <f>all_data!I93</f>
        <v>Wossidlo-Gymnasium</v>
      </c>
    </row>
    <row r="237" spans="1:14">
      <c r="A237">
        <f>all_data!A134</f>
        <v>132</v>
      </c>
      <c r="B237" t="str">
        <f>IF(C237&gt;0,all_data!B134,"")</f>
        <v>PB02</v>
      </c>
      <c r="C237">
        <f>all_data!C134</f>
        <v>10</v>
      </c>
      <c r="D237">
        <f>all_data!D134</f>
        <v>0</v>
      </c>
      <c r="E237" s="5">
        <f>all_data!E134</f>
        <v>0</v>
      </c>
      <c r="F237">
        <f>all_data!F134</f>
        <v>3200</v>
      </c>
      <c r="H237">
        <f t="shared" si="12"/>
        <v>3200</v>
      </c>
      <c r="J237">
        <f t="shared" si="13"/>
        <v>0</v>
      </c>
      <c r="K237">
        <f t="shared" si="14"/>
        <v>3200</v>
      </c>
      <c r="L237" s="5" t="e">
        <f t="shared" si="15"/>
        <v>#DIV/0!</v>
      </c>
      <c r="M237" t="str">
        <f>all_data!H134</f>
        <v>Martin Eckermann</v>
      </c>
      <c r="N237">
        <f>all_data!I134</f>
        <v>0</v>
      </c>
    </row>
    <row r="238" spans="1:14">
      <c r="A238">
        <f>all_data!A89</f>
        <v>87</v>
      </c>
      <c r="B238" t="str">
        <f>IF(C238&gt;0,all_data!B89,"")</f>
        <v>MS Unglaublich</v>
      </c>
      <c r="C238">
        <f>all_data!C89</f>
        <v>9.6999999999999993</v>
      </c>
      <c r="D238">
        <f>all_data!D89</f>
        <v>0</v>
      </c>
      <c r="E238" s="5">
        <f>all_data!E89</f>
        <v>0</v>
      </c>
      <c r="F238">
        <f>all_data!F89</f>
        <v>1000</v>
      </c>
      <c r="H238">
        <f t="shared" si="12"/>
        <v>1000</v>
      </c>
      <c r="J238">
        <f t="shared" si="13"/>
        <v>0</v>
      </c>
      <c r="K238">
        <f t="shared" si="14"/>
        <v>1000</v>
      </c>
      <c r="L238" s="5" t="e">
        <f t="shared" si="15"/>
        <v>#DIV/0!</v>
      </c>
      <c r="M238" t="str">
        <f>all_data!H89</f>
        <v>Gymnasium Donauwörth</v>
      </c>
      <c r="N238" t="str">
        <f>all_data!I89</f>
        <v>Gymnasium Donauwörth</v>
      </c>
    </row>
    <row r="239" spans="1:14">
      <c r="A239">
        <f>all_data!A62</f>
        <v>60</v>
      </c>
      <c r="B239" t="str">
        <f>IF(C239&gt;0,all_data!B62,"")</f>
        <v>BLUB</v>
      </c>
      <c r="C239">
        <f>all_data!C62</f>
        <v>5.3</v>
      </c>
      <c r="D239">
        <f>all_data!D62</f>
        <v>0</v>
      </c>
      <c r="E239" s="5">
        <f>all_data!E62</f>
        <v>0</v>
      </c>
      <c r="F239">
        <f>all_data!F62</f>
        <v>660</v>
      </c>
      <c r="H239">
        <f t="shared" si="12"/>
        <v>660</v>
      </c>
      <c r="J239">
        <f t="shared" si="13"/>
        <v>0</v>
      </c>
      <c r="K239">
        <f t="shared" si="14"/>
        <v>660</v>
      </c>
      <c r="L239" s="5" t="e">
        <f t="shared" si="15"/>
        <v>#DIV/0!</v>
      </c>
      <c r="M239" t="str">
        <f>all_data!H62</f>
        <v>Sofia Derevyanskaya
Celine Kloske</v>
      </c>
      <c r="N239" t="str">
        <f>all_data!I62</f>
        <v>Gymnasium Wellingdorf</v>
      </c>
    </row>
    <row r="240" spans="1:14">
      <c r="A240">
        <f>all_data!A50</f>
        <v>48</v>
      </c>
      <c r="B240" t="str">
        <f>IF(C240&gt;0,all_data!B50,"")</f>
        <v>Hong Nga 2</v>
      </c>
      <c r="C240">
        <f>all_data!C50</f>
        <v>7.1</v>
      </c>
      <c r="D240">
        <f>all_data!D50</f>
        <v>0</v>
      </c>
      <c r="E240" s="5">
        <f>all_data!E50</f>
        <v>0</v>
      </c>
      <c r="F240">
        <f>all_data!F50</f>
        <v>200</v>
      </c>
      <c r="H240">
        <f t="shared" si="12"/>
        <v>200</v>
      </c>
      <c r="J240">
        <f t="shared" si="13"/>
        <v>0</v>
      </c>
      <c r="K240">
        <f t="shared" si="14"/>
        <v>200</v>
      </c>
      <c r="L240" s="5" t="e">
        <f t="shared" si="15"/>
        <v>#DIV/0!</v>
      </c>
      <c r="M240" t="str">
        <f>all_data!H50</f>
        <v>Hong Nga Ly</v>
      </c>
      <c r="N240" t="str">
        <f>all_data!I50</f>
        <v>Athenaueum Stade</v>
      </c>
    </row>
    <row r="241" spans="1:14">
      <c r="A241">
        <f>all_data!A79</f>
        <v>77</v>
      </c>
      <c r="B241" t="str">
        <f>IF(C241&gt;0,all_data!B79,"")</f>
        <v>Donau-Dampfer</v>
      </c>
      <c r="C241">
        <f>all_data!C79</f>
        <v>9.1999999999999993</v>
      </c>
      <c r="D241">
        <f>all_data!D79</f>
        <v>0</v>
      </c>
      <c r="E241" s="5">
        <f>all_data!E79</f>
        <v>0</v>
      </c>
      <c r="F241">
        <f>all_data!F79</f>
        <v>1000</v>
      </c>
      <c r="H241">
        <f t="shared" si="12"/>
        <v>1000</v>
      </c>
      <c r="J241">
        <f t="shared" si="13"/>
        <v>0</v>
      </c>
      <c r="K241">
        <f t="shared" si="14"/>
        <v>1000</v>
      </c>
      <c r="L241" s="5" t="e">
        <f t="shared" si="15"/>
        <v>#DIV/0!</v>
      </c>
      <c r="M241" t="str">
        <f>all_data!H79</f>
        <v>Gymnasium Donauwörth</v>
      </c>
      <c r="N241" t="str">
        <f>all_data!I79</f>
        <v>Gymnasium Donauwörth</v>
      </c>
    </row>
    <row r="242" spans="1:14">
      <c r="A242">
        <f>all_data!A83</f>
        <v>81</v>
      </c>
      <c r="B242" t="str">
        <f>IF(C242&gt;0,all_data!B83,"")</f>
        <v>HAWK</v>
      </c>
      <c r="C242">
        <f>all_data!C83</f>
        <v>10</v>
      </c>
      <c r="D242">
        <f>all_data!D83</f>
        <v>0</v>
      </c>
      <c r="E242" s="5">
        <f>all_data!E83</f>
        <v>0</v>
      </c>
      <c r="F242">
        <f>all_data!F83</f>
        <v>1000</v>
      </c>
      <c r="H242">
        <f t="shared" si="12"/>
        <v>1000</v>
      </c>
      <c r="J242">
        <f t="shared" si="13"/>
        <v>0</v>
      </c>
      <c r="K242">
        <f t="shared" si="14"/>
        <v>1000</v>
      </c>
      <c r="L242" s="5" t="e">
        <f t="shared" si="15"/>
        <v>#DIV/0!</v>
      </c>
      <c r="M242" t="str">
        <f>all_data!H83</f>
        <v>Gymnasium Donauwörth</v>
      </c>
      <c r="N242" t="str">
        <f>all_data!I83</f>
        <v>Gymnasium Donauwörth</v>
      </c>
    </row>
    <row r="243" spans="1:14">
      <c r="A243">
        <f>all_data!A80</f>
        <v>78</v>
      </c>
      <c r="B243" t="str">
        <f>IF(C243&gt;0,all_data!B80,"")</f>
        <v>Donauwörther Nussschale</v>
      </c>
      <c r="C243">
        <f>all_data!C80</f>
        <v>9.5</v>
      </c>
      <c r="D243">
        <f>all_data!D80</f>
        <v>0</v>
      </c>
      <c r="E243" s="5">
        <f>all_data!E80</f>
        <v>0</v>
      </c>
      <c r="F243">
        <f>all_data!F80</f>
        <v>1000</v>
      </c>
      <c r="H243">
        <f t="shared" si="12"/>
        <v>1000</v>
      </c>
      <c r="J243">
        <f t="shared" si="13"/>
        <v>0</v>
      </c>
      <c r="K243">
        <f t="shared" si="14"/>
        <v>1000</v>
      </c>
      <c r="L243" s="5" t="e">
        <f t="shared" si="15"/>
        <v>#DIV/0!</v>
      </c>
      <c r="M243" t="str">
        <f>all_data!H80</f>
        <v>Gymnasium Donauwörth</v>
      </c>
      <c r="N243" t="str">
        <f>all_data!I80</f>
        <v>Gymnasium Donauwörth</v>
      </c>
    </row>
    <row r="244" spans="1:14">
      <c r="A244">
        <f>all_data!A92</f>
        <v>90</v>
      </c>
      <c r="B244" t="str">
        <f>IF(C244&gt;0,all_data!B92,"")</f>
        <v>Das sichere Schiff</v>
      </c>
      <c r="C244">
        <f>all_data!C92</f>
        <v>14</v>
      </c>
      <c r="D244">
        <f>all_data!D92</f>
        <v>0</v>
      </c>
      <c r="E244" s="5">
        <f>all_data!E92</f>
        <v>0</v>
      </c>
      <c r="F244">
        <f>all_data!F92</f>
        <v>1200</v>
      </c>
      <c r="H244">
        <f t="shared" si="12"/>
        <v>0</v>
      </c>
      <c r="J244">
        <f t="shared" si="13"/>
        <v>0</v>
      </c>
      <c r="K244">
        <f t="shared" si="14"/>
        <v>1200</v>
      </c>
      <c r="L244" s="5" t="e">
        <f t="shared" si="15"/>
        <v>#DIV/0!</v>
      </c>
      <c r="M244" t="str">
        <f>all_data!H92</f>
        <v>Jacob Starkoff</v>
      </c>
      <c r="N244" t="str">
        <f>all_data!I92</f>
        <v>Wossidlo-Gymnasium</v>
      </c>
    </row>
    <row r="245" spans="1:14">
      <c r="A245">
        <f>all_data!A67</f>
        <v>65</v>
      </c>
      <c r="B245" t="str">
        <f>IF(C245&gt;0,all_data!B67,"")</f>
        <v>Drachenboot</v>
      </c>
      <c r="C245">
        <f>all_data!C67</f>
        <v>7.2</v>
      </c>
      <c r="D245">
        <f>all_data!D67</f>
        <v>0</v>
      </c>
      <c r="E245" s="5">
        <f>all_data!E67</f>
        <v>0</v>
      </c>
      <c r="F245">
        <f>all_data!F67</f>
        <v>800</v>
      </c>
      <c r="H245">
        <f t="shared" si="12"/>
        <v>800</v>
      </c>
      <c r="J245">
        <f t="shared" si="13"/>
        <v>0</v>
      </c>
      <c r="K245">
        <f t="shared" si="14"/>
        <v>800</v>
      </c>
      <c r="L245" s="5" t="e">
        <f t="shared" si="15"/>
        <v>#DIV/0!</v>
      </c>
      <c r="M245" t="str">
        <f>all_data!H67</f>
        <v>Philip Pinnow</v>
      </c>
      <c r="N245" t="str">
        <f>all_data!I67</f>
        <v>Wossidlo-Gymnasium</v>
      </c>
    </row>
    <row r="246" spans="1:14">
      <c r="A246">
        <f>all_data!A56</f>
        <v>54</v>
      </c>
      <c r="B246" t="str">
        <f>IF(C246&gt;0,all_data!B56,"")</f>
        <v>1002</v>
      </c>
      <c r="C246">
        <f>all_data!C56</f>
        <v>10</v>
      </c>
      <c r="D246">
        <f>all_data!D56</f>
        <v>0</v>
      </c>
      <c r="E246" s="5">
        <f>all_data!E56</f>
        <v>0</v>
      </c>
      <c r="F246">
        <f>all_data!F56</f>
        <v>500</v>
      </c>
      <c r="H246">
        <f t="shared" si="12"/>
        <v>500</v>
      </c>
      <c r="J246">
        <f t="shared" si="13"/>
        <v>0</v>
      </c>
      <c r="K246">
        <f t="shared" si="14"/>
        <v>500</v>
      </c>
      <c r="L246" s="5" t="e">
        <f t="shared" si="15"/>
        <v>#DIV/0!</v>
      </c>
      <c r="M246" t="str">
        <f>all_data!H56</f>
        <v>Katrin Schad</v>
      </c>
      <c r="N246" t="str">
        <f>all_data!I56</f>
        <v>Ernst-Abbe-Gymnasium</v>
      </c>
    </row>
    <row r="247" spans="1:14">
      <c r="A247">
        <f>all_data!A48</f>
        <v>46</v>
      </c>
      <c r="B247" t="str">
        <f>IF(C247&gt;0,all_data!B48,"")</f>
        <v>Bloody Marry</v>
      </c>
      <c r="C247">
        <f>all_data!C48</f>
        <v>9.3000000000000007</v>
      </c>
      <c r="D247">
        <f>all_data!D48</f>
        <v>0</v>
      </c>
      <c r="E247" s="5">
        <f>all_data!E48</f>
        <v>0</v>
      </c>
      <c r="F247">
        <f>all_data!F48</f>
        <v>200</v>
      </c>
      <c r="H247">
        <f t="shared" si="12"/>
        <v>200</v>
      </c>
      <c r="J247">
        <f t="shared" si="13"/>
        <v>0</v>
      </c>
      <c r="K247">
        <f t="shared" si="14"/>
        <v>200</v>
      </c>
      <c r="L247" s="5" t="e">
        <f t="shared" si="15"/>
        <v>#DIV/0!</v>
      </c>
      <c r="M247" t="str">
        <f>all_data!H48</f>
        <v>Emilia Weritsch
Veronika Wilhelm
Agata Brzeska</v>
      </c>
      <c r="N247">
        <f>all_data!I48</f>
        <v>0</v>
      </c>
    </row>
    <row r="248" spans="1:14">
      <c r="A248">
        <f>all_data!A77</f>
        <v>75</v>
      </c>
      <c r="B248" t="str">
        <f>IF(C248&gt;0,all_data!B77,"")</f>
        <v>Bismark III</v>
      </c>
      <c r="C248">
        <f>all_data!C77</f>
        <v>9.5</v>
      </c>
      <c r="D248">
        <f>all_data!D77</f>
        <v>0</v>
      </c>
      <c r="E248" s="5">
        <f>all_data!E77</f>
        <v>0</v>
      </c>
      <c r="F248">
        <f>all_data!F77</f>
        <v>1000</v>
      </c>
      <c r="H248">
        <f t="shared" si="12"/>
        <v>1000</v>
      </c>
      <c r="J248">
        <f t="shared" si="13"/>
        <v>0</v>
      </c>
      <c r="K248">
        <f t="shared" si="14"/>
        <v>1000</v>
      </c>
      <c r="L248" s="5" t="e">
        <f t="shared" si="15"/>
        <v>#DIV/0!</v>
      </c>
      <c r="M248" t="str">
        <f>all_data!H77</f>
        <v>Christoph Stern</v>
      </c>
      <c r="N248" t="str">
        <f>all_data!I77</f>
        <v>Wossidlo-Gymnasium</v>
      </c>
    </row>
    <row r="249" spans="1:14">
      <c r="A249">
        <f>all_data!A76</f>
        <v>74</v>
      </c>
      <c r="B249" t="str">
        <f>IF(C249&gt;0,all_data!B76,"")</f>
        <v>Bismarck I</v>
      </c>
      <c r="C249">
        <f>all_data!C76</f>
        <v>9.9</v>
      </c>
      <c r="D249">
        <f>all_data!D76</f>
        <v>0</v>
      </c>
      <c r="E249" s="5">
        <f>all_data!E76</f>
        <v>0</v>
      </c>
      <c r="F249">
        <f>all_data!F76</f>
        <v>1000</v>
      </c>
      <c r="H249">
        <f t="shared" si="12"/>
        <v>1000</v>
      </c>
      <c r="J249">
        <f t="shared" si="13"/>
        <v>0</v>
      </c>
      <c r="K249">
        <f t="shared" si="14"/>
        <v>1000</v>
      </c>
      <c r="L249" s="5" t="e">
        <f t="shared" si="15"/>
        <v>#DIV/0!</v>
      </c>
      <c r="M249" t="str">
        <f>all_data!H76</f>
        <v>Lukas Balle</v>
      </c>
      <c r="N249" t="str">
        <f>all_data!I76</f>
        <v>Ernst-Abbe-Gymnasium</v>
      </c>
    </row>
    <row r="250" spans="1:14">
      <c r="A250">
        <f>all_data!A122</f>
        <v>120</v>
      </c>
      <c r="B250" t="str">
        <f>IF(C250&gt;0,all_data!B122,"")</f>
        <v>und da</v>
      </c>
      <c r="C250">
        <f>all_data!C122</f>
        <v>8.3000000000000007</v>
      </c>
      <c r="D250">
        <f>all_data!D122</f>
        <v>0</v>
      </c>
      <c r="E250" s="5">
        <f>all_data!E122</f>
        <v>0</v>
      </c>
      <c r="F250">
        <f>all_data!F122</f>
        <v>2000</v>
      </c>
      <c r="H250">
        <f t="shared" si="12"/>
        <v>2000</v>
      </c>
      <c r="J250">
        <f t="shared" si="13"/>
        <v>0</v>
      </c>
      <c r="K250">
        <f t="shared" si="14"/>
        <v>2000</v>
      </c>
      <c r="L250" s="5" t="e">
        <f t="shared" si="15"/>
        <v>#DIV/0!</v>
      </c>
      <c r="M250" t="str">
        <f>all_data!H122</f>
        <v>Hartmut Lüdtke</v>
      </c>
      <c r="N250">
        <f>all_data!I122</f>
        <v>0</v>
      </c>
    </row>
    <row r="251" spans="1:14">
      <c r="A251">
        <f>all_data!A96</f>
        <v>94</v>
      </c>
      <c r="B251" t="str">
        <f>IF(C251&gt;0,all_data!B96,"")</f>
        <v>MS Raid</v>
      </c>
      <c r="C251">
        <f>all_data!C96</f>
        <v>8.4</v>
      </c>
      <c r="D251">
        <f>all_data!D96</f>
        <v>0</v>
      </c>
      <c r="E251" s="5">
        <f>all_data!E96</f>
        <v>0</v>
      </c>
      <c r="F251">
        <f>all_data!F96</f>
        <v>1350</v>
      </c>
      <c r="H251">
        <f t="shared" si="12"/>
        <v>1350</v>
      </c>
      <c r="J251">
        <f t="shared" si="13"/>
        <v>0</v>
      </c>
      <c r="K251">
        <f t="shared" si="14"/>
        <v>1350</v>
      </c>
      <c r="L251" s="5" t="e">
        <f t="shared" si="15"/>
        <v>#DIV/0!</v>
      </c>
      <c r="M251" t="str">
        <f>all_data!H96</f>
        <v>Robin Paul Staroske</v>
      </c>
      <c r="N251" t="str">
        <f>all_data!I96</f>
        <v>Wossidlo-Gymnasium</v>
      </c>
    </row>
    <row r="252" spans="1:14">
      <c r="A252">
        <f>all_data!A54</f>
        <v>52</v>
      </c>
      <c r="B252" t="str">
        <f>IF(C252&gt;0,all_data!B54,"")</f>
        <v>zig-zag</v>
      </c>
      <c r="C252">
        <f>all_data!C54</f>
        <v>10.1</v>
      </c>
      <c r="D252">
        <f>all_data!D54</f>
        <v>0</v>
      </c>
      <c r="E252" s="5">
        <f>all_data!E54</f>
        <v>0</v>
      </c>
      <c r="F252">
        <f>all_data!F54</f>
        <v>300</v>
      </c>
      <c r="H252">
        <f t="shared" si="12"/>
        <v>0</v>
      </c>
      <c r="J252">
        <f t="shared" si="13"/>
        <v>0</v>
      </c>
      <c r="K252">
        <f t="shared" si="14"/>
        <v>300</v>
      </c>
      <c r="L252" s="5" t="e">
        <f t="shared" si="15"/>
        <v>#DIV/0!</v>
      </c>
      <c r="M252" t="str">
        <f>all_data!H54</f>
        <v>Jordan Petrow</v>
      </c>
      <c r="N252">
        <f>all_data!I54</f>
        <v>0</v>
      </c>
    </row>
    <row r="253" spans="1:14">
      <c r="A253">
        <f>all_data!A52</f>
        <v>50</v>
      </c>
      <c r="B253" t="str">
        <f>IF(C253&gt;0,all_data!B52,"")</f>
        <v>Pinky</v>
      </c>
      <c r="C253">
        <f>all_data!C52</f>
        <v>10</v>
      </c>
      <c r="D253">
        <f>all_data!D52</f>
        <v>0</v>
      </c>
      <c r="E253" s="5">
        <f>all_data!E52</f>
        <v>0</v>
      </c>
      <c r="F253">
        <f>all_data!F52</f>
        <v>220</v>
      </c>
      <c r="H253">
        <f t="shared" si="12"/>
        <v>220</v>
      </c>
      <c r="J253">
        <f t="shared" si="13"/>
        <v>0</v>
      </c>
      <c r="K253">
        <f t="shared" si="14"/>
        <v>220</v>
      </c>
      <c r="L253" s="5" t="e">
        <f t="shared" si="15"/>
        <v>#DIV/0!</v>
      </c>
      <c r="M253" t="str">
        <f>all_data!H52</f>
        <v>Theresa Lindig</v>
      </c>
      <c r="N253" t="str">
        <f>all_data!I52</f>
        <v>Ernst-Abbe-Gymnasium</v>
      </c>
    </row>
    <row r="254" spans="1:14">
      <c r="A254">
        <f>all_data!A51</f>
        <v>49</v>
      </c>
      <c r="B254" t="str">
        <f>IF(C254&gt;0,all_data!B51,"")</f>
        <v>stabil</v>
      </c>
      <c r="C254">
        <f>all_data!C51</f>
        <v>8.9</v>
      </c>
      <c r="D254">
        <f>all_data!D51</f>
        <v>0</v>
      </c>
      <c r="E254" s="5">
        <f>all_data!E51</f>
        <v>0</v>
      </c>
      <c r="F254">
        <f>all_data!F51</f>
        <v>200</v>
      </c>
      <c r="H254">
        <f t="shared" si="12"/>
        <v>200</v>
      </c>
      <c r="J254">
        <f t="shared" si="13"/>
        <v>0</v>
      </c>
      <c r="K254">
        <f t="shared" si="14"/>
        <v>200</v>
      </c>
      <c r="L254" s="5" t="e">
        <f t="shared" si="15"/>
        <v>#DIV/0!</v>
      </c>
      <c r="M254" t="str">
        <f>all_data!H51</f>
        <v>Ilona Liesche</v>
      </c>
      <c r="N254" t="str">
        <f>all_data!I51</f>
        <v>Ernst-Abbe-Gymnasium</v>
      </c>
    </row>
    <row r="255" spans="1:14">
      <c r="A255">
        <f>all_data!A47</f>
        <v>45</v>
      </c>
      <c r="B255" t="str">
        <f>IF(C255&gt;0,all_data!B47,"")</f>
        <v>TITANIK 2.0</v>
      </c>
      <c r="C255">
        <f>all_data!C47</f>
        <v>1.4</v>
      </c>
      <c r="D255">
        <f>all_data!D47</f>
        <v>0</v>
      </c>
      <c r="E255" s="5">
        <f>all_data!E47</f>
        <v>0</v>
      </c>
      <c r="F255">
        <f>all_data!F47</f>
        <v>8</v>
      </c>
      <c r="H255">
        <f t="shared" si="12"/>
        <v>8</v>
      </c>
      <c r="J255">
        <f t="shared" si="13"/>
        <v>0</v>
      </c>
      <c r="K255">
        <f t="shared" si="14"/>
        <v>8</v>
      </c>
      <c r="L255" s="5" t="e">
        <f t="shared" si="15"/>
        <v>#DIV/0!</v>
      </c>
      <c r="M255" t="str">
        <f>all_data!H47</f>
        <v>Jonas Dose</v>
      </c>
      <c r="N255" t="str">
        <f>all_data!I47</f>
        <v>Gymnasium Wellingdorf</v>
      </c>
    </row>
    <row r="256" spans="1:14">
      <c r="A256">
        <f>all_data!A31</f>
        <v>29</v>
      </c>
      <c r="B256" t="str">
        <f>IF(C256&gt;0,all_data!B31,"")</f>
        <v>MS Leonoli</v>
      </c>
      <c r="C256">
        <f>all_data!C31</f>
        <v>7.9</v>
      </c>
      <c r="D256">
        <f>all_data!D31</f>
        <v>0</v>
      </c>
      <c r="E256" s="5">
        <f>all_data!E31</f>
        <v>0</v>
      </c>
      <c r="F256">
        <f>all_data!F31</f>
        <v>1</v>
      </c>
      <c r="H256">
        <f t="shared" si="12"/>
        <v>1</v>
      </c>
      <c r="J256">
        <f t="shared" si="13"/>
        <v>0</v>
      </c>
      <c r="K256">
        <f t="shared" si="14"/>
        <v>1</v>
      </c>
      <c r="L256" s="5" t="e">
        <f t="shared" si="15"/>
        <v>#DIV/0!</v>
      </c>
      <c r="M256" t="str">
        <f>all_data!H31</f>
        <v>Oliver Wendt
Leon Herrmann</v>
      </c>
      <c r="N256" t="str">
        <f>all_data!I31</f>
        <v>Schützenstraße 3</v>
      </c>
    </row>
    <row r="257" spans="1:14">
      <c r="A257">
        <f>all_data!A36</f>
        <v>34</v>
      </c>
      <c r="B257" t="str">
        <f>IF(C257&gt;0,all_data!B36,"")</f>
        <v>Prototyp</v>
      </c>
      <c r="C257">
        <f>all_data!C36</f>
        <v>5.6</v>
      </c>
      <c r="D257">
        <f>all_data!D36</f>
        <v>0</v>
      </c>
      <c r="E257" s="5">
        <f>all_data!E36</f>
        <v>0</v>
      </c>
      <c r="F257">
        <f>all_data!F36</f>
        <v>1</v>
      </c>
      <c r="H257">
        <f t="shared" si="12"/>
        <v>1</v>
      </c>
      <c r="J257">
        <f t="shared" si="13"/>
        <v>0</v>
      </c>
      <c r="K257">
        <f t="shared" si="14"/>
        <v>1</v>
      </c>
      <c r="L257" s="5" t="e">
        <f t="shared" si="15"/>
        <v>#DIV/0!</v>
      </c>
      <c r="M257" t="str">
        <f>all_data!H36</f>
        <v>Konstantin Köster
Caroline Fehlauer
Jonas Schwerin</v>
      </c>
      <c r="N257" t="str">
        <f>all_data!I36</f>
        <v>Gymnasium Lüneburger Heide</v>
      </c>
    </row>
    <row r="258" spans="1:14">
      <c r="A258">
        <f>all_data!A3</f>
        <v>1</v>
      </c>
      <c r="B258" t="str">
        <f>IF(C258&gt;0,all_data!B3,"")</f>
        <v>0910</v>
      </c>
      <c r="C258">
        <f>all_data!C3</f>
        <v>8.1</v>
      </c>
      <c r="D258">
        <f>all_data!D3</f>
        <v>0</v>
      </c>
      <c r="E258" s="5">
        <f>all_data!E3</f>
        <v>0</v>
      </c>
      <c r="F258">
        <f>all_data!F3</f>
        <v>1</v>
      </c>
      <c r="H258">
        <f t="shared" si="12"/>
        <v>1</v>
      </c>
      <c r="J258">
        <f t="shared" si="13"/>
        <v>0</v>
      </c>
      <c r="K258">
        <f t="shared" si="14"/>
        <v>1</v>
      </c>
      <c r="L258" s="5" t="e">
        <f t="shared" si="15"/>
        <v>#DIV/0!</v>
      </c>
      <c r="M258" t="str">
        <f>all_data!H3</f>
        <v>Farah Skiba</v>
      </c>
      <c r="N258" t="str">
        <f>all_data!I3</f>
        <v>Ernst-Abbe-Gymnasium</v>
      </c>
    </row>
    <row r="259" spans="1:14">
      <c r="A259">
        <f>all_data!A46</f>
        <v>44</v>
      </c>
      <c r="B259" t="str">
        <f>IF(C259&gt;0,all_data!B46,"")</f>
        <v>Yolo</v>
      </c>
      <c r="C259">
        <f>all_data!C46</f>
        <v>9.5</v>
      </c>
      <c r="D259">
        <f>all_data!D46</f>
        <v>0</v>
      </c>
      <c r="E259" s="5">
        <f>all_data!E46</f>
        <v>0</v>
      </c>
      <c r="F259">
        <f>all_data!F46</f>
        <v>1</v>
      </c>
      <c r="H259">
        <f t="shared" ref="H259:H302" si="16">IF(C259&lt;=10,F259,0)</f>
        <v>1</v>
      </c>
      <c r="J259">
        <f t="shared" ref="J259:J302" si="17">ABS(D259)</f>
        <v>0</v>
      </c>
      <c r="K259">
        <f t="shared" ref="K259:K302" si="18">ABS(F259)</f>
        <v>1</v>
      </c>
      <c r="L259" s="5" t="e">
        <f t="shared" ref="L259:L322" si="19">IF(C259=0,"",(ABS(J259-K259))*100/D259)</f>
        <v>#DIV/0!</v>
      </c>
      <c r="M259" t="str">
        <f>all_data!H46</f>
        <v>Konstantin Köster
Caroline Fehlauer
Jonas Schwerin</v>
      </c>
      <c r="N259" t="str">
        <f>all_data!I46</f>
        <v>Gymnasium Lüneburger Heide</v>
      </c>
    </row>
    <row r="260" spans="1:14">
      <c r="A260">
        <f>all_data!A19</f>
        <v>17</v>
      </c>
      <c r="B260" t="str">
        <f>IF(C260&gt;0,all_data!B19,"")</f>
        <v>Exxon Valdez</v>
      </c>
      <c r="C260">
        <f>all_data!C19</f>
        <v>4.5</v>
      </c>
      <c r="D260">
        <f>all_data!D19</f>
        <v>0</v>
      </c>
      <c r="E260" s="5">
        <f>all_data!E19</f>
        <v>0</v>
      </c>
      <c r="F260">
        <f>all_data!F19</f>
        <v>1</v>
      </c>
      <c r="H260">
        <f t="shared" si="16"/>
        <v>1</v>
      </c>
      <c r="J260">
        <f t="shared" si="17"/>
        <v>0</v>
      </c>
      <c r="K260">
        <f t="shared" si="18"/>
        <v>1</v>
      </c>
      <c r="L260" s="5" t="e">
        <f t="shared" si="19"/>
        <v>#DIV/0!</v>
      </c>
      <c r="M260" t="str">
        <f>all_data!H19</f>
        <v>Ann Sophie Pruchner</v>
      </c>
      <c r="N260" t="str">
        <f>all_data!I19</f>
        <v>Ernst-Abbe-Gymnasium</v>
      </c>
    </row>
    <row r="261" spans="1:14">
      <c r="A261">
        <f>all_data!A5</f>
        <v>3</v>
      </c>
      <c r="B261" t="str">
        <f>IF(C261&gt;0,all_data!B5,"")</f>
        <v>22</v>
      </c>
      <c r="C261">
        <f>all_data!C5</f>
        <v>8.8000000000000007</v>
      </c>
      <c r="D261">
        <f>all_data!D5</f>
        <v>0</v>
      </c>
      <c r="E261" s="5">
        <f>all_data!E5</f>
        <v>0</v>
      </c>
      <c r="F261">
        <f>all_data!F5</f>
        <v>1</v>
      </c>
      <c r="H261">
        <f t="shared" si="16"/>
        <v>1</v>
      </c>
      <c r="J261">
        <f t="shared" si="17"/>
        <v>0</v>
      </c>
      <c r="K261">
        <f t="shared" si="18"/>
        <v>1</v>
      </c>
      <c r="L261" s="5" t="e">
        <f t="shared" si="19"/>
        <v>#DIV/0!</v>
      </c>
      <c r="M261" t="str">
        <f>all_data!H5</f>
        <v>Ramona Müller</v>
      </c>
      <c r="N261" t="str">
        <f>all_data!I5</f>
        <v>Ernst-Abbe-Gymnasium</v>
      </c>
    </row>
    <row r="262" spans="1:14">
      <c r="A262">
        <f>all_data!A21</f>
        <v>19</v>
      </c>
      <c r="B262" t="str">
        <f>IF(C262&gt;0,all_data!B21,"")</f>
        <v>HCO</v>
      </c>
      <c r="C262">
        <f>all_data!C21</f>
        <v>9.9</v>
      </c>
      <c r="D262">
        <f>all_data!D21</f>
        <v>0</v>
      </c>
      <c r="E262" s="5">
        <f>all_data!E21</f>
        <v>0</v>
      </c>
      <c r="F262">
        <f>all_data!F21</f>
        <v>1</v>
      </c>
      <c r="H262">
        <f t="shared" si="16"/>
        <v>1</v>
      </c>
      <c r="J262">
        <f t="shared" si="17"/>
        <v>0</v>
      </c>
      <c r="K262">
        <f t="shared" si="18"/>
        <v>1</v>
      </c>
      <c r="L262" s="5" t="e">
        <f t="shared" si="19"/>
        <v>#DIV/0!</v>
      </c>
      <c r="M262" t="str">
        <f>all_data!H21</f>
        <v>Janis Walther
Bastian Brand</v>
      </c>
      <c r="N262" t="str">
        <f>all_data!I21</f>
        <v>Gymnasium Lüneburger Heide</v>
      </c>
    </row>
    <row r="263" spans="1:14">
      <c r="A263">
        <f>all_data!A30</f>
        <v>28</v>
      </c>
      <c r="B263" t="str">
        <f>IF(C263&gt;0,all_data!B30,"")</f>
        <v>MS . B.J.</v>
      </c>
      <c r="C263">
        <f>all_data!C30</f>
        <v>9.6999999999999993</v>
      </c>
      <c r="D263">
        <f>all_data!D30</f>
        <v>0</v>
      </c>
      <c r="E263" s="5">
        <f>all_data!E30</f>
        <v>0</v>
      </c>
      <c r="F263">
        <f>all_data!F30</f>
        <v>1</v>
      </c>
      <c r="H263">
        <f t="shared" si="16"/>
        <v>1</v>
      </c>
      <c r="J263">
        <f t="shared" si="17"/>
        <v>0</v>
      </c>
      <c r="K263">
        <f t="shared" si="18"/>
        <v>1</v>
      </c>
      <c r="L263" s="5" t="e">
        <f t="shared" si="19"/>
        <v>#DIV/0!</v>
      </c>
      <c r="M263" t="str">
        <f>all_data!H30</f>
        <v>Janis Walther
Bastian Brand</v>
      </c>
      <c r="N263" t="str">
        <f>all_data!I30</f>
        <v>Schützenstraße 3</v>
      </c>
    </row>
    <row r="264" spans="1:14">
      <c r="A264">
        <f>all_data!A16</f>
        <v>14</v>
      </c>
      <c r="B264" t="str">
        <f>IF(C264&gt;0,all_data!B16,"")</f>
        <v>Daniel</v>
      </c>
      <c r="C264">
        <f>all_data!C16</f>
        <v>9.1</v>
      </c>
      <c r="D264">
        <f>all_data!D16</f>
        <v>0</v>
      </c>
      <c r="E264" s="5">
        <f>all_data!E16</f>
        <v>0</v>
      </c>
      <c r="F264">
        <f>all_data!F16</f>
        <v>1</v>
      </c>
      <c r="H264">
        <f t="shared" si="16"/>
        <v>1</v>
      </c>
      <c r="J264">
        <f t="shared" si="17"/>
        <v>0</v>
      </c>
      <c r="K264">
        <f t="shared" si="18"/>
        <v>1</v>
      </c>
      <c r="L264" s="5" t="e">
        <f t="shared" si="19"/>
        <v>#DIV/0!</v>
      </c>
      <c r="M264" t="str">
        <f>all_data!H16</f>
        <v>Simon Gmehling
Enrico Drave</v>
      </c>
      <c r="N264" t="str">
        <f>all_data!I16</f>
        <v>Gymnasium Lüneburger Heide</v>
      </c>
    </row>
    <row r="265" spans="1:14">
      <c r="A265">
        <f>all_data!A42</f>
        <v>40</v>
      </c>
      <c r="B265" t="str">
        <f>IF(C265&gt;0,all_data!B42,"")</f>
        <v>Temerer</v>
      </c>
      <c r="C265">
        <f>all_data!C42</f>
        <v>8.4</v>
      </c>
      <c r="D265">
        <f>all_data!D42</f>
        <v>0</v>
      </c>
      <c r="E265" s="5">
        <f>all_data!E42</f>
        <v>0</v>
      </c>
      <c r="F265">
        <f>all_data!F42</f>
        <v>1</v>
      </c>
      <c r="H265">
        <f t="shared" si="16"/>
        <v>1</v>
      </c>
      <c r="J265">
        <f t="shared" si="17"/>
        <v>0</v>
      </c>
      <c r="K265">
        <f t="shared" si="18"/>
        <v>1</v>
      </c>
      <c r="L265" s="5" t="e">
        <f t="shared" si="19"/>
        <v>#DIV/0!</v>
      </c>
      <c r="M265" t="str">
        <f>all_data!H42</f>
        <v>unbekannt</v>
      </c>
      <c r="N265" t="str">
        <f>all_data!I42</f>
        <v>Gymnasium Lüneburger Heide</v>
      </c>
    </row>
    <row r="266" spans="1:14">
      <c r="A266">
        <f>all_data!A17</f>
        <v>15</v>
      </c>
      <c r="B266" t="str">
        <f>IF(C266&gt;0,all_data!B17,"")</f>
        <v>Der Boot</v>
      </c>
      <c r="C266">
        <f>all_data!C17</f>
        <v>6.5</v>
      </c>
      <c r="D266">
        <f>all_data!D17</f>
        <v>0</v>
      </c>
      <c r="E266" s="5">
        <f>all_data!E17</f>
        <v>0</v>
      </c>
      <c r="F266">
        <f>all_data!F17</f>
        <v>1</v>
      </c>
      <c r="H266">
        <f t="shared" si="16"/>
        <v>1</v>
      </c>
      <c r="J266">
        <f t="shared" si="17"/>
        <v>0</v>
      </c>
      <c r="K266">
        <f t="shared" si="18"/>
        <v>1</v>
      </c>
      <c r="L266" s="5" t="e">
        <f t="shared" si="19"/>
        <v>#DIV/0!</v>
      </c>
      <c r="M266" t="str">
        <f>all_data!H17</f>
        <v>Benian Balci</v>
      </c>
      <c r="N266" t="str">
        <f>all_data!I17</f>
        <v>Ernst-Abbe-Gymnasium</v>
      </c>
    </row>
    <row r="267" spans="1:14">
      <c r="A267">
        <f>all_data!A13</f>
        <v>11</v>
      </c>
      <c r="B267" t="str">
        <f>IF(C267&gt;0,all_data!B13,"")</f>
        <v>Black Pearl II</v>
      </c>
      <c r="C267">
        <f>all_data!C13</f>
        <v>9.6</v>
      </c>
      <c r="D267">
        <f>all_data!D13</f>
        <v>0</v>
      </c>
      <c r="E267" s="5">
        <f>all_data!E13</f>
        <v>0</v>
      </c>
      <c r="F267">
        <f>all_data!F13</f>
        <v>1</v>
      </c>
      <c r="H267">
        <f t="shared" si="16"/>
        <v>1</v>
      </c>
      <c r="J267">
        <f t="shared" si="17"/>
        <v>0</v>
      </c>
      <c r="K267">
        <f t="shared" si="18"/>
        <v>1</v>
      </c>
      <c r="L267" s="5" t="e">
        <f t="shared" si="19"/>
        <v>#DIV/0!</v>
      </c>
      <c r="M267" t="str">
        <f>all_data!H13</f>
        <v>Annabell Ritzkowski
Anna Krüger</v>
      </c>
      <c r="N267" t="str">
        <f>all_data!I13</f>
        <v>Schloßgymnasium Gützkow</v>
      </c>
    </row>
    <row r="268" spans="1:14">
      <c r="A268">
        <f>all_data!A33</f>
        <v>31</v>
      </c>
      <c r="B268" t="str">
        <f>IF(C268&gt;0,all_data!B33,"")</f>
        <v>NICHRALRYSCHHA</v>
      </c>
      <c r="C268">
        <f>all_data!C33</f>
        <v>9.6999999999999993</v>
      </c>
      <c r="D268">
        <f>all_data!D33</f>
        <v>0</v>
      </c>
      <c r="E268" s="5">
        <f>all_data!E33</f>
        <v>0</v>
      </c>
      <c r="F268">
        <f>all_data!F33</f>
        <v>1</v>
      </c>
      <c r="H268">
        <f t="shared" si="16"/>
        <v>1</v>
      </c>
      <c r="J268">
        <f t="shared" si="17"/>
        <v>0</v>
      </c>
      <c r="K268">
        <f t="shared" si="18"/>
        <v>1</v>
      </c>
      <c r="L268" s="5" t="e">
        <f t="shared" si="19"/>
        <v>#DIV/0!</v>
      </c>
      <c r="M268" t="str">
        <f>all_data!H33</f>
        <v>Niklas Schöning
Christopher Hanson</v>
      </c>
      <c r="N268" t="str">
        <f>all_data!I33</f>
        <v>Gymnasium Lüneburger Heide</v>
      </c>
    </row>
    <row r="269" spans="1:14">
      <c r="A269">
        <f>all_data!A14</f>
        <v>12</v>
      </c>
      <c r="B269" t="str">
        <f>IF(C269&gt;0,all_data!B14,"")</f>
        <v>Blue Latern</v>
      </c>
      <c r="C269">
        <f>all_data!C14</f>
        <v>8.5</v>
      </c>
      <c r="D269">
        <f>all_data!D14</f>
        <v>0</v>
      </c>
      <c r="E269" s="5">
        <f>all_data!E14</f>
        <v>0</v>
      </c>
      <c r="F269">
        <f>all_data!F14</f>
        <v>1</v>
      </c>
      <c r="H269">
        <f t="shared" si="16"/>
        <v>1</v>
      </c>
      <c r="J269">
        <f t="shared" si="17"/>
        <v>0</v>
      </c>
      <c r="K269">
        <f t="shared" si="18"/>
        <v>1</v>
      </c>
      <c r="L269" s="5" t="e">
        <f t="shared" si="19"/>
        <v>#DIV/0!</v>
      </c>
      <c r="M269" t="str">
        <f>all_data!H14</f>
        <v>Henrik Kubitza</v>
      </c>
      <c r="N269" t="str">
        <f>all_data!I14</f>
        <v>Ernst-Abbe-Gymnasium</v>
      </c>
    </row>
    <row r="270" spans="1:14">
      <c r="A270">
        <f>all_data!A38</f>
        <v>36</v>
      </c>
      <c r="B270" t="str">
        <f>IF(C270&gt;0,all_data!B38,"")</f>
        <v>Romba 2500</v>
      </c>
      <c r="C270">
        <f>all_data!C38</f>
        <v>10</v>
      </c>
      <c r="D270">
        <f>all_data!D38</f>
        <v>0</v>
      </c>
      <c r="E270" s="5">
        <f>all_data!E38</f>
        <v>0</v>
      </c>
      <c r="F270">
        <f>all_data!F38</f>
        <v>1</v>
      </c>
      <c r="H270">
        <f t="shared" si="16"/>
        <v>1</v>
      </c>
      <c r="J270">
        <f t="shared" si="17"/>
        <v>0</v>
      </c>
      <c r="K270">
        <f t="shared" si="18"/>
        <v>1</v>
      </c>
      <c r="L270" s="5" t="e">
        <f t="shared" si="19"/>
        <v>#DIV/0!</v>
      </c>
      <c r="M270" t="str">
        <f>all_data!H38</f>
        <v>Maik Schoer
Robin Karpa</v>
      </c>
      <c r="N270" t="str">
        <f>all_data!I38</f>
        <v>Gymnasium Lüneburger Heide</v>
      </c>
    </row>
    <row r="271" spans="1:14">
      <c r="A271">
        <f>all_data!A43</f>
        <v>41</v>
      </c>
      <c r="B271" t="str">
        <f>IF(C271&gt;0,all_data!B43,"")</f>
        <v>THW Kiel</v>
      </c>
      <c r="C271">
        <f>all_data!C43</f>
        <v>4.9000000000000004</v>
      </c>
      <c r="D271">
        <f>all_data!D43</f>
        <v>0</v>
      </c>
      <c r="E271" s="5">
        <f>all_data!E43</f>
        <v>0</v>
      </c>
      <c r="F271">
        <f>all_data!F43</f>
        <v>1</v>
      </c>
      <c r="H271">
        <f t="shared" si="16"/>
        <v>1</v>
      </c>
      <c r="J271">
        <f t="shared" si="17"/>
        <v>0</v>
      </c>
      <c r="K271">
        <f t="shared" si="18"/>
        <v>1</v>
      </c>
      <c r="L271" s="5" t="e">
        <f t="shared" si="19"/>
        <v>#DIV/0!</v>
      </c>
      <c r="M271" t="str">
        <f>all_data!H43</f>
        <v>Annika Block
Nina Baumann</v>
      </c>
      <c r="N271" t="str">
        <f>all_data!I43</f>
        <v>Gymnasium Wellingdorf</v>
      </c>
    </row>
    <row r="272" spans="1:14">
      <c r="A272">
        <f>all_data!A6</f>
        <v>4</v>
      </c>
      <c r="B272" t="str">
        <f>IF(C272&gt;0,all_data!B6,"")</f>
        <v>253</v>
      </c>
      <c r="C272">
        <f>all_data!C6</f>
        <v>8.5</v>
      </c>
      <c r="D272">
        <f>all_data!D6</f>
        <v>0</v>
      </c>
      <c r="E272" s="5">
        <f>all_data!E6</f>
        <v>0</v>
      </c>
      <c r="F272">
        <f>all_data!F6</f>
        <v>1</v>
      </c>
      <c r="H272">
        <f t="shared" si="16"/>
        <v>1</v>
      </c>
      <c r="J272">
        <f t="shared" si="17"/>
        <v>0</v>
      </c>
      <c r="K272">
        <f t="shared" si="18"/>
        <v>1</v>
      </c>
      <c r="L272" s="5" t="e">
        <f t="shared" si="19"/>
        <v>#DIV/0!</v>
      </c>
      <c r="M272" t="str">
        <f>all_data!H6</f>
        <v>Alina Meisel</v>
      </c>
      <c r="N272" t="str">
        <f>all_data!I6</f>
        <v>Ernst-Abbe-Gymnasium</v>
      </c>
    </row>
    <row r="273" spans="1:14">
      <c r="A273">
        <f>all_data!A27</f>
        <v>25</v>
      </c>
      <c r="B273" t="str">
        <f>IF(C273&gt;0,all_data!B27,"")</f>
        <v>Lasse</v>
      </c>
      <c r="C273">
        <f>all_data!C27</f>
        <v>7.5</v>
      </c>
      <c r="D273">
        <f>all_data!D27</f>
        <v>0</v>
      </c>
      <c r="E273" s="5">
        <f>all_data!E27</f>
        <v>0</v>
      </c>
      <c r="F273">
        <f>all_data!F27</f>
        <v>1</v>
      </c>
      <c r="H273">
        <f t="shared" si="16"/>
        <v>1</v>
      </c>
      <c r="J273">
        <f t="shared" si="17"/>
        <v>0</v>
      </c>
      <c r="K273">
        <f t="shared" si="18"/>
        <v>1</v>
      </c>
      <c r="L273" s="5" t="e">
        <f t="shared" si="19"/>
        <v>#DIV/0!</v>
      </c>
      <c r="M273" t="str">
        <f>all_data!H27</f>
        <v>Lasse Berner</v>
      </c>
      <c r="N273" t="str">
        <f>all_data!I27</f>
        <v>Gymnasium Papenburg</v>
      </c>
    </row>
    <row r="274" spans="1:14">
      <c r="A274">
        <f>all_data!A7</f>
        <v>5</v>
      </c>
      <c r="B274" t="str">
        <f>IF(C274&gt;0,all_data!B7,"")</f>
        <v>Ahoi</v>
      </c>
      <c r="C274">
        <f>all_data!C7</f>
        <v>9</v>
      </c>
      <c r="D274">
        <f>all_data!D7</f>
        <v>0</v>
      </c>
      <c r="E274" s="5">
        <f>all_data!E7</f>
        <v>0</v>
      </c>
      <c r="F274">
        <f>all_data!F7</f>
        <v>1</v>
      </c>
      <c r="H274">
        <f t="shared" si="16"/>
        <v>1</v>
      </c>
      <c r="J274">
        <f t="shared" si="17"/>
        <v>0</v>
      </c>
      <c r="K274">
        <f t="shared" si="18"/>
        <v>1</v>
      </c>
      <c r="L274" s="5" t="e">
        <f t="shared" si="19"/>
        <v>#DIV/0!</v>
      </c>
      <c r="M274" t="str">
        <f>all_data!H7</f>
        <v>Christian Fritz</v>
      </c>
      <c r="N274" t="str">
        <f>all_data!I7</f>
        <v>Ernst-Abbe-Gymnasium</v>
      </c>
    </row>
    <row r="275" spans="1:14">
      <c r="A275">
        <f>all_data!A35</f>
        <v>33</v>
      </c>
      <c r="B275" t="str">
        <f>IF(C275&gt;0,all_data!B35,"")</f>
        <v>Powerschiff 13</v>
      </c>
      <c r="C275">
        <f>all_data!C35</f>
        <v>9.1999999999999993</v>
      </c>
      <c r="D275">
        <f>all_data!D35</f>
        <v>0</v>
      </c>
      <c r="E275" s="5">
        <f>all_data!E35</f>
        <v>0</v>
      </c>
      <c r="F275">
        <f>all_data!F35</f>
        <v>1</v>
      </c>
      <c r="H275">
        <f t="shared" si="16"/>
        <v>1</v>
      </c>
      <c r="J275">
        <f t="shared" si="17"/>
        <v>0</v>
      </c>
      <c r="K275">
        <f t="shared" si="18"/>
        <v>1</v>
      </c>
      <c r="L275" s="5" t="e">
        <f t="shared" si="19"/>
        <v>#DIV/0!</v>
      </c>
      <c r="M275" t="str">
        <f>all_data!H35</f>
        <v>Caroline Renner</v>
      </c>
      <c r="N275" t="str">
        <f>all_data!I35</f>
        <v>Ernst-Abbe-Gymnasium</v>
      </c>
    </row>
    <row r="276" spans="1:14">
      <c r="A276">
        <f>all_data!A20</f>
        <v>18</v>
      </c>
      <c r="B276" t="str">
        <f>IF(C276&gt;0,all_data!B20,"")</f>
        <v>Fritzinchen</v>
      </c>
      <c r="C276">
        <f>all_data!C20</f>
        <v>7.8</v>
      </c>
      <c r="D276">
        <f>all_data!D20</f>
        <v>0</v>
      </c>
      <c r="E276" s="5">
        <f>all_data!E20</f>
        <v>0</v>
      </c>
      <c r="F276">
        <f>all_data!F20</f>
        <v>1</v>
      </c>
      <c r="H276">
        <f t="shared" si="16"/>
        <v>1</v>
      </c>
      <c r="J276">
        <f t="shared" si="17"/>
        <v>0</v>
      </c>
      <c r="K276">
        <f t="shared" si="18"/>
        <v>1</v>
      </c>
      <c r="L276" s="5" t="e">
        <f t="shared" si="19"/>
        <v>#DIV/0!</v>
      </c>
      <c r="M276" t="str">
        <f>all_data!H20</f>
        <v>Sina-Maria Hofmann</v>
      </c>
      <c r="N276" t="str">
        <f>all_data!I20</f>
        <v>Ernst-Abbe-Gymnasium</v>
      </c>
    </row>
    <row r="277" spans="1:14">
      <c r="A277">
        <f>all_data!A24</f>
        <v>22</v>
      </c>
      <c r="B277" t="str">
        <f>IF(C277&gt;0,all_data!B24,"")</f>
        <v>Hummelchen</v>
      </c>
      <c r="C277">
        <f>all_data!C24</f>
        <v>5.3</v>
      </c>
      <c r="D277">
        <f>all_data!D24</f>
        <v>0</v>
      </c>
      <c r="E277" s="5">
        <f>all_data!E24</f>
        <v>0</v>
      </c>
      <c r="F277">
        <f>all_data!F24</f>
        <v>1</v>
      </c>
      <c r="H277">
        <f t="shared" si="16"/>
        <v>1</v>
      </c>
      <c r="J277">
        <f t="shared" si="17"/>
        <v>0</v>
      </c>
      <c r="K277">
        <f t="shared" si="18"/>
        <v>1</v>
      </c>
      <c r="L277" s="5" t="e">
        <f t="shared" si="19"/>
        <v>#DIV/0!</v>
      </c>
      <c r="M277" t="str">
        <f>all_data!H24</f>
        <v>Nina Weinitschke</v>
      </c>
      <c r="N277" t="str">
        <f>all_data!I24</f>
        <v>Schloßgymnasium Gützkow</v>
      </c>
    </row>
    <row r="278" spans="1:14">
      <c r="A278">
        <f>all_data!A11</f>
        <v>9</v>
      </c>
      <c r="B278" t="str">
        <f>IF(C278&gt;0,all_data!B11,"")</f>
        <v>Backpapier</v>
      </c>
      <c r="C278">
        <f>all_data!C11</f>
        <v>9.3000000000000007</v>
      </c>
      <c r="D278">
        <f>all_data!D11</f>
        <v>0</v>
      </c>
      <c r="E278" s="5">
        <f>all_data!E11</f>
        <v>0</v>
      </c>
      <c r="F278">
        <f>all_data!F11</f>
        <v>1</v>
      </c>
      <c r="H278">
        <f t="shared" si="16"/>
        <v>1</v>
      </c>
      <c r="J278">
        <f t="shared" si="17"/>
        <v>0</v>
      </c>
      <c r="K278">
        <f t="shared" si="18"/>
        <v>1</v>
      </c>
      <c r="L278" s="5" t="e">
        <f t="shared" si="19"/>
        <v>#DIV/0!</v>
      </c>
      <c r="M278" t="str">
        <f>all_data!H11</f>
        <v>unbekannt</v>
      </c>
      <c r="N278" t="str">
        <f>all_data!I11</f>
        <v>Ernst-Abbe-Gymnasium</v>
      </c>
    </row>
    <row r="279" spans="1:14">
      <c r="A279">
        <f>all_data!A4</f>
        <v>2</v>
      </c>
      <c r="B279" t="str">
        <f>IF(C279&gt;0,all_data!B4,"")</f>
        <v>1108</v>
      </c>
      <c r="C279">
        <f>all_data!C4</f>
        <v>8.5</v>
      </c>
      <c r="D279">
        <f>all_data!D4</f>
        <v>0</v>
      </c>
      <c r="E279" s="5">
        <f>all_data!E4</f>
        <v>0</v>
      </c>
      <c r="F279">
        <f>all_data!F4</f>
        <v>1</v>
      </c>
      <c r="H279">
        <f t="shared" si="16"/>
        <v>1</v>
      </c>
      <c r="J279">
        <f t="shared" si="17"/>
        <v>0</v>
      </c>
      <c r="K279">
        <f t="shared" si="18"/>
        <v>1</v>
      </c>
      <c r="L279" s="5" t="e">
        <f t="shared" si="19"/>
        <v>#DIV/0!</v>
      </c>
      <c r="M279" t="str">
        <f>all_data!H4</f>
        <v>Marius Müller</v>
      </c>
      <c r="N279" t="str">
        <f>all_data!I4</f>
        <v>Ernst-Abbe-Gymnasium</v>
      </c>
    </row>
    <row r="280" spans="1:14">
      <c r="A280">
        <f>all_data!A22</f>
        <v>20</v>
      </c>
      <c r="B280" t="str">
        <f>IF(C280&gt;0,all_data!B22,"")</f>
        <v>Herzchen</v>
      </c>
      <c r="C280">
        <f>all_data!C22</f>
        <v>6.9</v>
      </c>
      <c r="D280">
        <f>all_data!D22</f>
        <v>0</v>
      </c>
      <c r="E280" s="5">
        <f>all_data!E22</f>
        <v>0</v>
      </c>
      <c r="F280">
        <f>all_data!F22</f>
        <v>1</v>
      </c>
      <c r="H280">
        <f t="shared" si="16"/>
        <v>1</v>
      </c>
      <c r="J280">
        <f t="shared" si="17"/>
        <v>0</v>
      </c>
      <c r="K280">
        <f t="shared" si="18"/>
        <v>1</v>
      </c>
      <c r="L280" s="5" t="e">
        <f t="shared" si="19"/>
        <v>#DIV/0!</v>
      </c>
      <c r="M280" t="str">
        <f>all_data!H22</f>
        <v>Melanie Koch</v>
      </c>
      <c r="N280" t="str">
        <f>all_data!I22</f>
        <v>Schloßgymnasium Gützkow</v>
      </c>
    </row>
    <row r="281" spans="1:14">
      <c r="A281">
        <f>all_data!A9</f>
        <v>7</v>
      </c>
      <c r="B281" t="str">
        <f>IF(C281&gt;0,all_data!B9,"")</f>
        <v>Allegro</v>
      </c>
      <c r="C281">
        <f>all_data!C9</f>
        <v>9.4</v>
      </c>
      <c r="D281">
        <f>all_data!D9</f>
        <v>0</v>
      </c>
      <c r="E281" s="5">
        <f>all_data!E9</f>
        <v>0</v>
      </c>
      <c r="F281">
        <f>all_data!F9</f>
        <v>1</v>
      </c>
      <c r="H281">
        <f t="shared" si="16"/>
        <v>1</v>
      </c>
      <c r="J281">
        <f t="shared" si="17"/>
        <v>0</v>
      </c>
      <c r="K281">
        <f t="shared" si="18"/>
        <v>1</v>
      </c>
      <c r="L281" s="5" t="e">
        <f t="shared" si="19"/>
        <v>#DIV/0!</v>
      </c>
      <c r="M281" t="str">
        <f>all_data!H9</f>
        <v>Björn Ehlbeck
Hannes Kröchert
Pascal Odebrecht</v>
      </c>
      <c r="N281" t="str">
        <f>all_data!I9</f>
        <v>Schloßgymnasium Gützkow</v>
      </c>
    </row>
    <row r="282" spans="1:14">
      <c r="A282">
        <f>all_data!A34</f>
        <v>32</v>
      </c>
      <c r="B282" t="str">
        <f>IF(C282&gt;0,all_data!B34,"")</f>
        <v>Plus</v>
      </c>
      <c r="C282">
        <f>all_data!C34</f>
        <v>9.1999999999999993</v>
      </c>
      <c r="D282">
        <f>all_data!D34</f>
        <v>0</v>
      </c>
      <c r="E282" s="5">
        <f>all_data!E34</f>
        <v>0</v>
      </c>
      <c r="F282">
        <f>all_data!F34</f>
        <v>1</v>
      </c>
      <c r="H282">
        <f t="shared" si="16"/>
        <v>1</v>
      </c>
      <c r="J282">
        <f t="shared" si="17"/>
        <v>0</v>
      </c>
      <c r="K282">
        <f t="shared" si="18"/>
        <v>1</v>
      </c>
      <c r="L282" s="5" t="e">
        <f t="shared" si="19"/>
        <v>#DIV/0!</v>
      </c>
      <c r="M282" t="str">
        <f>all_data!H34</f>
        <v>Sebastian Graef</v>
      </c>
      <c r="N282" t="str">
        <f>all_data!I34</f>
        <v>Ernst-Abbe-Gymnasium</v>
      </c>
    </row>
    <row r="283" spans="1:14">
      <c r="A283">
        <f>all_data!A23</f>
        <v>21</v>
      </c>
      <c r="B283" t="str">
        <f>IF(C283&gt;0,all_data!B23,"")</f>
        <v>HMS Unsinkbar</v>
      </c>
      <c r="C283">
        <f>all_data!C23</f>
        <v>8.1999999999999993</v>
      </c>
      <c r="D283">
        <f>all_data!D23</f>
        <v>0</v>
      </c>
      <c r="E283" s="5">
        <f>all_data!E23</f>
        <v>0</v>
      </c>
      <c r="F283">
        <f>all_data!F23</f>
        <v>1</v>
      </c>
      <c r="H283">
        <f t="shared" si="16"/>
        <v>1</v>
      </c>
      <c r="J283">
        <f t="shared" si="17"/>
        <v>0</v>
      </c>
      <c r="K283">
        <f t="shared" si="18"/>
        <v>1</v>
      </c>
      <c r="L283" s="5" t="e">
        <f t="shared" si="19"/>
        <v>#DIV/0!</v>
      </c>
      <c r="M283" t="str">
        <f>all_data!H23</f>
        <v>Fabian Burghart</v>
      </c>
      <c r="N283" t="str">
        <f>all_data!I23</f>
        <v>Ernst-Abbe-Gymnasium</v>
      </c>
    </row>
    <row r="284" spans="1:14">
      <c r="A284">
        <f>all_data!A18</f>
        <v>16</v>
      </c>
      <c r="B284" t="str">
        <f>IF(C284&gt;0,all_data!B18,"")</f>
        <v>Die rote Rose</v>
      </c>
      <c r="C284">
        <f>all_data!C18</f>
        <v>9.5</v>
      </c>
      <c r="D284">
        <f>all_data!D18</f>
        <v>0</v>
      </c>
      <c r="E284" s="5">
        <f>all_data!E18</f>
        <v>0</v>
      </c>
      <c r="F284">
        <f>all_data!F18</f>
        <v>1</v>
      </c>
      <c r="H284">
        <f t="shared" si="16"/>
        <v>1</v>
      </c>
      <c r="J284">
        <f t="shared" si="17"/>
        <v>0</v>
      </c>
      <c r="K284">
        <f t="shared" si="18"/>
        <v>1</v>
      </c>
      <c r="L284" s="5" t="e">
        <f t="shared" si="19"/>
        <v>#DIV/0!</v>
      </c>
      <c r="M284" t="str">
        <f>all_data!H18</f>
        <v>Hannah Reichelt</v>
      </c>
      <c r="N284">
        <f>all_data!I18</f>
        <v>0</v>
      </c>
    </row>
    <row r="285" spans="1:14">
      <c r="A285">
        <f>all_data!A10</f>
        <v>8</v>
      </c>
      <c r="B285" t="str">
        <f>IF(C285&gt;0,all_data!B10,"")</f>
        <v>Avalon</v>
      </c>
      <c r="C285">
        <f>all_data!C10</f>
        <v>12</v>
      </c>
      <c r="D285">
        <f>all_data!D10</f>
        <v>0</v>
      </c>
      <c r="E285" s="5">
        <f>all_data!E10</f>
        <v>0</v>
      </c>
      <c r="F285">
        <f>all_data!F10</f>
        <v>1</v>
      </c>
      <c r="H285">
        <f t="shared" si="16"/>
        <v>0</v>
      </c>
      <c r="J285">
        <f t="shared" si="17"/>
        <v>0</v>
      </c>
      <c r="K285">
        <f t="shared" si="18"/>
        <v>1</v>
      </c>
      <c r="L285" s="5" t="e">
        <f t="shared" si="19"/>
        <v>#DIV/0!</v>
      </c>
      <c r="M285" t="str">
        <f>all_data!H10</f>
        <v>Milad Ghulham Rasol
Tom Bösing
Ahmed Younes</v>
      </c>
      <c r="N285" t="str">
        <f>all_data!I10</f>
        <v>Pascal Gymnasium Münster</v>
      </c>
    </row>
    <row r="286" spans="1:14">
      <c r="A286">
        <f>all_data!A15</f>
        <v>13</v>
      </c>
      <c r="B286" t="str">
        <f>IF(C286&gt;0,all_data!B15,"")</f>
        <v>Boot 1</v>
      </c>
      <c r="C286">
        <f>all_data!C15</f>
        <v>10.1</v>
      </c>
      <c r="D286">
        <f>all_data!D15</f>
        <v>0</v>
      </c>
      <c r="E286" s="5">
        <f>all_data!E15</f>
        <v>0</v>
      </c>
      <c r="F286">
        <f>all_data!F15</f>
        <v>1</v>
      </c>
      <c r="H286">
        <f t="shared" si="16"/>
        <v>0</v>
      </c>
      <c r="J286">
        <f t="shared" si="17"/>
        <v>0</v>
      </c>
      <c r="K286">
        <f t="shared" si="18"/>
        <v>1</v>
      </c>
      <c r="L286" s="5" t="e">
        <f t="shared" si="19"/>
        <v>#DIV/0!</v>
      </c>
      <c r="M286" t="str">
        <f>all_data!H15</f>
        <v>Til Salewski
Vincent Niemann
Marvin Wodrich</v>
      </c>
      <c r="N286" t="str">
        <f>all_data!I15</f>
        <v>Schloßgymnasium Gützkow</v>
      </c>
    </row>
    <row r="287" spans="1:14">
      <c r="A287">
        <f>all_data!A8</f>
        <v>6</v>
      </c>
      <c r="B287" t="str">
        <f>IF(C287&gt;0,all_data!B8,"")</f>
        <v>AIDA Hannes</v>
      </c>
      <c r="C287">
        <f>all_data!C8</f>
        <v>9.4</v>
      </c>
      <c r="D287">
        <f>all_data!D8</f>
        <v>0</v>
      </c>
      <c r="E287" s="5">
        <f>all_data!E8</f>
        <v>0</v>
      </c>
      <c r="F287">
        <f>all_data!F8</f>
        <v>1</v>
      </c>
      <c r="H287">
        <f t="shared" si="16"/>
        <v>1</v>
      </c>
      <c r="J287">
        <f t="shared" si="17"/>
        <v>0</v>
      </c>
      <c r="K287">
        <f t="shared" si="18"/>
        <v>1</v>
      </c>
      <c r="L287" s="5" t="e">
        <f t="shared" si="19"/>
        <v>#DIV/0!</v>
      </c>
      <c r="M287" t="str">
        <f>all_data!H8</f>
        <v>Hannes Lübke</v>
      </c>
      <c r="N287" t="str">
        <f>all_data!I8</f>
        <v>Wossidlo-Gymnasium</v>
      </c>
    </row>
    <row r="288" spans="1:14">
      <c r="A288">
        <f>all_data!A25</f>
        <v>23</v>
      </c>
      <c r="B288" t="str">
        <f>IF(C288&gt;0,all_data!B25,"")</f>
        <v>Jolo</v>
      </c>
      <c r="C288">
        <f>all_data!C25</f>
        <v>9.4</v>
      </c>
      <c r="D288">
        <f>all_data!D25</f>
        <v>0</v>
      </c>
      <c r="E288" s="5">
        <f>all_data!E25</f>
        <v>0</v>
      </c>
      <c r="F288">
        <f>all_data!F25</f>
        <v>1</v>
      </c>
      <c r="H288">
        <f t="shared" si="16"/>
        <v>1</v>
      </c>
      <c r="J288">
        <f t="shared" si="17"/>
        <v>0</v>
      </c>
      <c r="K288">
        <f t="shared" si="18"/>
        <v>1</v>
      </c>
      <c r="L288" s="5" t="e">
        <f t="shared" si="19"/>
        <v>#DIV/0!</v>
      </c>
      <c r="M288" t="str">
        <f>all_data!H25</f>
        <v>Lukas Hannebohm
Jasper Morgenstern</v>
      </c>
      <c r="N288" t="str">
        <f>all_data!I25</f>
        <v>Gymnasium Lüneburger Heide</v>
      </c>
    </row>
    <row r="289" spans="1:14">
      <c r="A289">
        <f>all_data!A41</f>
        <v>39</v>
      </c>
      <c r="B289" t="str">
        <f>IF(C289&gt;0,all_data!B41,"")</f>
        <v>Susi</v>
      </c>
      <c r="C289">
        <f>all_data!C41</f>
        <v>18.600000000000001</v>
      </c>
      <c r="D289">
        <f>all_data!D41</f>
        <v>0</v>
      </c>
      <c r="E289" s="5">
        <f>all_data!E41</f>
        <v>0</v>
      </c>
      <c r="F289">
        <f>all_data!F41</f>
        <v>1</v>
      </c>
      <c r="H289">
        <f t="shared" si="16"/>
        <v>0</v>
      </c>
      <c r="J289">
        <f t="shared" si="17"/>
        <v>0</v>
      </c>
      <c r="K289">
        <f t="shared" si="18"/>
        <v>1</v>
      </c>
      <c r="L289" s="5" t="e">
        <f t="shared" si="19"/>
        <v>#DIV/0!</v>
      </c>
      <c r="M289" t="str">
        <f>all_data!H41</f>
        <v>Lara Wandt
Carolin Blum</v>
      </c>
      <c r="N289" t="str">
        <f>all_data!I41</f>
        <v>Schloßgymnasium Gützkow</v>
      </c>
    </row>
    <row r="290" spans="1:14">
      <c r="A290">
        <f>all_data!A26</f>
        <v>24</v>
      </c>
      <c r="B290" t="str">
        <f>IF(C290&gt;0,all_data!B26,"")</f>
        <v>L&amp;L</v>
      </c>
      <c r="C290">
        <f>all_data!C26</f>
        <v>8.9</v>
      </c>
      <c r="D290">
        <f>all_data!D26</f>
        <v>0</v>
      </c>
      <c r="E290" s="5">
        <f>all_data!E26</f>
        <v>0</v>
      </c>
      <c r="F290">
        <f>all_data!F26</f>
        <v>1</v>
      </c>
      <c r="H290">
        <f t="shared" si="16"/>
        <v>1</v>
      </c>
      <c r="J290">
        <f t="shared" si="17"/>
        <v>0</v>
      </c>
      <c r="K290">
        <f t="shared" si="18"/>
        <v>1</v>
      </c>
      <c r="L290" s="5" t="e">
        <f t="shared" si="19"/>
        <v>#DIV/0!</v>
      </c>
      <c r="M290" t="str">
        <f>all_data!H26</f>
        <v>Lukas Kollmer
Luca Theile</v>
      </c>
      <c r="N290" t="str">
        <f>all_data!I26</f>
        <v>Pascal Gymnasium Münster</v>
      </c>
    </row>
    <row r="291" spans="1:14">
      <c r="A291">
        <f>all_data!A29</f>
        <v>27</v>
      </c>
      <c r="B291" t="str">
        <f>IF(C291&gt;0,all_data!B29,"")</f>
        <v>Marken Discount</v>
      </c>
      <c r="C291">
        <f>all_data!C29</f>
        <v>14.8</v>
      </c>
      <c r="D291">
        <f>all_data!D29</f>
        <v>0</v>
      </c>
      <c r="E291" s="5">
        <f>all_data!E29</f>
        <v>0</v>
      </c>
      <c r="F291">
        <f>all_data!F29</f>
        <v>1</v>
      </c>
      <c r="H291">
        <f t="shared" si="16"/>
        <v>0</v>
      </c>
      <c r="J291">
        <f t="shared" si="17"/>
        <v>0</v>
      </c>
      <c r="K291">
        <f t="shared" si="18"/>
        <v>1</v>
      </c>
      <c r="L291" s="5" t="e">
        <f t="shared" si="19"/>
        <v>#DIV/0!</v>
      </c>
      <c r="M291" t="str">
        <f>all_data!H29</f>
        <v>Paul Rassmus
Sebastian Peck</v>
      </c>
      <c r="N291" t="str">
        <f>all_data!I29</f>
        <v>Schloßgymnasium Gützkow</v>
      </c>
    </row>
    <row r="292" spans="1:14">
      <c r="A292">
        <f>all_data!A37</f>
        <v>35</v>
      </c>
      <c r="B292" t="str">
        <f>IF(C292&gt;0,all_data!B37,"")</f>
        <v>Romba</v>
      </c>
      <c r="C292">
        <f>all_data!C37</f>
        <v>9.4</v>
      </c>
      <c r="D292">
        <f>all_data!D37</f>
        <v>0</v>
      </c>
      <c r="E292" s="5">
        <f>all_data!E37</f>
        <v>0</v>
      </c>
      <c r="F292">
        <f>all_data!F37</f>
        <v>1</v>
      </c>
      <c r="H292">
        <f t="shared" si="16"/>
        <v>1</v>
      </c>
      <c r="J292">
        <f t="shared" si="17"/>
        <v>0</v>
      </c>
      <c r="K292">
        <f t="shared" si="18"/>
        <v>1</v>
      </c>
      <c r="L292" s="5" t="e">
        <f t="shared" si="19"/>
        <v>#DIV/0!</v>
      </c>
      <c r="M292" t="str">
        <f>all_data!H37</f>
        <v>Maik Schoer
Robin Karpa</v>
      </c>
      <c r="N292" t="str">
        <f>all_data!I37</f>
        <v>Gymnasium Lüneburger Heide</v>
      </c>
    </row>
    <row r="293" spans="1:14">
      <c r="A293">
        <f>all_data!A44</f>
        <v>42</v>
      </c>
      <c r="B293" t="str">
        <f>IF(C293&gt;0,all_data!B44,"")</f>
        <v>Titanic</v>
      </c>
      <c r="C293">
        <f>all_data!C44</f>
        <v>10.6</v>
      </c>
      <c r="D293">
        <f>all_data!D44</f>
        <v>0</v>
      </c>
      <c r="E293" s="5">
        <f>all_data!E44</f>
        <v>0</v>
      </c>
      <c r="F293">
        <f>all_data!F44</f>
        <v>1</v>
      </c>
      <c r="H293">
        <f t="shared" si="16"/>
        <v>0</v>
      </c>
      <c r="J293">
        <f t="shared" si="17"/>
        <v>0</v>
      </c>
      <c r="K293">
        <f t="shared" si="18"/>
        <v>1</v>
      </c>
      <c r="L293" s="5" t="e">
        <f t="shared" si="19"/>
        <v>#DIV/0!</v>
      </c>
      <c r="M293" t="str">
        <f>all_data!H44</f>
        <v>Jan Gabo
Jan Schmidt
Julian Hawellek</v>
      </c>
      <c r="N293" t="str">
        <f>all_data!I44</f>
        <v>Gymnasium Hankensbüttel</v>
      </c>
    </row>
    <row r="294" spans="1:14">
      <c r="A294">
        <f>all_data!A12</f>
        <v>10</v>
      </c>
      <c r="B294" t="str">
        <f>IF(C294&gt;0,all_data!B12,"")</f>
        <v>Black Beauty</v>
      </c>
      <c r="C294">
        <f>all_data!C12</f>
        <v>10</v>
      </c>
      <c r="D294">
        <f>all_data!D12</f>
        <v>0</v>
      </c>
      <c r="E294" s="5">
        <f>all_data!E12</f>
        <v>0</v>
      </c>
      <c r="F294">
        <f>all_data!F12</f>
        <v>1</v>
      </c>
      <c r="H294">
        <f t="shared" si="16"/>
        <v>1</v>
      </c>
      <c r="J294">
        <f t="shared" si="17"/>
        <v>0</v>
      </c>
      <c r="K294">
        <f t="shared" si="18"/>
        <v>1</v>
      </c>
      <c r="L294" s="5" t="e">
        <f t="shared" si="19"/>
        <v>#DIV/0!</v>
      </c>
      <c r="M294" t="str">
        <f>all_data!H12</f>
        <v>Ingrid Bierkamp-Nienkarken</v>
      </c>
      <c r="N294">
        <f>all_data!I12</f>
        <v>0</v>
      </c>
    </row>
    <row r="295" spans="1:14">
      <c r="A295">
        <f>all_data!A91</f>
        <v>89</v>
      </c>
      <c r="B295" t="str">
        <f>IF(C295&gt;0,all_data!B91,"")</f>
        <v>Titan 4</v>
      </c>
      <c r="C295">
        <f>all_data!C91</f>
        <v>8.1999999999999993</v>
      </c>
      <c r="D295">
        <f>all_data!D91</f>
        <v>0</v>
      </c>
      <c r="E295" s="5">
        <f>all_data!E91</f>
        <v>0</v>
      </c>
      <c r="F295">
        <f>all_data!F91</f>
        <v>1000</v>
      </c>
      <c r="H295">
        <f t="shared" si="16"/>
        <v>1000</v>
      </c>
      <c r="J295">
        <f t="shared" si="17"/>
        <v>0</v>
      </c>
      <c r="K295">
        <f t="shared" si="18"/>
        <v>1000</v>
      </c>
      <c r="L295" s="5" t="e">
        <f t="shared" si="19"/>
        <v>#DIV/0!</v>
      </c>
      <c r="M295" t="str">
        <f>all_data!H91</f>
        <v>Tommy
Dustin
Fabio
Dominik Meier</v>
      </c>
      <c r="N295" t="str">
        <f>all_data!I91</f>
        <v>Bertha von Suttner Schule</v>
      </c>
    </row>
    <row r="296" spans="1:14">
      <c r="A296">
        <f>all_data!A127</f>
        <v>125</v>
      </c>
      <c r="B296" t="str">
        <f>IF(C296&gt;0,all_data!B127,"")</f>
        <v>Elfenblüte</v>
      </c>
      <c r="C296">
        <f>all_data!C127</f>
        <v>10.4</v>
      </c>
      <c r="D296">
        <f>all_data!D127</f>
        <v>0</v>
      </c>
      <c r="E296" s="5">
        <f>all_data!E127</f>
        <v>0</v>
      </c>
      <c r="F296">
        <f>all_data!F127</f>
        <v>2200</v>
      </c>
      <c r="H296">
        <f t="shared" si="16"/>
        <v>0</v>
      </c>
      <c r="J296">
        <f t="shared" si="17"/>
        <v>0</v>
      </c>
      <c r="K296">
        <f t="shared" si="18"/>
        <v>2200</v>
      </c>
      <c r="L296" s="5" t="e">
        <f t="shared" si="19"/>
        <v>#DIV/0!</v>
      </c>
      <c r="M296" t="str">
        <f>all_data!H127</f>
        <v>Marieke Hollje
Frank Pinte Hollje</v>
      </c>
      <c r="N296">
        <f>all_data!I127</f>
        <v>0</v>
      </c>
    </row>
    <row r="297" spans="1:14">
      <c r="A297">
        <f>all_data!A132</f>
        <v>130</v>
      </c>
      <c r="B297" t="str">
        <f>IF(C297&gt;0,all_data!B132,"")</f>
        <v>Silberhauch</v>
      </c>
      <c r="C297">
        <f>all_data!C132</f>
        <v>10</v>
      </c>
      <c r="D297">
        <f>all_data!D132</f>
        <v>0</v>
      </c>
      <c r="E297" s="5">
        <f>all_data!E132</f>
        <v>0</v>
      </c>
      <c r="F297">
        <f>all_data!F132</f>
        <v>2800</v>
      </c>
      <c r="H297">
        <f t="shared" si="16"/>
        <v>2800</v>
      </c>
      <c r="J297">
        <f t="shared" si="17"/>
        <v>0</v>
      </c>
      <c r="K297">
        <f t="shared" si="18"/>
        <v>2800</v>
      </c>
      <c r="L297" s="5" t="e">
        <f t="shared" si="19"/>
        <v>#DIV/0!</v>
      </c>
      <c r="M297" t="str">
        <f>all_data!H132</f>
        <v>Marieke Hollje
Frank Pinte Hollje</v>
      </c>
      <c r="N297">
        <f>all_data!I132</f>
        <v>0</v>
      </c>
    </row>
    <row r="298" spans="1:14">
      <c r="A298">
        <f>all_data!A63</f>
        <v>61</v>
      </c>
      <c r="B298" t="str">
        <f>IF(C298&gt;0,all_data!B63,"")</f>
        <v>CostaConcordia</v>
      </c>
      <c r="C298">
        <f>all_data!C63</f>
        <v>5.4</v>
      </c>
      <c r="D298">
        <f>all_data!D63</f>
        <v>0</v>
      </c>
      <c r="E298" s="5">
        <f>all_data!E63</f>
        <v>0</v>
      </c>
      <c r="F298">
        <f>all_data!F63</f>
        <v>700</v>
      </c>
      <c r="H298">
        <f t="shared" si="16"/>
        <v>700</v>
      </c>
      <c r="J298">
        <f t="shared" si="17"/>
        <v>0</v>
      </c>
      <c r="K298">
        <f t="shared" si="18"/>
        <v>700</v>
      </c>
      <c r="L298" s="5" t="e">
        <f t="shared" si="19"/>
        <v>#DIV/0!</v>
      </c>
      <c r="M298" t="str">
        <f>all_data!H63</f>
        <v>Alexander Samp
Florian Sossou</v>
      </c>
      <c r="N298" t="str">
        <f>all_data!I63</f>
        <v>Gymnasium Wellingdorf</v>
      </c>
    </row>
    <row r="299" spans="1:14">
      <c r="A299">
        <f>all_data!A133</f>
        <v>131</v>
      </c>
      <c r="B299" t="str">
        <f>IF(C299&gt;0,all_data!B133,"")</f>
        <v>Revolutio</v>
      </c>
      <c r="C299">
        <f>all_data!C133</f>
        <v>11.2</v>
      </c>
      <c r="D299">
        <f>all_data!D133</f>
        <v>0</v>
      </c>
      <c r="E299" s="5">
        <f>all_data!E133</f>
        <v>0</v>
      </c>
      <c r="F299">
        <f>all_data!F133</f>
        <v>2900</v>
      </c>
      <c r="H299">
        <f t="shared" si="16"/>
        <v>0</v>
      </c>
      <c r="J299">
        <f t="shared" si="17"/>
        <v>0</v>
      </c>
      <c r="K299">
        <f t="shared" si="18"/>
        <v>2900</v>
      </c>
      <c r="L299" s="5" t="e">
        <f t="shared" si="19"/>
        <v>#DIV/0!</v>
      </c>
      <c r="M299" t="str">
        <f>all_data!H133</f>
        <v>Jacobo Fuentes Arévalo</v>
      </c>
      <c r="N299" t="str">
        <f>all_data!I133</f>
        <v>Polytechnic University of Madrid</v>
      </c>
    </row>
    <row r="300" spans="1:14">
      <c r="A300">
        <f>all_data!A138</f>
        <v>136</v>
      </c>
      <c r="B300" t="str">
        <f>IF(C300&gt;0,all_data!B138,"")</f>
        <v>Corny II 2013</v>
      </c>
      <c r="C300">
        <f>all_data!C138</f>
        <v>11.3</v>
      </c>
      <c r="D300">
        <f>all_data!D138</f>
        <v>0</v>
      </c>
      <c r="E300" s="5">
        <f>all_data!E138</f>
        <v>0</v>
      </c>
      <c r="F300">
        <f>all_data!F138</f>
        <v>4500</v>
      </c>
      <c r="H300">
        <f t="shared" si="16"/>
        <v>0</v>
      </c>
      <c r="J300">
        <f t="shared" si="17"/>
        <v>0</v>
      </c>
      <c r="K300">
        <f t="shared" si="18"/>
        <v>4500</v>
      </c>
      <c r="L300" s="5" t="e">
        <f t="shared" si="19"/>
        <v>#DIV/0!</v>
      </c>
      <c r="M300" t="str">
        <f>all_data!H138</f>
        <v>C. Cornilsen</v>
      </c>
      <c r="N300" t="str">
        <f>all_data!I138</f>
        <v>Jungmannschule Eckernförde</v>
      </c>
    </row>
    <row r="301" spans="1:14">
      <c r="A301">
        <f>all_data!A135</f>
        <v>133</v>
      </c>
      <c r="B301" t="str">
        <f>IF(C301&gt;0,all_data!B135,"")</f>
        <v>Corny 2013</v>
      </c>
      <c r="C301">
        <f>all_data!C135</f>
        <v>7.5</v>
      </c>
      <c r="D301">
        <f>all_data!D135</f>
        <v>0</v>
      </c>
      <c r="E301" s="5">
        <f>all_data!E135</f>
        <v>0</v>
      </c>
      <c r="F301">
        <f>all_data!F135</f>
        <v>3500</v>
      </c>
      <c r="H301">
        <f t="shared" si="16"/>
        <v>3500</v>
      </c>
      <c r="J301">
        <f t="shared" si="17"/>
        <v>0</v>
      </c>
      <c r="K301">
        <f t="shared" si="18"/>
        <v>3500</v>
      </c>
      <c r="L301" s="5" t="e">
        <f t="shared" si="19"/>
        <v>#DIV/0!</v>
      </c>
      <c r="M301" t="str">
        <f>all_data!H135</f>
        <v>C. Cornilsen</v>
      </c>
      <c r="N301" t="str">
        <f>all_data!I135</f>
        <v>Jungmannschule Eckernförde</v>
      </c>
    </row>
    <row r="302" spans="1:14">
      <c r="A302">
        <f>all_data!A136</f>
        <v>134</v>
      </c>
      <c r="B302" t="str">
        <f>IF(C302&gt;0,all_data!B136,"")</f>
        <v>Nuestra Senora de las Mercedes</v>
      </c>
      <c r="C302">
        <f>all_data!C136</f>
        <v>7.7</v>
      </c>
      <c r="D302">
        <f>all_data!D136</f>
        <v>0</v>
      </c>
      <c r="E302" s="5">
        <f>all_data!E136</f>
        <v>0</v>
      </c>
      <c r="F302">
        <f>all_data!F136</f>
        <v>4000</v>
      </c>
      <c r="H302">
        <f t="shared" si="16"/>
        <v>4000</v>
      </c>
      <c r="J302">
        <f t="shared" si="17"/>
        <v>0</v>
      </c>
      <c r="K302">
        <f t="shared" si="18"/>
        <v>4000</v>
      </c>
      <c r="L302" s="5" t="e">
        <f t="shared" si="19"/>
        <v>#DIV/0!</v>
      </c>
      <c r="M302" t="str">
        <f>all_data!H136</f>
        <v>Rafael dÀmore Domenech</v>
      </c>
      <c r="N302" t="str">
        <f>all_data!I136</f>
        <v>Polytechnic University of Madrid</v>
      </c>
    </row>
    <row r="322" spans="2:2">
      <c r="B322" t="str">
        <f>IF(C322&gt;0,all_data!B322,"")</f>
        <v/>
      </c>
    </row>
    <row r="323" spans="2:2">
      <c r="B323" t="str">
        <f>IF(C323&gt;0,all_data!B323,"")</f>
        <v/>
      </c>
    </row>
    <row r="324" spans="2:2">
      <c r="B324" t="str">
        <f>IF(C324&gt;0,all_data!B324,"")</f>
        <v/>
      </c>
    </row>
    <row r="325" spans="2:2">
      <c r="B325" t="str">
        <f>IF(C325&gt;0,all_data!B325,"")</f>
        <v/>
      </c>
    </row>
    <row r="326" spans="2:2">
      <c r="B326" t="str">
        <f>IF(C326&gt;0,all_data!B326,"")</f>
        <v/>
      </c>
    </row>
    <row r="327" spans="2:2">
      <c r="B327" t="str">
        <f>IF(C327&gt;0,all_data!B327,"")</f>
        <v/>
      </c>
    </row>
    <row r="328" spans="2:2">
      <c r="B328" t="str">
        <f>IF(C328&gt;0,all_data!B328,"")</f>
        <v/>
      </c>
    </row>
    <row r="329" spans="2:2">
      <c r="B329" t="str">
        <f>IF(C329&gt;0,all_data!B329,"")</f>
        <v/>
      </c>
    </row>
    <row r="330" spans="2:2">
      <c r="B330" t="str">
        <f>IF(C330&gt;0,all_data!B330,"")</f>
        <v/>
      </c>
    </row>
    <row r="331" spans="2:2">
      <c r="B331" t="str">
        <f>IF(C331&gt;0,all_data!B331,"")</f>
        <v/>
      </c>
    </row>
    <row r="332" spans="2:2">
      <c r="B332" t="str">
        <f>IF(C332&gt;0,all_data!B332,"")</f>
        <v/>
      </c>
    </row>
    <row r="333" spans="2:2">
      <c r="B333" t="str">
        <f>IF(C333&gt;0,all_data!B333,"")</f>
        <v/>
      </c>
    </row>
    <row r="334" spans="2:2">
      <c r="B334" t="str">
        <f>IF(C334&gt;0,all_data!B334,"")</f>
        <v/>
      </c>
    </row>
    <row r="335" spans="2:2">
      <c r="B335" t="str">
        <f>IF(C335&gt;0,all_data!B335,"")</f>
        <v/>
      </c>
    </row>
    <row r="336" spans="2:2">
      <c r="B336" t="str">
        <f>IF(C336&gt;0,all_data!B336,"")</f>
        <v/>
      </c>
    </row>
    <row r="337" spans="2:2">
      <c r="B337" t="str">
        <f>IF(C337&gt;0,all_data!B337,"")</f>
        <v/>
      </c>
    </row>
    <row r="338" spans="2:2">
      <c r="B338" t="str">
        <f>IF(C338&gt;0,all_data!B338,"")</f>
        <v/>
      </c>
    </row>
    <row r="339" spans="2:2">
      <c r="B339" t="str">
        <f>IF(C339&gt;0,all_data!B339,"")</f>
        <v/>
      </c>
    </row>
    <row r="340" spans="2:2">
      <c r="B340" t="str">
        <f>IF(C340&gt;0,all_data!B340,"")</f>
        <v/>
      </c>
    </row>
    <row r="341" spans="2:2">
      <c r="B341" t="str">
        <f>IF(C341&gt;0,all_data!B341,"")</f>
        <v/>
      </c>
    </row>
    <row r="342" spans="2:2">
      <c r="B342" t="str">
        <f>IF(C342&gt;0,all_data!B342,"")</f>
        <v/>
      </c>
    </row>
    <row r="343" spans="2:2">
      <c r="B343" t="str">
        <f>IF(C343&gt;0,all_data!B343,"")</f>
        <v/>
      </c>
    </row>
    <row r="344" spans="2:2">
      <c r="B344" t="str">
        <f>IF(C344&gt;0,all_data!B344,"")</f>
        <v/>
      </c>
    </row>
    <row r="345" spans="2:2">
      <c r="B345" t="str">
        <f>IF(C345&gt;0,all_data!B345,"")</f>
        <v/>
      </c>
    </row>
    <row r="346" spans="2:2">
      <c r="B346" t="str">
        <f>IF(C346&gt;0,all_data!B346,"")</f>
        <v/>
      </c>
    </row>
    <row r="347" spans="2:2">
      <c r="B347" t="str">
        <f>IF(C347&gt;0,all_data!B347,"")</f>
        <v/>
      </c>
    </row>
    <row r="348" spans="2:2">
      <c r="B348" t="str">
        <f>IF(C348&gt;0,all_data!B348,"")</f>
        <v/>
      </c>
    </row>
    <row r="349" spans="2:2">
      <c r="B349" t="str">
        <f>IF(C349&gt;0,all_data!B349,"")</f>
        <v/>
      </c>
    </row>
    <row r="350" spans="2:2">
      <c r="B350" t="str">
        <f>IF(C350&gt;0,all_data!B350,"")</f>
        <v/>
      </c>
    </row>
  </sheetData>
  <sortState ref="A3:N350">
    <sortCondition ref="L3"/>
  </sortState>
  <customSheetViews>
    <customSheetView guid="{78B3A349-4A6A-4124-974B-C4B81C7019CD}" scale="60" showRuler="0">
      <selection activeCell="U12" sqref="U12"/>
      <pageMargins left="0.78740157499999996" right="0.78740157499999996" top="0.984251969" bottom="0.984251969" header="0.4921259845" footer="0.4921259845"/>
      <headerFooter alignWithMargins="0"/>
    </customSheetView>
    <customSheetView guid="{F48999E8-45B5-4A7E-B3AF-FA7A59AA8144}" scale="60" showRuler="0">
      <selection activeCell="U12" sqref="U12"/>
      <pageMargins left="0.78740157499999996" right="0.78740157499999996" top="0.984251969" bottom="0.984251969" header="0.4921259845" footer="0.4921259845"/>
      <headerFooter alignWithMargins="0"/>
    </customSheetView>
  </customSheetViews>
  <phoneticPr fontId="0" type="noConversion"/>
  <pageMargins left="0.78740157499999996" right="0.78740157499999996" top="0.984251969" bottom="0.984251969" header="0.4921259845" footer="0.492125984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tabColor indexed="50"/>
  </sheetPr>
  <dimension ref="A24:U77"/>
  <sheetViews>
    <sheetView showGridLines="0" showRowColHeaders="0" tabSelected="1" showOutlineSymbols="0" workbookViewId="0">
      <pane ySplit="42" topLeftCell="A43" activePane="bottomLeft" state="frozenSplit"/>
      <selection pane="bottomLeft" activeCell="B53" sqref="B53"/>
    </sheetView>
  </sheetViews>
  <sheetFormatPr baseColWidth="10" defaultRowHeight="12.75"/>
  <cols>
    <col min="1" max="1" width="2.5703125" style="81" customWidth="1"/>
    <col min="2" max="2" width="8.5703125" style="81" customWidth="1"/>
    <col min="3" max="3" width="23.140625" style="81" customWidth="1"/>
    <col min="4" max="4" width="7.7109375" style="81" customWidth="1"/>
    <col min="5" max="5" width="8.5703125" style="81" customWidth="1"/>
    <col min="6" max="6" width="21.85546875" style="81" customWidth="1"/>
    <col min="7" max="7" width="4.5703125" style="81" customWidth="1"/>
    <col min="8" max="8" width="3.7109375" style="81" customWidth="1"/>
    <col min="9" max="9" width="2.28515625" style="81" customWidth="1"/>
    <col min="10" max="10" width="5.28515625" style="81" customWidth="1"/>
    <col min="11" max="16384" width="11.42578125" style="81"/>
  </cols>
  <sheetData>
    <row r="24" spans="1:14" ht="13.5" thickBot="1">
      <c r="D24" s="82"/>
    </row>
    <row r="25" spans="1:14" ht="13.5" thickBot="1">
      <c r="B25" s="88" t="s">
        <v>16</v>
      </c>
      <c r="C25" s="89"/>
      <c r="D25" s="83"/>
      <c r="E25" s="88" t="s">
        <v>81</v>
      </c>
      <c r="F25" s="89"/>
      <c r="G25" s="84"/>
    </row>
    <row r="26" spans="1:14">
      <c r="B26" s="90" t="s">
        <v>10</v>
      </c>
      <c r="C26" s="91" t="str">
        <f>'d-weight'!J3</f>
        <v>Titanic II</v>
      </c>
      <c r="D26" s="82"/>
      <c r="E26" s="90" t="s">
        <v>10</v>
      </c>
      <c r="F26" s="91" t="str">
        <f>verhaeltniss!B3</f>
        <v>Titanic II</v>
      </c>
      <c r="G26" s="85"/>
    </row>
    <row r="27" spans="1:14">
      <c r="B27" s="90" t="s">
        <v>11</v>
      </c>
      <c r="C27" s="91" t="str">
        <f>'d-weight'!J4</f>
        <v>Little Nemo</v>
      </c>
      <c r="D27" s="82"/>
      <c r="E27" s="90" t="s">
        <v>11</v>
      </c>
      <c r="F27" s="91" t="str">
        <f>verhaeltniss!B4</f>
        <v>Little Nemo</v>
      </c>
      <c r="G27" s="85"/>
    </row>
    <row r="28" spans="1:14" ht="13.5" thickBot="1">
      <c r="A28" s="82"/>
      <c r="B28" s="90" t="s">
        <v>12</v>
      </c>
      <c r="C28" s="91" t="str">
        <f>'d-weight'!J5</f>
        <v>Hong Nga 1</v>
      </c>
      <c r="D28" s="85"/>
      <c r="E28" s="90" t="s">
        <v>12</v>
      </c>
      <c r="F28" s="91" t="str">
        <f>verhaeltniss!B5</f>
        <v>Hong Nga 1</v>
      </c>
      <c r="G28" s="85"/>
    </row>
    <row r="29" spans="1:14" ht="16.5" thickBot="1">
      <c r="A29" s="82"/>
      <c r="B29" s="90" t="s">
        <v>13</v>
      </c>
      <c r="C29" s="91" t="str">
        <f>'d-weight'!J6</f>
        <v>Skipper</v>
      </c>
      <c r="D29" s="85"/>
      <c r="E29" s="90" t="s">
        <v>13</v>
      </c>
      <c r="F29" s="91" t="str">
        <f>verhaeltniss!B6</f>
        <v>Under Water</v>
      </c>
      <c r="G29" s="85"/>
      <c r="K29" s="107">
        <v>4.7370000000000001</v>
      </c>
      <c r="L29" s="108"/>
    </row>
    <row r="30" spans="1:14">
      <c r="A30" s="82"/>
      <c r="B30" s="90" t="s">
        <v>14</v>
      </c>
      <c r="C30" s="91" t="str">
        <f>'d-weight'!J7</f>
        <v/>
      </c>
      <c r="D30" s="85"/>
      <c r="E30" s="90" t="s">
        <v>14</v>
      </c>
      <c r="F30" s="91" t="str">
        <f>verhaeltniss!B7</f>
        <v>Skipper</v>
      </c>
      <c r="G30" s="85"/>
      <c r="H30" s="82"/>
    </row>
    <row r="31" spans="1:14" ht="13.5" thickBot="1">
      <c r="A31" s="82"/>
      <c r="B31" s="92" t="s">
        <v>15</v>
      </c>
      <c r="C31" s="93" t="str">
        <f>'d-weight'!J8</f>
        <v/>
      </c>
      <c r="D31" s="85"/>
      <c r="E31" s="92" t="s">
        <v>15</v>
      </c>
      <c r="F31" s="93" t="str">
        <f>verhaeltniss!B8</f>
        <v>sensor 2013</v>
      </c>
      <c r="G31" s="85"/>
      <c r="H31" s="6"/>
      <c r="I31" s="7"/>
      <c r="J31" s="7"/>
      <c r="K31" s="7"/>
      <c r="L31" s="7"/>
      <c r="M31" s="7"/>
      <c r="N31" s="8"/>
    </row>
    <row r="32" spans="1:14" ht="13.5" thickBot="1">
      <c r="A32" s="82"/>
      <c r="B32" s="85"/>
      <c r="C32" s="85"/>
      <c r="D32" s="85"/>
      <c r="E32" s="85"/>
      <c r="F32" s="85"/>
      <c r="G32" s="85"/>
      <c r="H32" s="9"/>
      <c r="I32" s="10"/>
      <c r="J32" s="10"/>
      <c r="K32" s="11" t="s">
        <v>68</v>
      </c>
      <c r="L32" s="11"/>
      <c r="M32" s="10"/>
      <c r="N32" s="12"/>
    </row>
    <row r="33" spans="1:21" ht="13.5" thickBot="1">
      <c r="A33" s="82"/>
      <c r="B33" s="94" t="s">
        <v>17</v>
      </c>
      <c r="C33" s="95"/>
      <c r="D33" s="95"/>
      <c r="E33" s="95"/>
      <c r="F33" s="96"/>
      <c r="G33" s="82"/>
      <c r="H33" s="9"/>
      <c r="I33" s="10"/>
      <c r="J33" s="10"/>
      <c r="K33" s="11" t="s">
        <v>69</v>
      </c>
      <c r="L33" s="11"/>
      <c r="M33" s="10"/>
      <c r="N33" s="12"/>
    </row>
    <row r="34" spans="1:21" ht="13.5" thickBot="1">
      <c r="A34" s="82"/>
      <c r="B34" s="97" t="str">
        <f>prognose!B3</f>
        <v>Mumie</v>
      </c>
      <c r="C34" s="98"/>
      <c r="D34" s="98" t="s">
        <v>9</v>
      </c>
      <c r="E34" s="99">
        <f>prognose!L3</f>
        <v>72.744617061869718</v>
      </c>
      <c r="F34" s="100" t="s">
        <v>30</v>
      </c>
      <c r="G34" s="82"/>
      <c r="H34" s="13"/>
      <c r="I34" s="14"/>
      <c r="J34" s="14"/>
      <c r="K34" s="14"/>
      <c r="L34" s="14"/>
      <c r="M34" s="14"/>
      <c r="N34" s="15"/>
    </row>
    <row r="35" spans="1:21">
      <c r="G35" s="82"/>
    </row>
    <row r="36" spans="1:21">
      <c r="D36" s="109" t="s">
        <v>388</v>
      </c>
      <c r="E36" s="110"/>
      <c r="F36" s="110"/>
      <c r="G36" s="110"/>
      <c r="H36" s="110"/>
      <c r="I36" s="110"/>
      <c r="J36" s="110"/>
      <c r="K36" s="110"/>
      <c r="L36" s="110"/>
    </row>
    <row r="37" spans="1:21">
      <c r="D37" s="110"/>
      <c r="E37" s="110"/>
      <c r="F37" s="110"/>
      <c r="G37" s="110"/>
      <c r="H37" s="110"/>
      <c r="I37" s="110"/>
      <c r="J37" s="110"/>
      <c r="K37" s="110"/>
      <c r="L37" s="110"/>
    </row>
    <row r="40" spans="1:21" s="86" customFormat="1" ht="18"/>
    <row r="41" spans="1:21" s="86" customFormat="1" ht="18"/>
    <row r="44" spans="1:21">
      <c r="U44" s="87">
        <v>56</v>
      </c>
    </row>
    <row r="45" spans="1:21">
      <c r="U45" s="87">
        <f>LOOKUP(U44,all_data!A3:A300,all_data!D3:D300)</f>
        <v>9.9179999999999993</v>
      </c>
    </row>
    <row r="47" spans="1:21" ht="18">
      <c r="H47" s="86"/>
      <c r="I47" s="86"/>
      <c r="J47" s="86"/>
      <c r="K47" s="86"/>
    </row>
    <row r="52" spans="2:3">
      <c r="B52" s="84" t="s">
        <v>392</v>
      </c>
    </row>
    <row r="53" spans="2:3">
      <c r="B53" s="84" t="s">
        <v>391</v>
      </c>
      <c r="C53" s="81" t="s">
        <v>392</v>
      </c>
    </row>
    <row r="70" spans="4:4">
      <c r="D70" s="81">
        <v>10000</v>
      </c>
    </row>
    <row r="71" spans="4:4">
      <c r="D71" s="81">
        <v>10000</v>
      </c>
    </row>
    <row r="72" spans="4:4">
      <c r="D72" s="81">
        <v>10000</v>
      </c>
    </row>
    <row r="73" spans="4:4">
      <c r="D73" s="81">
        <v>10000</v>
      </c>
    </row>
    <row r="74" spans="4:4">
      <c r="D74" s="81">
        <v>10000</v>
      </c>
    </row>
    <row r="75" spans="4:4">
      <c r="D75" s="81">
        <v>10000</v>
      </c>
    </row>
    <row r="76" spans="4:4">
      <c r="D76" s="81">
        <v>10000</v>
      </c>
    </row>
    <row r="77" spans="4:4">
      <c r="D77" s="81">
        <v>10000</v>
      </c>
    </row>
  </sheetData>
  <customSheetViews>
    <customSheetView guid="{78B3A349-4A6A-4124-974B-C4B81C7019CD}" showGridLines="0" showRowCol="0" outlineSymbols="0" zeroValues="0" showRuler="0">
      <pane ySplit="41" topLeftCell="A80" activePane="bottomLeft" state="frozenSplit"/>
      <selection pane="bottomLeft" activeCell="K29" sqref="K29:L29"/>
      <pageMargins left="0.78740157499999996" right="0.78740157499999996" top="0.984251969" bottom="0.984251969" header="0.4921259845" footer="0.4921259845"/>
      <pageSetup paperSize="9" orientation="portrait" horizontalDpi="1200" verticalDpi="1200" r:id="rId1"/>
      <headerFooter alignWithMargins="0"/>
    </customSheetView>
    <customSheetView guid="{F48999E8-45B5-4A7E-B3AF-FA7A59AA8144}" showGridLines="0" showRowCol="0" outlineSymbols="0" zeroValues="0" showRuler="0">
      <pane ySplit="42" topLeftCell="A79" activePane="bottomLeft" state="frozenSplit"/>
      <selection pane="bottomLeft" activeCell="K29" sqref="K29:L29"/>
      <pageMargins left="0.78740157499999996" right="0.78740157499999996" top="0.984251969" bottom="0.984251969" header="0.4921259845" footer="0.4921259845"/>
      <pageSetup paperSize="9" orientation="portrait" horizontalDpi="1200" verticalDpi="1200" r:id="rId2"/>
      <headerFooter alignWithMargins="0"/>
    </customSheetView>
  </customSheetViews>
  <mergeCells count="2">
    <mergeCell ref="K29:L29"/>
    <mergeCell ref="D36:L37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1200" verticalDpi="120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6" name="Button 10">
              <controlPr locked="0" defaultSize="0" print="0" autoFill="0" autoPict="0" macro="[0]!test">
                <anchor moveWithCells="1" sizeWithCells="1">
                  <from>
                    <xdr:col>12</xdr:col>
                    <xdr:colOff>304800</xdr:colOff>
                    <xdr:row>25</xdr:row>
                    <xdr:rowOff>133350</xdr:rowOff>
                  </from>
                  <to>
                    <xdr:col>14</xdr:col>
                    <xdr:colOff>200025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Drop Down 11">
              <controlPr locked="0" defaultSize="0" autoLine="0" autoPict="0" macro="[0]!Dropdown11_BeiÄnderung">
                <anchor moveWithCells="1">
                  <from>
                    <xdr:col>9</xdr:col>
                    <xdr:colOff>361950</xdr:colOff>
                    <xdr:row>25</xdr:row>
                    <xdr:rowOff>161925</xdr:rowOff>
                  </from>
                  <to>
                    <xdr:col>12</xdr:col>
                    <xdr:colOff>142875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8" name="Button 14">
              <controlPr locked="0" defaultSize="0" print="0" autoFill="0" autoPict="0" macro="[0]!druck_sieger">
                <anchor moveWithCells="1" sizeWithCells="1">
                  <from>
                    <xdr:col>12</xdr:col>
                    <xdr:colOff>361950</xdr:colOff>
                    <xdr:row>34</xdr:row>
                    <xdr:rowOff>104775</xdr:rowOff>
                  </from>
                  <to>
                    <xdr:col>13</xdr:col>
                    <xdr:colOff>752475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9" name="Button 16">
              <controlPr locked="0" defaultSize="0" print="0" autoFill="0" autoPict="0" macro="[0]!Messwert1">
                <anchor moveWithCells="1" sizeWithCells="1">
                  <from>
                    <xdr:col>12</xdr:col>
                    <xdr:colOff>304800</xdr:colOff>
                    <xdr:row>27</xdr:row>
                    <xdr:rowOff>152400</xdr:rowOff>
                  </from>
                  <to>
                    <xdr:col>14</xdr:col>
                    <xdr:colOff>190500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0" name="Button 17">
              <controlPr locked="0" defaultSize="0" print="0" autoFill="0" autoPict="0" macro="[0]!Connect">
                <anchor moveWithCells="1" sizeWithCells="1">
                  <from>
                    <xdr:col>1</xdr:col>
                    <xdr:colOff>9525</xdr:colOff>
                    <xdr:row>53</xdr:row>
                    <xdr:rowOff>47625</xdr:rowOff>
                  </from>
                  <to>
                    <xdr:col>2</xdr:col>
                    <xdr:colOff>657225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1" name="Button 18">
              <controlPr locked="0" defaultSize="0" print="0" autoFill="0" autoPict="0" macro="[0]!Messwert2">
                <anchor moveWithCells="1" sizeWithCells="1">
                  <from>
                    <xdr:col>0</xdr:col>
                    <xdr:colOff>161925</xdr:colOff>
                    <xdr:row>48</xdr:row>
                    <xdr:rowOff>19050</xdr:rowOff>
                  </from>
                  <to>
                    <xdr:col>2</xdr:col>
                    <xdr:colOff>828675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H324"/>
  <sheetViews>
    <sheetView zoomScale="75" workbookViewId="0">
      <selection activeCell="B9" sqref="B9"/>
    </sheetView>
  </sheetViews>
  <sheetFormatPr baseColWidth="10" defaultRowHeight="12.75"/>
  <cols>
    <col min="1" max="1" width="6.7109375" style="33" customWidth="1"/>
    <col min="2" max="2" width="17.42578125" style="78" customWidth="1"/>
    <col min="3" max="3" width="7.7109375" style="59" customWidth="1"/>
    <col min="4" max="4" width="9.85546875" style="34" customWidth="1"/>
    <col min="5" max="5" width="9" style="35" customWidth="1"/>
    <col min="6" max="6" width="12" style="33" customWidth="1"/>
    <col min="7" max="7" width="19.28515625" style="27" customWidth="1"/>
    <col min="8" max="8" width="41" style="69" customWidth="1"/>
    <col min="9" max="16384" width="11.42578125" style="25"/>
  </cols>
  <sheetData>
    <row r="1" spans="1:8" s="36" customFormat="1" ht="32.25" customHeight="1">
      <c r="A1" s="111" t="s">
        <v>59</v>
      </c>
      <c r="B1" s="112"/>
      <c r="C1" s="112"/>
      <c r="D1" s="113"/>
      <c r="E1" s="114"/>
      <c r="F1" s="112"/>
      <c r="G1" s="112"/>
      <c r="H1" s="65"/>
    </row>
    <row r="3" spans="1:8" s="28" customFormat="1" ht="31.5">
      <c r="A3" s="24" t="s">
        <v>36</v>
      </c>
      <c r="B3" s="56" t="s">
        <v>38</v>
      </c>
      <c r="C3" s="56" t="s">
        <v>39</v>
      </c>
      <c r="D3" s="45" t="s">
        <v>40</v>
      </c>
      <c r="E3" s="39" t="s">
        <v>37</v>
      </c>
      <c r="F3" s="24" t="s">
        <v>7</v>
      </c>
      <c r="G3" s="24" t="s">
        <v>60</v>
      </c>
      <c r="H3" s="66" t="s">
        <v>20</v>
      </c>
    </row>
    <row r="4" spans="1:8" s="30" customFormat="1" ht="51">
      <c r="A4" s="31">
        <v>1</v>
      </c>
      <c r="B4" s="106" t="str">
        <f>IF(all_data!C58&lt;=10,all_data!B58,0)</f>
        <v>Titanic II</v>
      </c>
      <c r="C4" s="57">
        <f>IF(all_data!C58&lt;=10,all_data!C58,0)</f>
        <v>6.9</v>
      </c>
      <c r="D4" s="50">
        <f>IF(all_data!C58&lt;=10,all_data!D58,0)</f>
        <v>9.9179999999999993</v>
      </c>
      <c r="E4" s="52">
        <f>IF(all_data!C58&lt;=10,all_data!E58,0)</f>
        <v>1.4373913043478259</v>
      </c>
      <c r="F4" s="51">
        <f>IF(all_data!C58&lt;=10,all_data!F58,0)</f>
        <v>500</v>
      </c>
      <c r="G4" s="29" t="str">
        <f>IF(all_data!C58&lt;=10,all_data!H58,0)</f>
        <v>Felix Grabe
Marcel Bodin
Cora-Katja-Herkommer</v>
      </c>
      <c r="H4" s="67" t="str">
        <f>IF(all_data!C58&lt;=10,all_data!I58,0)</f>
        <v>Bertha von Suttner Schule</v>
      </c>
    </row>
    <row r="5" spans="1:8" s="30" customFormat="1" ht="15.75">
      <c r="A5" s="31">
        <v>2</v>
      </c>
      <c r="B5" s="106" t="str">
        <f>IF(all_data!C28&lt;=10,all_data!B28,0)</f>
        <v>Little Nemo</v>
      </c>
      <c r="C5" s="57">
        <f>IF(all_data!C28&lt;=10,all_data!C28,0)</f>
        <v>9.6999999999999993</v>
      </c>
      <c r="D5" s="50">
        <f>IF(all_data!C28&lt;=10,all_data!D28,0)</f>
        <v>9.26</v>
      </c>
      <c r="E5" s="52">
        <f>IF(all_data!C28&lt;=10,all_data!E28,0)</f>
        <v>0.95463917525773201</v>
      </c>
      <c r="F5" s="51">
        <f>IF(all_data!C28&lt;=10,all_data!F28,0)</f>
        <v>1</v>
      </c>
      <c r="G5" s="29" t="str">
        <f>IF(all_data!C28&lt;=10,all_data!H28,0)</f>
        <v>Jenny Mandler</v>
      </c>
      <c r="H5" s="67" t="str">
        <f>IF(all_data!C28&lt;=10,all_data!I28,0)</f>
        <v>Ernst-Abbe-Gymnasium</v>
      </c>
    </row>
    <row r="6" spans="1:8" s="30" customFormat="1" ht="15.75">
      <c r="A6" s="31">
        <v>3</v>
      </c>
      <c r="B6" s="106" t="str">
        <f>IF(all_data!C49&lt;=10,all_data!B49,0)</f>
        <v>Hong Nga 1</v>
      </c>
      <c r="C6" s="57">
        <f>IF(all_data!C49&lt;=10,all_data!C49,0)</f>
        <v>7</v>
      </c>
      <c r="D6" s="50">
        <f>IF(all_data!C49&lt;=10,all_data!D49,0)</f>
        <v>6.165</v>
      </c>
      <c r="E6" s="52">
        <f>IF(all_data!C49&lt;=10,all_data!E49,0)</f>
        <v>0.88071428571428567</v>
      </c>
      <c r="F6" s="51">
        <f>IF(all_data!C49&lt;=10,all_data!F49,0)</f>
        <v>200</v>
      </c>
      <c r="G6" s="29" t="str">
        <f>IF(all_data!C49&lt;=10,all_data!H49,0)</f>
        <v>Hong Nga Ly</v>
      </c>
      <c r="H6" s="67" t="str">
        <f>IF(all_data!C49&lt;=10,all_data!I49,0)</f>
        <v>Athenaueum Stade</v>
      </c>
    </row>
    <row r="7" spans="1:8" s="30" customFormat="1" ht="15.75">
      <c r="A7" s="31">
        <v>4</v>
      </c>
      <c r="B7" s="106" t="str">
        <f>IF(all_data!C55&lt;=10,all_data!B55,0)</f>
        <v>Skipper</v>
      </c>
      <c r="C7" s="57">
        <f>IF(all_data!C55&lt;=10,all_data!C55,0)</f>
        <v>9.1999999999999993</v>
      </c>
      <c r="D7" s="50">
        <f>IF(all_data!C55&lt;=10,all_data!D55,0)</f>
        <v>3.5619999999999998</v>
      </c>
      <c r="E7" s="52">
        <f>IF(all_data!C55&lt;=10,all_data!E55,0)</f>
        <v>0.38717391304347826</v>
      </c>
      <c r="F7" s="51">
        <f>IF(all_data!C55&lt;=10,all_data!F55,0)</f>
        <v>350</v>
      </c>
      <c r="G7" s="29" t="str">
        <f>IF(all_data!C55&lt;=10,all_data!H55,0)</f>
        <v>Nike</v>
      </c>
      <c r="H7" s="67" t="str">
        <f>IF(all_data!C55&lt;=10,all_data!I55,0)</f>
        <v>Jungmannschule Eckernförde</v>
      </c>
    </row>
    <row r="8" spans="1:8" s="30" customFormat="1" ht="25.5">
      <c r="A8" s="31">
        <v>5</v>
      </c>
      <c r="B8" s="106" t="str">
        <f>IF(all_data!C40&lt;=10,all_data!B40,0)</f>
        <v>Solida</v>
      </c>
      <c r="C8" s="57">
        <f>IF(all_data!C40&lt;=10,all_data!C40,0)</f>
        <v>9.9</v>
      </c>
      <c r="D8" s="50">
        <f>IF(all_data!C40&lt;=10,all_data!D40,0)</f>
        <v>0</v>
      </c>
      <c r="E8" s="52">
        <f>IF(all_data!C40&lt;=10,all_data!E40,0)</f>
        <v>0</v>
      </c>
      <c r="F8" s="51">
        <f>IF(all_data!C40&lt;=10,all_data!F40,0)</f>
        <v>1</v>
      </c>
      <c r="G8" s="29" t="str">
        <f>IF(all_data!C40&lt;=10,all_data!H40,0)</f>
        <v>Ingrid Bierkamp-Nienkarken</v>
      </c>
      <c r="H8" s="67">
        <f>IF(all_data!C40&lt;=10,all_data!I40,0)</f>
        <v>0</v>
      </c>
    </row>
    <row r="9" spans="1:8" s="30" customFormat="1" ht="15.75">
      <c r="A9" s="31">
        <v>6</v>
      </c>
      <c r="B9" s="106" t="str">
        <f>IF(all_data!C118&lt;=10,all_data!B118,0)</f>
        <v>Moritz</v>
      </c>
      <c r="C9" s="57">
        <f>IF(all_data!C118&lt;=10,all_data!C118,0)</f>
        <v>10</v>
      </c>
      <c r="D9" s="50">
        <f>IF(all_data!C118&lt;=10,all_data!D118,0)</f>
        <v>0</v>
      </c>
      <c r="E9" s="52">
        <f>IF(all_data!C118&lt;=10,all_data!E118,0)</f>
        <v>0</v>
      </c>
      <c r="F9" s="51">
        <f>IF(all_data!C118&lt;=10,all_data!F118,0)</f>
        <v>2000</v>
      </c>
      <c r="G9" s="29" t="str">
        <f>IF(all_data!C118&lt;=10,all_data!H118,0)</f>
        <v>Marlene Lüdtke</v>
      </c>
      <c r="H9" s="67">
        <f>IF(all_data!C118&lt;=10,all_data!I118,0)</f>
        <v>0</v>
      </c>
    </row>
    <row r="10" spans="1:8" s="30" customFormat="1" ht="15.75">
      <c r="A10" s="31">
        <v>7</v>
      </c>
      <c r="B10" s="106" t="str">
        <f>IF(all_data!C121&lt;=10,all_data!B121,0)</f>
        <v>Top</v>
      </c>
      <c r="C10" s="57">
        <f>IF(all_data!C121&lt;=10,all_data!C121,0)</f>
        <v>9.5</v>
      </c>
      <c r="D10" s="50">
        <f>IF(all_data!C121&lt;=10,all_data!D121,0)</f>
        <v>0</v>
      </c>
      <c r="E10" s="52">
        <f>IF(all_data!C121&lt;=10,all_data!E121,0)</f>
        <v>0</v>
      </c>
      <c r="F10" s="51">
        <f>IF(all_data!C121&lt;=10,all_data!F121,0)</f>
        <v>2000</v>
      </c>
      <c r="G10" s="29" t="str">
        <f>IF(all_data!C121&lt;=10,all_data!H121,0)</f>
        <v>Tom Kuhl</v>
      </c>
      <c r="H10" s="67" t="str">
        <f>IF(all_data!C121&lt;=10,all_data!I121,0)</f>
        <v>Ernst-Abbe-Gymnasium</v>
      </c>
    </row>
    <row r="11" spans="1:8" s="30" customFormat="1" ht="15.75">
      <c r="A11" s="31">
        <v>8</v>
      </c>
      <c r="B11" s="106" t="str">
        <f>IF(all_data!C117&lt;=10,all_data!B117,0)</f>
        <v>Max</v>
      </c>
      <c r="C11" s="57">
        <f>IF(all_data!C117&lt;=10,all_data!C117,0)</f>
        <v>8.6</v>
      </c>
      <c r="D11" s="50">
        <f>IF(all_data!C117&lt;=10,all_data!D117,0)</f>
        <v>0</v>
      </c>
      <c r="E11" s="52">
        <f>IF(all_data!C117&lt;=10,all_data!E117,0)</f>
        <v>0</v>
      </c>
      <c r="F11" s="51">
        <f>IF(all_data!C117&lt;=10,all_data!F117,0)</f>
        <v>2000</v>
      </c>
      <c r="G11" s="29" t="str">
        <f>IF(all_data!C117&lt;=10,all_data!H117,0)</f>
        <v>Marlene Lüdtke</v>
      </c>
      <c r="H11" s="67">
        <f>IF(all_data!C117&lt;=10,all_data!I117,0)</f>
        <v>0</v>
      </c>
    </row>
    <row r="12" spans="1:8" ht="15.75">
      <c r="A12" s="31">
        <v>9</v>
      </c>
      <c r="B12" s="106" t="str">
        <f>IF(all_data!C76&lt;=10,all_data!B76,0)</f>
        <v>Bismarck I</v>
      </c>
      <c r="C12" s="57">
        <f>IF(all_data!C76&lt;=10,all_data!C76,0)</f>
        <v>9.9</v>
      </c>
      <c r="D12" s="50">
        <f>IF(all_data!C76&lt;=10,all_data!D76,0)</f>
        <v>0</v>
      </c>
      <c r="E12" s="52">
        <f>IF(all_data!C76&lt;=10,all_data!E76,0)</f>
        <v>0</v>
      </c>
      <c r="F12" s="51">
        <f>IF(all_data!C76&lt;=10,all_data!F76,0)</f>
        <v>1000</v>
      </c>
      <c r="G12" s="29" t="str">
        <f>IF(all_data!C76&lt;=10,all_data!H76,0)</f>
        <v>Lukas Balle</v>
      </c>
      <c r="H12" s="67" t="str">
        <f>IF(all_data!C76&lt;=10,all_data!I76,0)</f>
        <v>Ernst-Abbe-Gymnasium</v>
      </c>
    </row>
    <row r="13" spans="1:8" ht="15.75">
      <c r="A13" s="31">
        <v>10</v>
      </c>
      <c r="B13" s="106" t="str">
        <f>IF(all_data!C125&lt;=10,all_data!B125,0)</f>
        <v>Zum Schößchen</v>
      </c>
      <c r="C13" s="57">
        <f>IF(all_data!C125&lt;=10,all_data!C125,0)</f>
        <v>8.6999999999999993</v>
      </c>
      <c r="D13" s="50">
        <f>IF(all_data!C125&lt;=10,all_data!D125,0)</f>
        <v>0</v>
      </c>
      <c r="E13" s="52">
        <f>IF(all_data!C125&lt;=10,all_data!E125,0)</f>
        <v>0</v>
      </c>
      <c r="F13" s="51">
        <f>IF(all_data!C125&lt;=10,all_data!F125,0)</f>
        <v>2000</v>
      </c>
      <c r="G13" s="29" t="str">
        <f>IF(all_data!C125&lt;=10,all_data!H125,0)</f>
        <v>Jessika Lüdtke</v>
      </c>
      <c r="H13" s="67">
        <f>IF(all_data!C125&lt;=10,all_data!I125,0)</f>
        <v>0</v>
      </c>
    </row>
    <row r="14" spans="1:8" ht="15.75">
      <c r="A14" s="31">
        <v>11</v>
      </c>
      <c r="B14" s="106" t="str">
        <f>IF(all_data!C126&lt;=10,all_data!B126,0)</f>
        <v>Neptun</v>
      </c>
      <c r="C14" s="57">
        <f>IF(all_data!C126&lt;=10,all_data!C126,0)</f>
        <v>10</v>
      </c>
      <c r="D14" s="50">
        <f>IF(all_data!C126&lt;=10,all_data!D126,0)</f>
        <v>0</v>
      </c>
      <c r="E14" s="52">
        <f>IF(all_data!C126&lt;=10,all_data!E126,0)</f>
        <v>0</v>
      </c>
      <c r="F14" s="51">
        <f>IF(all_data!C126&lt;=10,all_data!F126,0)</f>
        <v>2100</v>
      </c>
      <c r="G14" s="29" t="str">
        <f>IF(all_data!C126&lt;=10,all_data!H126,0)</f>
        <v>Benjamin Wittke</v>
      </c>
      <c r="H14" s="67" t="str">
        <f>IF(all_data!C126&lt;=10,all_data!I126,0)</f>
        <v>Wossidlo-Gymnasium</v>
      </c>
    </row>
    <row r="15" spans="1:8" ht="15.75">
      <c r="A15" s="31">
        <v>12</v>
      </c>
      <c r="B15" s="106" t="str">
        <f>IF(all_data!C77&lt;=10,all_data!B77,0)</f>
        <v>Bismark III</v>
      </c>
      <c r="C15" s="57">
        <f>IF(all_data!C77&lt;=10,all_data!C77,0)</f>
        <v>9.5</v>
      </c>
      <c r="D15" s="50">
        <f>IF(all_data!C77&lt;=10,all_data!D77,0)</f>
        <v>0</v>
      </c>
      <c r="E15" s="52">
        <f>IF(all_data!C77&lt;=10,all_data!E77,0)</f>
        <v>0</v>
      </c>
      <c r="F15" s="51">
        <f>IF(all_data!C77&lt;=10,all_data!F77,0)</f>
        <v>1000</v>
      </c>
      <c r="G15" s="29" t="str">
        <f>IF(all_data!C77&lt;=10,all_data!H77,0)</f>
        <v>Christoph Stern</v>
      </c>
      <c r="H15" s="67" t="str">
        <f>IF(all_data!C77&lt;=10,all_data!I77,0)</f>
        <v>Wossidlo-Gymnasium</v>
      </c>
    </row>
    <row r="16" spans="1:8" ht="15.75">
      <c r="A16" s="31">
        <v>13</v>
      </c>
      <c r="B16" s="106" t="str">
        <f>IF(all_data!C105&lt;=10,all_data!B105,0)</f>
        <v>Octopussy</v>
      </c>
      <c r="C16" s="57">
        <f>IF(all_data!C105&lt;=10,all_data!C105,0)</f>
        <v>9.8000000000000007</v>
      </c>
      <c r="D16" s="50">
        <f>IF(all_data!C105&lt;=10,all_data!D105,0)</f>
        <v>0</v>
      </c>
      <c r="E16" s="52">
        <f>IF(all_data!C105&lt;=10,all_data!E105,0)</f>
        <v>0</v>
      </c>
      <c r="F16" s="51">
        <f>IF(all_data!C105&lt;=10,all_data!F105,0)</f>
        <v>1673</v>
      </c>
      <c r="G16" s="29" t="str">
        <f>IF(all_data!C105&lt;=10,all_data!H105,0)</f>
        <v>Marie-Christin Kostow</v>
      </c>
      <c r="H16" s="67" t="str">
        <f>IF(all_data!C105&lt;=10,all_data!I105,0)</f>
        <v>Wossidlo-Gymnasium</v>
      </c>
    </row>
    <row r="17" spans="1:8" ht="15.75">
      <c r="A17" s="31">
        <v>14</v>
      </c>
      <c r="B17" s="106" t="str">
        <f>IF(all_data!C113&lt;=10,all_data!B113,0)</f>
        <v>Expendable</v>
      </c>
      <c r="C17" s="57">
        <f>IF(all_data!C113&lt;=10,all_data!C113,0)</f>
        <v>9.6999999999999993</v>
      </c>
      <c r="D17" s="50">
        <f>IF(all_data!C113&lt;=10,all_data!D113,0)</f>
        <v>0</v>
      </c>
      <c r="E17" s="52">
        <f>IF(all_data!C113&lt;=10,all_data!E113,0)</f>
        <v>0</v>
      </c>
      <c r="F17" s="51">
        <f>IF(all_data!C113&lt;=10,all_data!F113,0)</f>
        <v>2000</v>
      </c>
      <c r="G17" s="29" t="str">
        <f>IF(all_data!C113&lt;=10,all_data!H113,0)</f>
        <v>Scott Schneider</v>
      </c>
      <c r="H17" s="67" t="str">
        <f>IF(all_data!C113&lt;=10,all_data!I113,0)</f>
        <v>Wossidlo-Gymnasium</v>
      </c>
    </row>
    <row r="18" spans="1:8" ht="15.75">
      <c r="A18" s="31">
        <v>15</v>
      </c>
      <c r="B18" s="106" t="str">
        <f>IF(all_data!C102&lt;=10,all_data!B102,0)</f>
        <v>Planktonium</v>
      </c>
      <c r="C18" s="57">
        <f>IF(all_data!C102&lt;=10,all_data!C102,0)</f>
        <v>8.3000000000000007</v>
      </c>
      <c r="D18" s="50">
        <f>IF(all_data!C102&lt;=10,all_data!D102,0)</f>
        <v>0</v>
      </c>
      <c r="E18" s="52">
        <f>IF(all_data!C102&lt;=10,all_data!E102,0)</f>
        <v>0</v>
      </c>
      <c r="F18" s="51">
        <f>IF(all_data!C102&lt;=10,all_data!F102,0)</f>
        <v>1500</v>
      </c>
      <c r="G18" s="29" t="str">
        <f>IF(all_data!C102&lt;=10,all_data!H102,0)</f>
        <v>Sebastian Stork</v>
      </c>
      <c r="H18" s="67" t="str">
        <f>IF(all_data!C102&lt;=10,all_data!I102,0)</f>
        <v>Wossidlo-Gymnasium</v>
      </c>
    </row>
    <row r="19" spans="1:8" ht="15.75">
      <c r="A19" s="31">
        <v>16</v>
      </c>
      <c r="B19" s="106" t="str">
        <f>IF(all_data!C104&lt;=10,all_data!B104,0)</f>
        <v>HMS Maretania</v>
      </c>
      <c r="C19" s="57">
        <f>IF(all_data!C104&lt;=10,all_data!C104,0)</f>
        <v>9.9</v>
      </c>
      <c r="D19" s="50">
        <f>IF(all_data!C104&lt;=10,all_data!D104,0)</f>
        <v>0</v>
      </c>
      <c r="E19" s="52">
        <f>IF(all_data!C104&lt;=10,all_data!E104,0)</f>
        <v>0</v>
      </c>
      <c r="F19" s="51">
        <f>IF(all_data!C104&lt;=10,all_data!F104,0)</f>
        <v>1600</v>
      </c>
      <c r="G19" s="29" t="str">
        <f>IF(all_data!C104&lt;=10,all_data!H104,0)</f>
        <v>Ludwig Stenzel</v>
      </c>
      <c r="H19" s="67" t="str">
        <f>IF(all_data!C104&lt;=10,all_data!I104,0)</f>
        <v>Wossidlo-Gymnasium</v>
      </c>
    </row>
    <row r="20" spans="1:8" ht="15.75">
      <c r="A20" s="31">
        <v>17</v>
      </c>
      <c r="B20" s="106" t="str">
        <f>IF(all_data!C106&lt;=10,all_data!B106,0)</f>
        <v>MS. Evalt</v>
      </c>
      <c r="C20" s="57">
        <f>IF(all_data!C106&lt;=10,all_data!C106,0)</f>
        <v>9.6999999999999993</v>
      </c>
      <c r="D20" s="50">
        <f>IF(all_data!C106&lt;=10,all_data!D106,0)</f>
        <v>0</v>
      </c>
      <c r="E20" s="52">
        <f>IF(all_data!C106&lt;=10,all_data!E106,0)</f>
        <v>0</v>
      </c>
      <c r="F20" s="51">
        <f>IF(all_data!C106&lt;=10,all_data!F106,0)</f>
        <v>1700</v>
      </c>
      <c r="G20" s="29" t="str">
        <f>IF(all_data!C106&lt;=10,all_data!H106,0)</f>
        <v>Peter Brand</v>
      </c>
      <c r="H20" s="67" t="str">
        <f>IF(all_data!C106&lt;=10,all_data!I106,0)</f>
        <v>Wossidlo-Gymnasium</v>
      </c>
    </row>
    <row r="21" spans="1:8" ht="15.75">
      <c r="A21" s="31">
        <v>18</v>
      </c>
      <c r="B21" s="106" t="str">
        <f>IF(all_data!C124&lt;=10,all_data!B124,0)</f>
        <v>Zum Schluss</v>
      </c>
      <c r="C21" s="57">
        <f>IF(all_data!C124&lt;=10,all_data!C124,0)</f>
        <v>9.8000000000000007</v>
      </c>
      <c r="D21" s="50">
        <f>IF(all_data!C124&lt;=10,all_data!D124,0)</f>
        <v>0</v>
      </c>
      <c r="E21" s="52">
        <f>IF(all_data!C124&lt;=10,all_data!E124,0)</f>
        <v>0</v>
      </c>
      <c r="F21" s="51">
        <f>IF(all_data!C124&lt;=10,all_data!F124,0)</f>
        <v>2000</v>
      </c>
      <c r="G21" s="29" t="str">
        <f>IF(all_data!C124&lt;=10,all_data!H124,0)</f>
        <v>Jessika Lüdtke</v>
      </c>
      <c r="H21" s="67">
        <f>IF(all_data!C124&lt;=10,all_data!I124,0)</f>
        <v>0</v>
      </c>
    </row>
    <row r="22" spans="1:8" ht="25.5">
      <c r="A22" s="31">
        <v>19</v>
      </c>
      <c r="B22" s="106" t="str">
        <f>IF(all_data!C112&lt;=10,all_data!B112,0)</f>
        <v>BINKS</v>
      </c>
      <c r="C22" s="57">
        <f>IF(all_data!C112&lt;=10,all_data!C112,0)</f>
        <v>9.6</v>
      </c>
      <c r="D22" s="50">
        <f>IF(all_data!C112&lt;=10,all_data!D112,0)</f>
        <v>0</v>
      </c>
      <c r="E22" s="52">
        <f>IF(all_data!C112&lt;=10,all_data!E112,0)</f>
        <v>0</v>
      </c>
      <c r="F22" s="51">
        <f>IF(all_data!C112&lt;=10,all_data!F112,0)</f>
        <v>2000</v>
      </c>
      <c r="G22" s="29" t="str">
        <f>IF(all_data!C112&lt;=10,all_data!H112,0)</f>
        <v>Laura Groß
Lina Sofie Scholz</v>
      </c>
      <c r="H22" s="67" t="str">
        <f>IF(all_data!C112&lt;=10,all_data!I112,0)</f>
        <v>Gymnasium Wellingdorf</v>
      </c>
    </row>
    <row r="23" spans="1:8" ht="15.75">
      <c r="A23" s="31">
        <v>20</v>
      </c>
      <c r="B23" s="106" t="str">
        <f>IF(all_data!C131&lt;=10,all_data!B131,0)</f>
        <v>Jonas</v>
      </c>
      <c r="C23" s="57">
        <f>IF(all_data!C131&lt;=10,all_data!C131,0)</f>
        <v>9.4</v>
      </c>
      <c r="D23" s="50">
        <f>IF(all_data!C131&lt;=10,all_data!D131,0)</f>
        <v>0</v>
      </c>
      <c r="E23" s="52">
        <f>IF(all_data!C131&lt;=10,all_data!E131,0)</f>
        <v>0</v>
      </c>
      <c r="F23" s="51">
        <f>IF(all_data!C131&lt;=10,all_data!F131,0)</f>
        <v>2700</v>
      </c>
      <c r="G23" s="29" t="str">
        <f>IF(all_data!C131&lt;=10,all_data!H131,0)</f>
        <v>Benjamin Wittke</v>
      </c>
      <c r="H23" s="67" t="str">
        <f>IF(all_data!C131&lt;=10,all_data!I131,0)</f>
        <v>Wossidlo-Gymnasium</v>
      </c>
    </row>
    <row r="24" spans="1:8" ht="15.75">
      <c r="A24" s="31">
        <v>21</v>
      </c>
      <c r="B24" s="106" t="str">
        <f>IF(all_data!C130&lt;=10,all_data!B130,0)</f>
        <v>PB10</v>
      </c>
      <c r="C24" s="57">
        <f>IF(all_data!C130&lt;=10,all_data!C130,0)</f>
        <v>9.8000000000000007</v>
      </c>
      <c r="D24" s="50">
        <f>IF(all_data!C130&lt;=10,all_data!D130,0)</f>
        <v>0</v>
      </c>
      <c r="E24" s="52">
        <f>IF(all_data!C130&lt;=10,all_data!E130,0)</f>
        <v>0</v>
      </c>
      <c r="F24" s="51">
        <f>IF(all_data!C130&lt;=10,all_data!F130,0)</f>
        <v>2500</v>
      </c>
      <c r="G24" s="29" t="str">
        <f>IF(all_data!C130&lt;=10,all_data!H130,0)</f>
        <v>Martin Eckermann</v>
      </c>
      <c r="H24" s="67">
        <f>IF(all_data!C130&lt;=10,all_data!I130,0)</f>
        <v>0</v>
      </c>
    </row>
    <row r="25" spans="1:8" ht="15.75">
      <c r="A25" s="31">
        <v>22</v>
      </c>
      <c r="B25" s="106" t="str">
        <f>IF(all_data!C134&lt;=10,all_data!B134,0)</f>
        <v>PB02</v>
      </c>
      <c r="C25" s="57">
        <f>IF(all_data!C134&lt;=10,all_data!C134,0)</f>
        <v>10</v>
      </c>
      <c r="D25" s="50">
        <f>IF(all_data!C134&lt;=10,all_data!D134,0)</f>
        <v>0</v>
      </c>
      <c r="E25" s="52">
        <f>IF(all_data!C134&lt;=10,all_data!E134,0)</f>
        <v>0</v>
      </c>
      <c r="F25" s="51">
        <f>IF(all_data!C134&lt;=10,all_data!F134,0)</f>
        <v>3200</v>
      </c>
      <c r="G25" s="29" t="str">
        <f>IF(all_data!C134&lt;=10,all_data!H134,0)</f>
        <v>Martin Eckermann</v>
      </c>
      <c r="H25" s="67">
        <f>IF(all_data!C134&lt;=10,all_data!I134,0)</f>
        <v>0</v>
      </c>
    </row>
    <row r="26" spans="1:8" ht="15.75">
      <c r="A26" s="31">
        <v>23</v>
      </c>
      <c r="B26" s="106" t="str">
        <f>IF(all_data!C107&lt;=10,all_data!B107,0)</f>
        <v>Weisse Rose</v>
      </c>
      <c r="C26" s="57">
        <f>IF(all_data!C107&lt;=10,all_data!C107,0)</f>
        <v>9.6999999999999993</v>
      </c>
      <c r="D26" s="50">
        <f>IF(all_data!C107&lt;=10,all_data!D107,0)</f>
        <v>0</v>
      </c>
      <c r="E26" s="52">
        <f>IF(all_data!C107&lt;=10,all_data!E107,0)</f>
        <v>0</v>
      </c>
      <c r="F26" s="51">
        <f>IF(all_data!C107&lt;=10,all_data!F107,0)</f>
        <v>1700</v>
      </c>
      <c r="G26" s="29" t="str">
        <f>IF(all_data!C107&lt;=10,all_data!H107,0)</f>
        <v>Marius Roggenbuck</v>
      </c>
      <c r="H26" s="67" t="str">
        <f>IF(all_data!C107&lt;=10,all_data!I107,0)</f>
        <v>Wossidlo-Gymnasium</v>
      </c>
    </row>
    <row r="27" spans="1:8" ht="15.75">
      <c r="A27" s="31">
        <v>24</v>
      </c>
      <c r="B27" s="106" t="str">
        <f>IF(all_data!C51&lt;=10,all_data!B51,0)</f>
        <v>stabil</v>
      </c>
      <c r="C27" s="57">
        <f>IF(all_data!C51&lt;=10,all_data!C51,0)</f>
        <v>8.9</v>
      </c>
      <c r="D27" s="50">
        <f>IF(all_data!C51&lt;=10,all_data!D51,0)</f>
        <v>0</v>
      </c>
      <c r="E27" s="52">
        <f>IF(all_data!C51&lt;=10,all_data!E51,0)</f>
        <v>0</v>
      </c>
      <c r="F27" s="51">
        <f>IF(all_data!C51&lt;=10,all_data!F51,0)</f>
        <v>200</v>
      </c>
      <c r="G27" s="29" t="str">
        <f>IF(all_data!C51&lt;=10,all_data!H51,0)</f>
        <v>Ilona Liesche</v>
      </c>
      <c r="H27" s="67" t="str">
        <f>IF(all_data!C51&lt;=10,all_data!I51,0)</f>
        <v>Ernst-Abbe-Gymnasium</v>
      </c>
    </row>
    <row r="28" spans="1:8" ht="15.75">
      <c r="A28" s="31">
        <v>25</v>
      </c>
      <c r="B28" s="106" t="str">
        <f>IF(all_data!C100&lt;=10,all_data!B100,0)</f>
        <v>You Oush</v>
      </c>
      <c r="C28" s="57">
        <f>IF(all_data!C100&lt;=10,all_data!C100,0)</f>
        <v>9.5</v>
      </c>
      <c r="D28" s="50">
        <f>IF(all_data!C100&lt;=10,all_data!D100,0)</f>
        <v>0</v>
      </c>
      <c r="E28" s="52">
        <f>IF(all_data!C100&lt;=10,all_data!E100,0)</f>
        <v>0</v>
      </c>
      <c r="F28" s="51">
        <f>IF(all_data!C100&lt;=10,all_data!F100,0)</f>
        <v>1400</v>
      </c>
      <c r="G28" s="29" t="str">
        <f>IF(all_data!C100&lt;=10,all_data!H100,0)</f>
        <v>Willi Karberg</v>
      </c>
      <c r="H28" s="67" t="str">
        <f>IF(all_data!C100&lt;=10,all_data!I100,0)</f>
        <v>Wossidlo-Gymnasium</v>
      </c>
    </row>
    <row r="29" spans="1:8" ht="15.75">
      <c r="A29" s="31">
        <v>26</v>
      </c>
      <c r="B29" s="106" t="str">
        <f>IF(all_data!C110&lt;=10,all_data!B110,0)</f>
        <v>My Fair Lady</v>
      </c>
      <c r="C29" s="57">
        <f>IF(all_data!C110&lt;=10,all_data!C110,0)</f>
        <v>9.8000000000000007</v>
      </c>
      <c r="D29" s="50">
        <f>IF(all_data!C110&lt;=10,all_data!D110,0)</f>
        <v>0</v>
      </c>
      <c r="E29" s="52">
        <f>IF(all_data!C110&lt;=10,all_data!E110,0)</f>
        <v>0</v>
      </c>
      <c r="F29" s="51">
        <f>IF(all_data!C110&lt;=10,all_data!F110,0)</f>
        <v>1863</v>
      </c>
      <c r="G29" s="29" t="str">
        <f>IF(all_data!C110&lt;=10,all_data!H110,0)</f>
        <v>Julia Bernert</v>
      </c>
      <c r="H29" s="67" t="str">
        <f>IF(all_data!C110&lt;=10,all_data!I110,0)</f>
        <v>Wossidlo-Gymnasium</v>
      </c>
    </row>
    <row r="30" spans="1:8" ht="15.75">
      <c r="A30" s="31">
        <v>27</v>
      </c>
      <c r="B30" s="106" t="str">
        <f>IF(all_data!C93&lt;=10,all_data!B93,0)</f>
        <v>MS Downstairs</v>
      </c>
      <c r="C30" s="57">
        <f>IF(all_data!C93&lt;=10,all_data!C93,0)</f>
        <v>10</v>
      </c>
      <c r="D30" s="50">
        <f>IF(all_data!C93&lt;=10,all_data!D93,0)</f>
        <v>0</v>
      </c>
      <c r="E30" s="52">
        <f>IF(all_data!C93&lt;=10,all_data!E93,0)</f>
        <v>0</v>
      </c>
      <c r="F30" s="51">
        <f>IF(all_data!C93&lt;=10,all_data!F93,0)</f>
        <v>1200</v>
      </c>
      <c r="G30" s="29" t="str">
        <f>IF(all_data!C93&lt;=10,all_data!H93,0)</f>
        <v>Jonas Groth</v>
      </c>
      <c r="H30" s="67" t="str">
        <f>IF(all_data!C93&lt;=10,all_data!I93,0)</f>
        <v>Wossidlo-Gymnasium</v>
      </c>
    </row>
    <row r="31" spans="1:8" ht="25.5">
      <c r="A31" s="31">
        <v>28</v>
      </c>
      <c r="B31" s="106" t="str">
        <f>IF(all_data!C80&lt;=10,all_data!B80,0)</f>
        <v>Donauwörther Nussschale</v>
      </c>
      <c r="C31" s="57">
        <f>IF(all_data!C80&lt;=10,all_data!C80,0)</f>
        <v>9.5</v>
      </c>
      <c r="D31" s="50">
        <f>IF(all_data!C80&lt;=10,all_data!D80,0)</f>
        <v>0</v>
      </c>
      <c r="E31" s="52">
        <f>IF(all_data!C80&lt;=10,all_data!E80,0)</f>
        <v>0</v>
      </c>
      <c r="F31" s="51">
        <f>IF(all_data!C80&lt;=10,all_data!F80,0)</f>
        <v>1000</v>
      </c>
      <c r="G31" s="29" t="str">
        <f>IF(all_data!C80&lt;=10,all_data!H80,0)</f>
        <v>Gymnasium Donauwörth</v>
      </c>
      <c r="H31" s="67" t="str">
        <f>IF(all_data!C80&lt;=10,all_data!I80,0)</f>
        <v>Gymnasium Donauwörth</v>
      </c>
    </row>
    <row r="32" spans="1:8" ht="15.75">
      <c r="A32" s="31">
        <v>29</v>
      </c>
      <c r="B32" s="106" t="str">
        <f>IF(all_data!C129&lt;=10,all_data!B129,0)</f>
        <v>MS Mississippi</v>
      </c>
      <c r="C32" s="57">
        <f>IF(all_data!C129&lt;=10,all_data!C129,0)</f>
        <v>9.5</v>
      </c>
      <c r="D32" s="50">
        <f>IF(all_data!C129&lt;=10,all_data!D129,0)</f>
        <v>0</v>
      </c>
      <c r="E32" s="52">
        <f>IF(all_data!C129&lt;=10,all_data!E129,0)</f>
        <v>0</v>
      </c>
      <c r="F32" s="51">
        <f>IF(all_data!C129&lt;=10,all_data!F129,0)</f>
        <v>2250</v>
      </c>
      <c r="G32" s="29" t="str">
        <f>IF(all_data!C129&lt;=10,all_data!H129,0)</f>
        <v>Benno Weischer</v>
      </c>
      <c r="H32" s="67">
        <f>IF(all_data!C129&lt;=10,all_data!I129,0)</f>
        <v>0</v>
      </c>
    </row>
    <row r="33" spans="1:8" ht="15.75">
      <c r="A33" s="31">
        <v>30</v>
      </c>
      <c r="B33" s="106" t="str">
        <f>IF(all_data!C115&lt;=10,all_data!B115,0)</f>
        <v>H3H7</v>
      </c>
      <c r="C33" s="57">
        <f>IF(all_data!C115&lt;=10,all_data!C115,0)</f>
        <v>8.1999999999999993</v>
      </c>
      <c r="D33" s="50">
        <f>IF(all_data!C115&lt;=10,all_data!D115,0)</f>
        <v>0</v>
      </c>
      <c r="E33" s="52">
        <f>IF(all_data!C115&lt;=10,all_data!E115,0)</f>
        <v>0</v>
      </c>
      <c r="F33" s="51">
        <f>IF(all_data!C115&lt;=10,all_data!F115,0)</f>
        <v>2000</v>
      </c>
      <c r="G33" s="29" t="str">
        <f>IF(all_data!C115&lt;=10,all_data!H115,0)</f>
        <v>Fredy Lüdtke</v>
      </c>
      <c r="H33" s="67">
        <f>IF(all_data!C115&lt;=10,all_data!I115,0)</f>
        <v>0</v>
      </c>
    </row>
    <row r="34" spans="1:8" ht="25.5">
      <c r="A34" s="31">
        <v>31</v>
      </c>
      <c r="B34" s="106" t="str">
        <f>IF(all_data!C128&lt;=10,all_data!B128,0)</f>
        <v>LINKS</v>
      </c>
      <c r="C34" s="57">
        <f>IF(all_data!C128&lt;=10,all_data!C128,0)</f>
        <v>9.4</v>
      </c>
      <c r="D34" s="50">
        <f>IF(all_data!C128&lt;=10,all_data!D128,0)</f>
        <v>0</v>
      </c>
      <c r="E34" s="52">
        <f>IF(all_data!C128&lt;=10,all_data!E128,0)</f>
        <v>0</v>
      </c>
      <c r="F34" s="51">
        <f>IF(all_data!C128&lt;=10,all_data!F128,0)</f>
        <v>2225</v>
      </c>
      <c r="G34" s="29" t="str">
        <f>IF(all_data!C128&lt;=10,all_data!H128,0)</f>
        <v>Lina Sofie Scholz
Laura Groß</v>
      </c>
      <c r="H34" s="67">
        <f>IF(all_data!C128&lt;=10,all_data!I128,0)</f>
        <v>0</v>
      </c>
    </row>
    <row r="35" spans="1:8" ht="30.75" customHeight="1">
      <c r="A35" s="31">
        <v>32</v>
      </c>
      <c r="B35" s="106" t="str">
        <f>IF(all_data!C83&lt;=10,all_data!B83,0)</f>
        <v>HAWK</v>
      </c>
      <c r="C35" s="57">
        <f>IF(all_data!C83&lt;=10,all_data!C83,0)</f>
        <v>10</v>
      </c>
      <c r="D35" s="50">
        <f>IF(all_data!C83&lt;=10,all_data!D83,0)</f>
        <v>0</v>
      </c>
      <c r="E35" s="52">
        <f>IF(all_data!C83&lt;=10,all_data!E83,0)</f>
        <v>0</v>
      </c>
      <c r="F35" s="51">
        <f>IF(all_data!C83&lt;=10,all_data!F83,0)</f>
        <v>1000</v>
      </c>
      <c r="G35" s="29" t="str">
        <f>IF(all_data!C83&lt;=10,all_data!H83,0)</f>
        <v>Gymnasium Donauwörth</v>
      </c>
      <c r="H35" s="67" t="str">
        <f>IF(all_data!C83&lt;=10,all_data!I83,0)</f>
        <v>Gymnasium Donauwörth</v>
      </c>
    </row>
    <row r="36" spans="1:8" ht="15.75">
      <c r="A36" s="31">
        <v>33</v>
      </c>
      <c r="B36" s="106" t="str">
        <f>IF(all_data!C109&lt;=10,all_data!B109,0)</f>
        <v>MS Kargow</v>
      </c>
      <c r="C36" s="57">
        <f>IF(all_data!C109&lt;=10,all_data!C109,0)</f>
        <v>9.4</v>
      </c>
      <c r="D36" s="50">
        <f>IF(all_data!C109&lt;=10,all_data!D109,0)</f>
        <v>0</v>
      </c>
      <c r="E36" s="52">
        <f>IF(all_data!C109&lt;=10,all_data!E109,0)</f>
        <v>0</v>
      </c>
      <c r="F36" s="51">
        <f>IF(all_data!C109&lt;=10,all_data!F109,0)</f>
        <v>1800</v>
      </c>
      <c r="G36" s="29" t="str">
        <f>IF(all_data!C109&lt;=10,all_data!H109,0)</f>
        <v>Maximilian Thurm</v>
      </c>
      <c r="H36" s="67" t="str">
        <f>IF(all_data!C109&lt;=10,all_data!I109,0)</f>
        <v>Wossidlo-Gymnasium</v>
      </c>
    </row>
    <row r="37" spans="1:8" ht="15.75">
      <c r="A37" s="31">
        <v>34</v>
      </c>
      <c r="B37" s="106" t="str">
        <f>IF(all_data!C111&lt;=10,all_data!B111,0)</f>
        <v>Ü-Boot</v>
      </c>
      <c r="C37" s="57">
        <f>IF(all_data!C111&lt;=10,all_data!C111,0)</f>
        <v>9.8000000000000007</v>
      </c>
      <c r="D37" s="50">
        <f>IF(all_data!C111&lt;=10,all_data!D111,0)</f>
        <v>0</v>
      </c>
      <c r="E37" s="52">
        <f>IF(all_data!C111&lt;=10,all_data!E111,0)</f>
        <v>0</v>
      </c>
      <c r="F37" s="51">
        <f>IF(all_data!C111&lt;=10,all_data!F111,0)</f>
        <v>1900</v>
      </c>
      <c r="G37" s="29" t="str">
        <f>IF(all_data!C111&lt;=10,all_data!H111,0)</f>
        <v>Lars Erhard Düring</v>
      </c>
      <c r="H37" s="67" t="str">
        <f>IF(all_data!C111&lt;=10,all_data!I111,0)</f>
        <v>Wossidlo-Gymnasium</v>
      </c>
    </row>
    <row r="38" spans="1:8" ht="25.5">
      <c r="A38" s="31">
        <v>35</v>
      </c>
      <c r="B38" s="106" t="str">
        <f>IF(all_data!C79&lt;=10,all_data!B79,0)</f>
        <v>Donau-Dampfer</v>
      </c>
      <c r="C38" s="57">
        <f>IF(all_data!C79&lt;=10,all_data!C79,0)</f>
        <v>9.1999999999999993</v>
      </c>
      <c r="D38" s="50">
        <f>IF(all_data!C79&lt;=10,all_data!D79,0)</f>
        <v>0</v>
      </c>
      <c r="E38" s="52">
        <f>IF(all_data!C79&lt;=10,all_data!E79,0)</f>
        <v>0</v>
      </c>
      <c r="F38" s="51">
        <f>IF(all_data!C79&lt;=10,all_data!F79,0)</f>
        <v>1000</v>
      </c>
      <c r="G38" s="29" t="str">
        <f>IF(all_data!C79&lt;=10,all_data!H79,0)</f>
        <v>Gymnasium Donauwörth</v>
      </c>
      <c r="H38" s="67" t="str">
        <f>IF(all_data!C79&lt;=10,all_data!I79,0)</f>
        <v>Gymnasium Donauwörth</v>
      </c>
    </row>
    <row r="39" spans="1:8" ht="25.5">
      <c r="A39" s="31">
        <v>36</v>
      </c>
      <c r="B39" s="106" t="str">
        <f>IF(all_data!C89&lt;=10,all_data!B89,0)</f>
        <v>MS Unglaublich</v>
      </c>
      <c r="C39" s="57">
        <f>IF(all_data!C89&lt;=10,all_data!C89,0)</f>
        <v>9.6999999999999993</v>
      </c>
      <c r="D39" s="50">
        <f>IF(all_data!C89&lt;=10,all_data!D89,0)</f>
        <v>0</v>
      </c>
      <c r="E39" s="52">
        <f>IF(all_data!C89&lt;=10,all_data!E89,0)</f>
        <v>0</v>
      </c>
      <c r="F39" s="51">
        <f>IF(all_data!C89&lt;=10,all_data!F89,0)</f>
        <v>1000</v>
      </c>
      <c r="G39" s="29" t="str">
        <f>IF(all_data!C89&lt;=10,all_data!H89,0)</f>
        <v>Gymnasium Donauwörth</v>
      </c>
      <c r="H39" s="67" t="str">
        <f>IF(all_data!C89&lt;=10,all_data!I89,0)</f>
        <v>Gymnasium Donauwörth</v>
      </c>
    </row>
    <row r="40" spans="1:8" ht="15.75">
      <c r="A40" s="31">
        <v>37</v>
      </c>
      <c r="B40" s="106" t="str">
        <f>IF(all_data!C97&lt;=10,all_data!B97,0)</f>
        <v>Puzzel 2</v>
      </c>
      <c r="C40" s="57">
        <f>IF(all_data!C97&lt;=10,all_data!C97,0)</f>
        <v>9.1999999999999993</v>
      </c>
      <c r="D40" s="50">
        <f>IF(all_data!C97&lt;=10,all_data!D97,0)</f>
        <v>0</v>
      </c>
      <c r="E40" s="52">
        <f>IF(all_data!C97&lt;=10,all_data!E97,0)</f>
        <v>0</v>
      </c>
      <c r="F40" s="51">
        <f>IF(all_data!C97&lt;=10,all_data!F97,0)</f>
        <v>1353</v>
      </c>
      <c r="G40" s="29" t="str">
        <f>IF(all_data!C97&lt;=10,all_data!H97,0)</f>
        <v>Leonhard Stork</v>
      </c>
      <c r="H40" s="67" t="str">
        <f>IF(all_data!C97&lt;=10,all_data!I97,0)</f>
        <v>Wossidlo-Gymnasium</v>
      </c>
    </row>
    <row r="41" spans="1:8" ht="15.75">
      <c r="A41" s="31">
        <v>38</v>
      </c>
      <c r="B41" s="106" t="str">
        <f>IF(all_data!C116&lt;=10,all_data!B116,0)</f>
        <v>Königswasser B1</v>
      </c>
      <c r="C41" s="57">
        <f>IF(all_data!C116&lt;=10,all_data!C116,0)</f>
        <v>9.8000000000000007</v>
      </c>
      <c r="D41" s="50">
        <f>IF(all_data!C116&lt;=10,all_data!D116,0)</f>
        <v>0</v>
      </c>
      <c r="E41" s="52">
        <f>IF(all_data!C116&lt;=10,all_data!E116,0)</f>
        <v>0</v>
      </c>
      <c r="F41" s="51">
        <f>IF(all_data!C116&lt;=10,all_data!F116,0)</f>
        <v>2000</v>
      </c>
      <c r="G41" s="29" t="str">
        <f>IF(all_data!C116&lt;=10,all_data!H116,0)</f>
        <v>Wolfgang Böttcher</v>
      </c>
      <c r="H41" s="67">
        <f>IF(all_data!C116&lt;=10,all_data!I116,0)</f>
        <v>0</v>
      </c>
    </row>
    <row r="42" spans="1:8" ht="15.75">
      <c r="A42" s="31">
        <v>39</v>
      </c>
      <c r="B42" s="106" t="str">
        <f>IF(all_data!C123&lt;=10,all_data!B123,0)</f>
        <v>und weg</v>
      </c>
      <c r="C42" s="57">
        <f>IF(all_data!C123&lt;=10,all_data!C123,0)</f>
        <v>8.1999999999999993</v>
      </c>
      <c r="D42" s="50">
        <f>IF(all_data!C123&lt;=10,all_data!D123,0)</f>
        <v>0</v>
      </c>
      <c r="E42" s="52">
        <f>IF(all_data!C123&lt;=10,all_data!E123,0)</f>
        <v>0</v>
      </c>
      <c r="F42" s="51">
        <f>IF(all_data!C123&lt;=10,all_data!F123,0)</f>
        <v>2000</v>
      </c>
      <c r="G42" s="29" t="str">
        <f>IF(all_data!C123&lt;=10,all_data!H123,0)</f>
        <v>Hartmut Lüdtke</v>
      </c>
      <c r="H42" s="67">
        <f>IF(all_data!C123&lt;=10,all_data!I123,0)</f>
        <v>0</v>
      </c>
    </row>
    <row r="43" spans="1:8" ht="15.75">
      <c r="A43" s="31">
        <v>40</v>
      </c>
      <c r="B43" s="106" t="str">
        <f>IF(all_data!C99&lt;=10,all_data!B99,0)</f>
        <v>Poseidon</v>
      </c>
      <c r="C43" s="57">
        <f>IF(all_data!C99&lt;=10,all_data!C99,0)</f>
        <v>8.6999999999999993</v>
      </c>
      <c r="D43" s="50">
        <f>IF(all_data!C99&lt;=10,all_data!D99,0)</f>
        <v>0</v>
      </c>
      <c r="E43" s="52">
        <f>IF(all_data!C99&lt;=10,all_data!E99,0)</f>
        <v>0</v>
      </c>
      <c r="F43" s="51">
        <f>IF(all_data!C99&lt;=10,all_data!F99,0)</f>
        <v>1400</v>
      </c>
      <c r="G43" s="29" t="str">
        <f>IF(all_data!C99&lt;=10,all_data!H99,0)</f>
        <v>Tobias Tulke</v>
      </c>
      <c r="H43" s="67" t="str">
        <f>IF(all_data!C99&lt;=10,all_data!I99,0)</f>
        <v>Wossidlo-Gymnasium</v>
      </c>
    </row>
    <row r="44" spans="1:8" ht="25.5">
      <c r="A44" s="31">
        <v>41</v>
      </c>
      <c r="B44" s="106" t="str">
        <f>IF(all_data!C78&lt;=10,all_data!B78,0)</f>
        <v>CHARON</v>
      </c>
      <c r="C44" s="57">
        <f>IF(all_data!C78&lt;=10,all_data!C78,0)</f>
        <v>9.6999999999999993</v>
      </c>
      <c r="D44" s="50">
        <f>IF(all_data!C78&lt;=10,all_data!D78,0)</f>
        <v>0</v>
      </c>
      <c r="E44" s="52">
        <f>IF(all_data!C78&lt;=10,all_data!E78,0)</f>
        <v>0</v>
      </c>
      <c r="F44" s="51">
        <f>IF(all_data!C78&lt;=10,all_data!F78,0)</f>
        <v>1000</v>
      </c>
      <c r="G44" s="29" t="str">
        <f>IF(all_data!C78&lt;=10,all_data!H78,0)</f>
        <v>Gymnasium Donauwörth</v>
      </c>
      <c r="H44" s="67" t="str">
        <f>IF(all_data!C78&lt;=10,all_data!I78,0)</f>
        <v>Gymnasium Donauwörth</v>
      </c>
    </row>
    <row r="45" spans="1:8" ht="38.25">
      <c r="A45" s="31">
        <v>42</v>
      </c>
      <c r="B45" s="106" t="str">
        <f>IF(all_data!C98&lt;=10,all_data!B98,0)</f>
        <v>Smoking Hippo</v>
      </c>
      <c r="C45" s="57">
        <f>IF(all_data!C98&lt;=10,all_data!C98,0)</f>
        <v>9.6</v>
      </c>
      <c r="D45" s="50">
        <f>IF(all_data!C98&lt;=10,all_data!D98,0)</f>
        <v>0</v>
      </c>
      <c r="E45" s="52">
        <f>IF(all_data!C98&lt;=10,all_data!E98,0)</f>
        <v>0</v>
      </c>
      <c r="F45" s="51">
        <f>IF(all_data!C98&lt;=10,all_data!F98,0)</f>
        <v>1397</v>
      </c>
      <c r="G45" s="29" t="str">
        <f>IF(all_data!C98&lt;=10,all_data!H98,0)</f>
        <v>Nicola Brüninghoff
Konstantin Baune
Martin Truong</v>
      </c>
      <c r="H45" s="67" t="str">
        <f>IF(all_data!C98&lt;=10,all_data!I98,0)</f>
        <v>Pascal Gymnasium Münster</v>
      </c>
    </row>
    <row r="46" spans="1:8" ht="15.75">
      <c r="A46" s="31">
        <v>43</v>
      </c>
      <c r="B46" s="106" t="str">
        <f>IF(all_data!C119&lt;=10,all_data!B119,0)</f>
        <v>N1H7</v>
      </c>
      <c r="C46" s="57">
        <f>IF(all_data!C119&lt;=10,all_data!C119,0)</f>
        <v>8.6999999999999993</v>
      </c>
      <c r="D46" s="50">
        <f>IF(all_data!C119&lt;=10,all_data!D119,0)</f>
        <v>0</v>
      </c>
      <c r="E46" s="52">
        <f>IF(all_data!C119&lt;=10,all_data!E119,0)</f>
        <v>0</v>
      </c>
      <c r="F46" s="51">
        <f>IF(all_data!C119&lt;=10,all_data!F119,0)</f>
        <v>2000</v>
      </c>
      <c r="G46" s="29" t="str">
        <f>IF(all_data!C119&lt;=10,all_data!H119,0)</f>
        <v>Fredy Lüdtke</v>
      </c>
      <c r="H46" s="67">
        <f>IF(all_data!C119&lt;=10,all_data!I119,0)</f>
        <v>0</v>
      </c>
    </row>
    <row r="47" spans="1:8" ht="15.75">
      <c r="A47" s="31">
        <v>44</v>
      </c>
      <c r="B47" s="106" t="str">
        <f>IF(all_data!C90&lt;=10,all_data!B90,0)</f>
        <v>S.S. Christofzik</v>
      </c>
      <c r="C47" s="57">
        <f>IF(all_data!C90&lt;=10,all_data!C90,0)</f>
        <v>9.6999999999999993</v>
      </c>
      <c r="D47" s="50">
        <f>IF(all_data!C90&lt;=10,all_data!D90,0)</f>
        <v>0</v>
      </c>
      <c r="E47" s="52">
        <f>IF(all_data!C90&lt;=10,all_data!E90,0)</f>
        <v>0</v>
      </c>
      <c r="F47" s="51">
        <f>IF(all_data!C90&lt;=10,all_data!F90,0)</f>
        <v>1000</v>
      </c>
      <c r="G47" s="29" t="str">
        <f>IF(all_data!C90&lt;=10,all_data!H90,0)</f>
        <v>Sascha Christofzik</v>
      </c>
      <c r="H47" s="67" t="str">
        <f>IF(all_data!C90&lt;=10,all_data!I90,0)</f>
        <v>Wossidlo-Gymnasium</v>
      </c>
    </row>
    <row r="48" spans="1:8" ht="25.5">
      <c r="A48" s="31">
        <v>45</v>
      </c>
      <c r="B48" s="106" t="str">
        <f>IF(all_data!C12&lt;=10,all_data!B12,0)</f>
        <v>Black Beauty</v>
      </c>
      <c r="C48" s="57">
        <f>IF(all_data!C12&lt;=10,all_data!C12,0)</f>
        <v>10</v>
      </c>
      <c r="D48" s="50">
        <f>IF(all_data!C12&lt;=10,all_data!D12,0)</f>
        <v>0</v>
      </c>
      <c r="E48" s="52">
        <f>IF(all_data!C12&lt;=10,all_data!E12,0)</f>
        <v>0</v>
      </c>
      <c r="F48" s="51">
        <f>IF(all_data!C12&lt;=10,all_data!F12,0)</f>
        <v>1</v>
      </c>
      <c r="G48" s="29" t="str">
        <f>IF(all_data!C12&lt;=10,all_data!H12,0)</f>
        <v>Ingrid Bierkamp-Nienkarken</v>
      </c>
      <c r="H48" s="67">
        <f>IF(all_data!C12&lt;=10,all_data!I12,0)</f>
        <v>0</v>
      </c>
    </row>
    <row r="49" spans="1:8" ht="38.25">
      <c r="A49" s="31">
        <v>46</v>
      </c>
      <c r="B49" s="106" t="str">
        <f>IF(all_data!C88&lt;=10,all_data!B88,0)</f>
        <v>MEGGIE I</v>
      </c>
      <c r="C49" s="57">
        <f>IF(all_data!C88&lt;=10,all_data!C88,0)</f>
        <v>8.9</v>
      </c>
      <c r="D49" s="50">
        <f>IF(all_data!C88&lt;=10,all_data!D88,0)</f>
        <v>0</v>
      </c>
      <c r="E49" s="52">
        <f>IF(all_data!C88&lt;=10,all_data!E88,0)</f>
        <v>0</v>
      </c>
      <c r="F49" s="51">
        <f>IF(all_data!C88&lt;=10,all_data!F88,0)</f>
        <v>1000</v>
      </c>
      <c r="G49" s="29" t="str">
        <f>IF(all_data!C88&lt;=10,all_data!H88,0)</f>
        <v>Mattis Elwert
Annika Block
Nina Baumann</v>
      </c>
      <c r="H49" s="67" t="str">
        <f>IF(all_data!C88&lt;=10,all_data!I88,0)</f>
        <v>Gymnasium Wellingdorf</v>
      </c>
    </row>
    <row r="50" spans="1:8" ht="25.5">
      <c r="A50" s="31">
        <v>47</v>
      </c>
      <c r="B50" s="106" t="str">
        <f>IF(all_data!C86&lt;=10,all_data!B86,0)</f>
        <v>LKS</v>
      </c>
      <c r="C50" s="57">
        <f>IF(all_data!C86&lt;=10,all_data!C86,0)</f>
        <v>10</v>
      </c>
      <c r="D50" s="50">
        <f>IF(all_data!C86&lt;=10,all_data!D86,0)</f>
        <v>0</v>
      </c>
      <c r="E50" s="52">
        <f>IF(all_data!C86&lt;=10,all_data!E86,0)</f>
        <v>0</v>
      </c>
      <c r="F50" s="51">
        <f>IF(all_data!C86&lt;=10,all_data!F86,0)</f>
        <v>1000</v>
      </c>
      <c r="G50" s="29" t="str">
        <f>IF(all_data!C86&lt;=10,all_data!H86,0)</f>
        <v>Gymnasium Donauwörth</v>
      </c>
      <c r="H50" s="67" t="str">
        <f>IF(all_data!C86&lt;=10,all_data!I86,0)</f>
        <v>Gymnasium Donauwörth</v>
      </c>
    </row>
    <row r="51" spans="1:8" ht="25.5">
      <c r="A51" s="31">
        <v>48</v>
      </c>
      <c r="B51" s="106" t="str">
        <f>IF(all_data!C37&lt;=10,all_data!B37,0)</f>
        <v>Romba</v>
      </c>
      <c r="C51" s="57">
        <f>IF(all_data!C37&lt;=10,all_data!C37,0)</f>
        <v>9.4</v>
      </c>
      <c r="D51" s="50">
        <f>IF(all_data!C37&lt;=10,all_data!D37,0)</f>
        <v>0</v>
      </c>
      <c r="E51" s="52">
        <f>IF(all_data!C37&lt;=10,all_data!E37,0)</f>
        <v>0</v>
      </c>
      <c r="F51" s="51">
        <f>IF(all_data!C37&lt;=10,all_data!F37,0)</f>
        <v>1</v>
      </c>
      <c r="G51" s="29" t="str">
        <f>IF(all_data!C37&lt;=10,all_data!H37,0)</f>
        <v>Maik Schoer
Robin Karpa</v>
      </c>
      <c r="H51" s="67" t="str">
        <f>IF(all_data!C37&lt;=10,all_data!I37,0)</f>
        <v>Gymnasium Lüneburger Heide</v>
      </c>
    </row>
    <row r="52" spans="1:8" ht="15.75">
      <c r="A52" s="31">
        <v>49</v>
      </c>
      <c r="B52" s="106" t="str">
        <f>IF(all_data!C103&lt;=10,all_data!B103,0)</f>
        <v>Argo II</v>
      </c>
      <c r="C52" s="57">
        <f>IF(all_data!C103&lt;=10,all_data!C103,0)</f>
        <v>9.6999999999999993</v>
      </c>
      <c r="D52" s="50">
        <f>IF(all_data!C103&lt;=10,all_data!D103,0)</f>
        <v>0</v>
      </c>
      <c r="E52" s="52">
        <f>IF(all_data!C103&lt;=10,all_data!E103,0)</f>
        <v>0</v>
      </c>
      <c r="F52" s="51">
        <f>IF(all_data!C103&lt;=10,all_data!F103,0)</f>
        <v>1600</v>
      </c>
      <c r="G52" s="29" t="str">
        <f>IF(all_data!C103&lt;=10,all_data!H103,0)</f>
        <v>Annika Schatz</v>
      </c>
      <c r="H52" s="67" t="str">
        <f>IF(all_data!C103&lt;=10,all_data!I103,0)</f>
        <v>Wossidlo-Gymnasium</v>
      </c>
    </row>
    <row r="53" spans="1:8" ht="15.75">
      <c r="A53" s="31">
        <v>50</v>
      </c>
      <c r="B53" s="106" t="str">
        <f>IF(all_data!C101&lt;=10,all_data!B101,0)</f>
        <v>MS. Langeweile</v>
      </c>
      <c r="C53" s="57">
        <f>IF(all_data!C101&lt;=10,all_data!C101,0)</f>
        <v>9.8000000000000007</v>
      </c>
      <c r="D53" s="50">
        <f>IF(all_data!C101&lt;=10,all_data!D101,0)</f>
        <v>0</v>
      </c>
      <c r="E53" s="52">
        <f>IF(all_data!C101&lt;=10,all_data!E101,0)</f>
        <v>0</v>
      </c>
      <c r="F53" s="51">
        <f>IF(all_data!C101&lt;=10,all_data!F101,0)</f>
        <v>1500</v>
      </c>
      <c r="G53" s="29" t="str">
        <f>IF(all_data!C101&lt;=10,all_data!H101,0)</f>
        <v>Tim Schult</v>
      </c>
      <c r="H53" s="67" t="str">
        <f>IF(all_data!C101&lt;=10,all_data!I101,0)</f>
        <v>Wossidlo-Gymnasium</v>
      </c>
    </row>
    <row r="54" spans="1:8" ht="15.75">
      <c r="A54" s="31">
        <v>51</v>
      </c>
      <c r="B54" s="106" t="str">
        <f>IF(all_data!C68&lt;=10,all_data!B68,0)</f>
        <v>Las Americas</v>
      </c>
      <c r="C54" s="57">
        <f>IF(all_data!C68&lt;=10,all_data!C68,0)</f>
        <v>9.9</v>
      </c>
      <c r="D54" s="50">
        <f>IF(all_data!C68&lt;=10,all_data!D68,0)</f>
        <v>0</v>
      </c>
      <c r="E54" s="52">
        <f>IF(all_data!C68&lt;=10,all_data!E68,0)</f>
        <v>0</v>
      </c>
      <c r="F54" s="51">
        <f>IF(all_data!C68&lt;=10,all_data!F68,0)</f>
        <v>800</v>
      </c>
      <c r="G54" s="29" t="str">
        <f>IF(all_data!C68&lt;=10,all_data!H68,0)</f>
        <v>René Scheiermann</v>
      </c>
      <c r="H54" s="67" t="str">
        <f>IF(all_data!C68&lt;=10,all_data!I68,0)</f>
        <v>Wossidlo-Gymnasium</v>
      </c>
    </row>
    <row r="55" spans="1:8" ht="25.5">
      <c r="A55" s="31">
        <v>52</v>
      </c>
      <c r="B55" s="106" t="str">
        <f>IF(all_data!C81&lt;=10,all_data!B81,0)</f>
        <v>Hägars Galeere</v>
      </c>
      <c r="C55" s="57">
        <f>IF(all_data!C81&lt;=10,all_data!C81,0)</f>
        <v>7.4</v>
      </c>
      <c r="D55" s="50">
        <f>IF(all_data!C81&lt;=10,all_data!D81,0)</f>
        <v>0</v>
      </c>
      <c r="E55" s="52">
        <f>IF(all_data!C81&lt;=10,all_data!E81,0)</f>
        <v>0</v>
      </c>
      <c r="F55" s="51">
        <f>IF(all_data!C81&lt;=10,all_data!F81,0)</f>
        <v>1000</v>
      </c>
      <c r="G55" s="29" t="str">
        <f>IF(all_data!C81&lt;=10,all_data!H81,0)</f>
        <v>Gymnasium Donauwörth</v>
      </c>
      <c r="H55" s="67" t="str">
        <f>IF(all_data!C81&lt;=10,all_data!I81,0)</f>
        <v>Gymnasium Donauwörth</v>
      </c>
    </row>
    <row r="56" spans="1:8" ht="25.5">
      <c r="A56" s="31">
        <v>53</v>
      </c>
      <c r="B56" s="106" t="str">
        <f>IF(all_data!C70&lt;=10,all_data!B70,0)</f>
        <v>Dunkelroter Oktober</v>
      </c>
      <c r="C56" s="57">
        <f>IF(all_data!C70&lt;=10,all_data!C70,0)</f>
        <v>10</v>
      </c>
      <c r="D56" s="50">
        <f>IF(all_data!C70&lt;=10,all_data!D70,0)</f>
        <v>0</v>
      </c>
      <c r="E56" s="52">
        <f>IF(all_data!C70&lt;=10,all_data!E70,0)</f>
        <v>0</v>
      </c>
      <c r="F56" s="51">
        <f>IF(all_data!C70&lt;=10,all_data!F70,0)</f>
        <v>900</v>
      </c>
      <c r="G56" s="29" t="str">
        <f>IF(all_data!C70&lt;=10,all_data!H70,0)</f>
        <v>Lukas Lindow</v>
      </c>
      <c r="H56" s="67" t="str">
        <f>IF(all_data!C70&lt;=10,all_data!I70,0)</f>
        <v>Wossidlo-Gymnasium</v>
      </c>
    </row>
    <row r="57" spans="1:8" ht="25.5">
      <c r="A57" s="31">
        <v>54</v>
      </c>
      <c r="B57" s="106" t="str">
        <f>IF(all_data!C26&lt;=10,all_data!B26,0)</f>
        <v>L&amp;L</v>
      </c>
      <c r="C57" s="57">
        <f>IF(all_data!C26&lt;=10,all_data!C26,0)</f>
        <v>8.9</v>
      </c>
      <c r="D57" s="50">
        <f>IF(all_data!C26&lt;=10,all_data!D26,0)</f>
        <v>0</v>
      </c>
      <c r="E57" s="52">
        <f>IF(all_data!C26&lt;=10,all_data!E26,0)</f>
        <v>0</v>
      </c>
      <c r="F57" s="51">
        <f>IF(all_data!C26&lt;=10,all_data!F26,0)</f>
        <v>1</v>
      </c>
      <c r="G57" s="29" t="str">
        <f>IF(all_data!C26&lt;=10,all_data!H26,0)</f>
        <v>Lukas Kollmer
Luca Theile</v>
      </c>
      <c r="H57" s="67" t="str">
        <f>IF(all_data!C26&lt;=10,all_data!I26,0)</f>
        <v>Pascal Gymnasium Münster</v>
      </c>
    </row>
    <row r="58" spans="1:8" ht="25.5">
      <c r="A58" s="31">
        <v>55</v>
      </c>
      <c r="B58" s="106" t="str">
        <f>IF(all_data!C62&lt;=10,all_data!B62,0)</f>
        <v>BLUB</v>
      </c>
      <c r="C58" s="57">
        <f>IF(all_data!C62&lt;=10,all_data!C62,0)</f>
        <v>5.3</v>
      </c>
      <c r="D58" s="50">
        <f>IF(all_data!C62&lt;=10,all_data!D62,0)</f>
        <v>0</v>
      </c>
      <c r="E58" s="52">
        <f>IF(all_data!C62&lt;=10,all_data!E62,0)</f>
        <v>0</v>
      </c>
      <c r="F58" s="51">
        <f>IF(all_data!C62&lt;=10,all_data!F62,0)</f>
        <v>660</v>
      </c>
      <c r="G58" s="29" t="str">
        <f>IF(all_data!C62&lt;=10,all_data!H62,0)</f>
        <v>Sofia Derevyanskaya
Celine Kloske</v>
      </c>
      <c r="H58" s="67" t="str">
        <f>IF(all_data!C62&lt;=10,all_data!I62,0)</f>
        <v>Gymnasium Wellingdorf</v>
      </c>
    </row>
    <row r="59" spans="1:8" ht="25.5">
      <c r="A59" s="31">
        <v>56</v>
      </c>
      <c r="B59" s="106" t="str">
        <f>IF(all_data!C73&lt;=10,all_data!B73,0)</f>
        <v>Black Ops III</v>
      </c>
      <c r="C59" s="57">
        <f>IF(all_data!C73&lt;=10,all_data!C73,0)</f>
        <v>5.0999999999999996</v>
      </c>
      <c r="D59" s="50">
        <f>IF(all_data!C73&lt;=10,all_data!D73,0)</f>
        <v>0</v>
      </c>
      <c r="E59" s="52">
        <f>IF(all_data!C73&lt;=10,all_data!E73,0)</f>
        <v>0</v>
      </c>
      <c r="F59" s="51">
        <f>IF(all_data!C73&lt;=10,all_data!F73,0)</f>
        <v>950</v>
      </c>
      <c r="G59" s="29" t="str">
        <f>IF(all_data!C73&lt;=10,all_data!H73,0)</f>
        <v>Maxi Meuche
Aiman Beggar</v>
      </c>
      <c r="H59" s="67" t="str">
        <f>IF(all_data!C73&lt;=10,all_data!I73,0)</f>
        <v>Gymnasium Wellingdorf</v>
      </c>
    </row>
    <row r="60" spans="1:8" ht="15.75">
      <c r="A60" s="31">
        <v>57</v>
      </c>
      <c r="B60" s="106" t="str">
        <f>IF(all_data!C122&lt;=10,all_data!B122,0)</f>
        <v>und da</v>
      </c>
      <c r="C60" s="57">
        <f>IF(all_data!C122&lt;=10,all_data!C122,0)</f>
        <v>8.3000000000000007</v>
      </c>
      <c r="D60" s="50">
        <f>IF(all_data!C122&lt;=10,all_data!D122,0)</f>
        <v>0</v>
      </c>
      <c r="E60" s="52">
        <f>IF(all_data!C122&lt;=10,all_data!E122,0)</f>
        <v>0</v>
      </c>
      <c r="F60" s="51">
        <f>IF(all_data!C122&lt;=10,all_data!F122,0)</f>
        <v>2000</v>
      </c>
      <c r="G60" s="29" t="str">
        <f>IF(all_data!C122&lt;=10,all_data!H122,0)</f>
        <v>Hartmut Lüdtke</v>
      </c>
      <c r="H60" s="67">
        <f>IF(all_data!C122&lt;=10,all_data!I122,0)</f>
        <v>0</v>
      </c>
    </row>
    <row r="61" spans="1:8" ht="51">
      <c r="A61" s="31">
        <v>58</v>
      </c>
      <c r="B61" s="106" t="str">
        <f>IF(all_data!C71&lt;=10,all_data!B71,0)</f>
        <v>YOLO I</v>
      </c>
      <c r="C61" s="57">
        <f>IF(all_data!C71&lt;=10,all_data!C71,0)</f>
        <v>9.5</v>
      </c>
      <c r="D61" s="50">
        <f>IF(all_data!C71&lt;=10,all_data!D71,0)</f>
        <v>0</v>
      </c>
      <c r="E61" s="52">
        <f>IF(all_data!C71&lt;=10,all_data!E71,0)</f>
        <v>0</v>
      </c>
      <c r="F61" s="51">
        <f>IF(all_data!C71&lt;=10,all_data!F71,0)</f>
        <v>900</v>
      </c>
      <c r="G61" s="29" t="str">
        <f>IF(all_data!C71&lt;=10,all_data!H71,0)</f>
        <v>Laura Sophie Nordheim
Melina Daucks
Swantje Geidus</v>
      </c>
      <c r="H61" s="67" t="str">
        <f>IF(all_data!C71&lt;=10,all_data!I71,0)</f>
        <v>Gymnasium Wellingdorf</v>
      </c>
    </row>
    <row r="62" spans="1:8" ht="25.5">
      <c r="A62" s="31">
        <v>59</v>
      </c>
      <c r="B62" s="106" t="str">
        <f>IF(all_data!C87&lt;=10,all_data!B87,0)</f>
        <v>Marco Polo</v>
      </c>
      <c r="C62" s="57">
        <f>IF(all_data!C87&lt;=10,all_data!C87,0)</f>
        <v>8.3000000000000007</v>
      </c>
      <c r="D62" s="50">
        <f>IF(all_data!C87&lt;=10,all_data!D87,0)</f>
        <v>0</v>
      </c>
      <c r="E62" s="52">
        <f>IF(all_data!C87&lt;=10,all_data!E87,0)</f>
        <v>0</v>
      </c>
      <c r="F62" s="51">
        <f>IF(all_data!C87&lt;=10,all_data!F87,0)</f>
        <v>1000</v>
      </c>
      <c r="G62" s="29" t="str">
        <f>IF(all_data!C87&lt;=10,all_data!H87,0)</f>
        <v>Gymnasium Donauwörth</v>
      </c>
      <c r="H62" s="67" t="str">
        <f>IF(all_data!C87&lt;=10,all_data!I87,0)</f>
        <v>Gymnasium Donauwörth</v>
      </c>
    </row>
    <row r="63" spans="1:8" ht="15.75">
      <c r="A63" s="31">
        <v>60</v>
      </c>
      <c r="B63" s="106" t="str">
        <f>IF(all_data!C56&lt;=10,all_data!B56,0)</f>
        <v>1002</v>
      </c>
      <c r="C63" s="57">
        <f>IF(all_data!C56&lt;=10,all_data!C56,0)</f>
        <v>10</v>
      </c>
      <c r="D63" s="50">
        <f>IF(all_data!C56&lt;=10,all_data!D56,0)</f>
        <v>0</v>
      </c>
      <c r="E63" s="52">
        <f>IF(all_data!C56&lt;=10,all_data!E56,0)</f>
        <v>0</v>
      </c>
      <c r="F63" s="51">
        <f>IF(all_data!C56&lt;=10,all_data!F56,0)</f>
        <v>500</v>
      </c>
      <c r="G63" s="29" t="str">
        <f>IF(all_data!C56&lt;=10,all_data!H56,0)</f>
        <v>Katrin Schad</v>
      </c>
      <c r="H63" s="67" t="str">
        <f>IF(all_data!C56&lt;=10,all_data!I56,0)</f>
        <v>Ernst-Abbe-Gymnasium</v>
      </c>
    </row>
    <row r="64" spans="1:8" ht="51">
      <c r="A64" s="31">
        <v>61</v>
      </c>
      <c r="B64" s="106" t="str">
        <f>IF(all_data!C72&lt;=10,all_data!B72,0)</f>
        <v>YOLO II</v>
      </c>
      <c r="C64" s="57">
        <f>IF(all_data!C72&lt;=10,all_data!C72,0)</f>
        <v>6</v>
      </c>
      <c r="D64" s="50">
        <f>IF(all_data!C72&lt;=10,all_data!D72,0)</f>
        <v>0</v>
      </c>
      <c r="E64" s="52">
        <f>IF(all_data!C72&lt;=10,all_data!E72,0)</f>
        <v>0</v>
      </c>
      <c r="F64" s="51">
        <f>IF(all_data!C72&lt;=10,all_data!F72,0)</f>
        <v>900</v>
      </c>
      <c r="G64" s="29" t="str">
        <f>IF(all_data!C72&lt;=10,all_data!H72,0)</f>
        <v>Laura Sophie Nordheim
Melina Daucks
Swantje Geidus</v>
      </c>
      <c r="H64" s="67" t="str">
        <f>IF(all_data!C72&lt;=10,all_data!I72,0)</f>
        <v>Gymnasium Wellingdorf</v>
      </c>
    </row>
    <row r="65" spans="1:8" ht="25.5">
      <c r="A65" s="31">
        <v>62</v>
      </c>
      <c r="B65" s="106" t="str">
        <f>IF(all_data!C132&lt;=10,all_data!B132,0)</f>
        <v>Silberhauch</v>
      </c>
      <c r="C65" s="57">
        <f>IF(all_data!C132&lt;=10,all_data!C132,0)</f>
        <v>10</v>
      </c>
      <c r="D65" s="50">
        <f>IF(all_data!C132&lt;=10,all_data!D132,0)</f>
        <v>0</v>
      </c>
      <c r="E65" s="52">
        <f>IF(all_data!C132&lt;=10,all_data!E132,0)</f>
        <v>0</v>
      </c>
      <c r="F65" s="51">
        <f>IF(all_data!C132&lt;=10,all_data!F132,0)</f>
        <v>2800</v>
      </c>
      <c r="G65" s="29" t="str">
        <f>IF(all_data!C132&lt;=10,all_data!H132,0)</f>
        <v>Marieke Hollje
Frank Pinte Hollje</v>
      </c>
      <c r="H65" s="67">
        <f>IF(all_data!C132&lt;=10,all_data!I132,0)</f>
        <v>0</v>
      </c>
    </row>
    <row r="66" spans="1:8" ht="25.5">
      <c r="A66" s="31">
        <v>63</v>
      </c>
      <c r="B66" s="106" t="str">
        <f>IF(all_data!C25&lt;=10,all_data!B25,0)</f>
        <v>Jolo</v>
      </c>
      <c r="C66" s="57">
        <f>IF(all_data!C25&lt;=10,all_data!C25,0)</f>
        <v>9.4</v>
      </c>
      <c r="D66" s="50">
        <f>IF(all_data!C25&lt;=10,all_data!D25,0)</f>
        <v>0</v>
      </c>
      <c r="E66" s="52">
        <f>IF(all_data!C25&lt;=10,all_data!E25,0)</f>
        <v>0</v>
      </c>
      <c r="F66" s="51">
        <f>IF(all_data!C25&lt;=10,all_data!F25,0)</f>
        <v>1</v>
      </c>
      <c r="G66" s="29" t="str">
        <f>IF(all_data!C25&lt;=10,all_data!H25,0)</f>
        <v>Lukas Hannebohm
Jasper Morgenstern</v>
      </c>
      <c r="H66" s="67" t="str">
        <f>IF(all_data!C25&lt;=10,all_data!I25,0)</f>
        <v>Gymnasium Lüneburger Heide</v>
      </c>
    </row>
    <row r="67" spans="1:8" ht="15.75">
      <c r="A67" s="31">
        <v>64</v>
      </c>
      <c r="B67" s="106" t="str">
        <f>IF(all_data!C8&lt;=10,all_data!B8,0)</f>
        <v>AIDA Hannes</v>
      </c>
      <c r="C67" s="57">
        <f>IF(all_data!C8&lt;=10,all_data!C8,0)</f>
        <v>9.4</v>
      </c>
      <c r="D67" s="50">
        <f>IF(all_data!C8&lt;=10,all_data!D8,0)</f>
        <v>0</v>
      </c>
      <c r="E67" s="52">
        <f>IF(all_data!C8&lt;=10,all_data!E8,0)</f>
        <v>0</v>
      </c>
      <c r="F67" s="51">
        <f>IF(all_data!C8&lt;=10,all_data!F8,0)</f>
        <v>1</v>
      </c>
      <c r="G67" s="29" t="str">
        <f>IF(all_data!C8&lt;=10,all_data!H8,0)</f>
        <v>Hannes Lübke</v>
      </c>
      <c r="H67" s="67" t="str">
        <f>IF(all_data!C8&lt;=10,all_data!I8,0)</f>
        <v>Wossidlo-Gymnasium</v>
      </c>
    </row>
    <row r="68" spans="1:8" ht="15.75">
      <c r="A68" s="31">
        <v>65</v>
      </c>
      <c r="B68" s="106" t="str">
        <f>IF(all_data!C85&lt;=10,all_data!B85,0)</f>
        <v>Le boat de Hannes</v>
      </c>
      <c r="C68" s="57">
        <f>IF(all_data!C85&lt;=10,all_data!C85,0)</f>
        <v>9.1999999999999993</v>
      </c>
      <c r="D68" s="50">
        <f>IF(all_data!C85&lt;=10,all_data!D85,0)</f>
        <v>0</v>
      </c>
      <c r="E68" s="52">
        <f>IF(all_data!C85&lt;=10,all_data!E85,0)</f>
        <v>0</v>
      </c>
      <c r="F68" s="51">
        <f>IF(all_data!C85&lt;=10,all_data!F85,0)</f>
        <v>1000</v>
      </c>
      <c r="G68" s="29" t="str">
        <f>IF(all_data!C85&lt;=10,all_data!H85,0)</f>
        <v>Hannes Lübke</v>
      </c>
      <c r="H68" s="67" t="str">
        <f>IF(all_data!C85&lt;=10,all_data!I85,0)</f>
        <v>Wossidlo-Gymnasium</v>
      </c>
    </row>
    <row r="69" spans="1:8" ht="15.75">
      <c r="A69" s="31">
        <v>66</v>
      </c>
      <c r="B69" s="106" t="str">
        <f>IF(all_data!C75&lt;=10,all_data!B75,0)</f>
        <v>Bennet</v>
      </c>
      <c r="C69" s="57">
        <f>IF(all_data!C75&lt;=10,all_data!C75,0)</f>
        <v>9.5</v>
      </c>
      <c r="D69" s="50">
        <f>IF(all_data!C75&lt;=10,all_data!D75,0)</f>
        <v>0</v>
      </c>
      <c r="E69" s="52">
        <f>IF(all_data!C75&lt;=10,all_data!E75,0)</f>
        <v>0</v>
      </c>
      <c r="F69" s="51">
        <f>IF(all_data!C75&lt;=10,all_data!F75,0)</f>
        <v>1000</v>
      </c>
      <c r="G69" s="29" t="str">
        <f>IF(all_data!C75&lt;=10,all_data!H75,0)</f>
        <v>Hannes Pries</v>
      </c>
      <c r="H69" s="67" t="str">
        <f>IF(all_data!C75&lt;=10,all_data!I75,0)</f>
        <v>Jungmannschule Eckernförde</v>
      </c>
    </row>
    <row r="70" spans="1:8" ht="15.75">
      <c r="A70" s="31">
        <v>67</v>
      </c>
      <c r="B70" s="106" t="str">
        <f>IF(all_data!C74&lt;=10,all_data!B74,0)</f>
        <v>Dornauge</v>
      </c>
      <c r="C70" s="57">
        <f>IF(all_data!C74&lt;=10,all_data!C74,0)</f>
        <v>8.6999999999999993</v>
      </c>
      <c r="D70" s="50">
        <f>IF(all_data!C74&lt;=10,all_data!D74,0)</f>
        <v>0</v>
      </c>
      <c r="E70" s="52">
        <f>IF(all_data!C74&lt;=10,all_data!E74,0)</f>
        <v>0</v>
      </c>
      <c r="F70" s="51">
        <f>IF(all_data!C74&lt;=10,all_data!F74,0)</f>
        <v>964</v>
      </c>
      <c r="G70" s="29" t="str">
        <f>IF(all_data!C74&lt;=10,all_data!H74,0)</f>
        <v>Jonas Arendt</v>
      </c>
      <c r="H70" s="67" t="str">
        <f>IF(all_data!C74&lt;=10,all_data!I74,0)</f>
        <v>Gymnasium Wellingdorf</v>
      </c>
    </row>
    <row r="71" spans="1:8" ht="15.75">
      <c r="A71" s="31">
        <v>68</v>
      </c>
      <c r="B71" s="106" t="str">
        <f>IF(all_data!C18&lt;=10,all_data!B18,0)</f>
        <v>Die rote Rose</v>
      </c>
      <c r="C71" s="57">
        <f>IF(all_data!C18&lt;=10,all_data!C18,0)</f>
        <v>9.5</v>
      </c>
      <c r="D71" s="50">
        <f>IF(all_data!C18&lt;=10,all_data!D18,0)</f>
        <v>0</v>
      </c>
      <c r="E71" s="52">
        <f>IF(all_data!C18&lt;=10,all_data!E18,0)</f>
        <v>0</v>
      </c>
      <c r="F71" s="51">
        <f>IF(all_data!C18&lt;=10,all_data!F18,0)</f>
        <v>1</v>
      </c>
      <c r="G71" s="29" t="str">
        <f>IF(all_data!C18&lt;=10,all_data!H18,0)</f>
        <v>Hannah Reichelt</v>
      </c>
      <c r="H71" s="67">
        <f>IF(all_data!C18&lt;=10,all_data!I18,0)</f>
        <v>0</v>
      </c>
    </row>
    <row r="72" spans="1:8" ht="15.75">
      <c r="A72" s="31">
        <v>69</v>
      </c>
      <c r="B72" s="106" t="str">
        <f>IF(all_data!C95&lt;=10,all_data!B95,0)</f>
        <v>Padnoaktnbhoct!</v>
      </c>
      <c r="C72" s="57">
        <f>IF(all_data!C95&lt;=10,all_data!C95,0)</f>
        <v>5.3</v>
      </c>
      <c r="D72" s="50">
        <f>IF(all_data!C95&lt;=10,all_data!D95,0)</f>
        <v>0</v>
      </c>
      <c r="E72" s="52">
        <f>IF(all_data!C95&lt;=10,all_data!E95,0)</f>
        <v>0</v>
      </c>
      <c r="F72" s="51">
        <f>IF(all_data!C95&lt;=10,all_data!F95,0)</f>
        <v>1300</v>
      </c>
      <c r="G72" s="29" t="str">
        <f>IF(all_data!C95&lt;=10,all_data!H95,0)</f>
        <v>Tim Henning</v>
      </c>
      <c r="H72" s="67" t="str">
        <f>IF(all_data!C95&lt;=10,all_data!I95,0)</f>
        <v>Wossidlo-Gymnasium</v>
      </c>
    </row>
    <row r="73" spans="1:8" ht="15.75">
      <c r="A73" s="31">
        <v>70</v>
      </c>
      <c r="B73" s="106" t="str">
        <f>IF(all_data!C23&lt;=10,all_data!B23,0)</f>
        <v>HMS Unsinkbar</v>
      </c>
      <c r="C73" s="57">
        <f>IF(all_data!C23&lt;=10,all_data!C23,0)</f>
        <v>8.1999999999999993</v>
      </c>
      <c r="D73" s="50">
        <f>IF(all_data!C23&lt;=10,all_data!D23,0)</f>
        <v>0</v>
      </c>
      <c r="E73" s="52">
        <f>IF(all_data!C23&lt;=10,all_data!E23,0)</f>
        <v>0</v>
      </c>
      <c r="F73" s="51">
        <f>IF(all_data!C23&lt;=10,all_data!F23,0)</f>
        <v>1</v>
      </c>
      <c r="G73" s="29" t="str">
        <f>IF(all_data!C23&lt;=10,all_data!H23,0)</f>
        <v>Fabian Burghart</v>
      </c>
      <c r="H73" s="67" t="str">
        <f>IF(all_data!C23&lt;=10,all_data!I23,0)</f>
        <v>Ernst-Abbe-Gymnasium</v>
      </c>
    </row>
    <row r="74" spans="1:8" ht="15.75">
      <c r="A74" s="31">
        <v>71</v>
      </c>
      <c r="B74" s="106" t="str">
        <f>IF(all_data!C52&lt;=10,all_data!B52,0)</f>
        <v>Pinky</v>
      </c>
      <c r="C74" s="57">
        <f>IF(all_data!C52&lt;=10,all_data!C52,0)</f>
        <v>10</v>
      </c>
      <c r="D74" s="50">
        <f>IF(all_data!C52&lt;=10,all_data!D52,0)</f>
        <v>0</v>
      </c>
      <c r="E74" s="52">
        <f>IF(all_data!C52&lt;=10,all_data!E52,0)</f>
        <v>0</v>
      </c>
      <c r="F74" s="51">
        <f>IF(all_data!C52&lt;=10,all_data!F52,0)</f>
        <v>220</v>
      </c>
      <c r="G74" s="29" t="str">
        <f>IF(all_data!C52&lt;=10,all_data!H52,0)</f>
        <v>Theresa Lindig</v>
      </c>
      <c r="H74" s="67" t="str">
        <f>IF(all_data!C52&lt;=10,all_data!I52,0)</f>
        <v>Ernst-Abbe-Gymnasium</v>
      </c>
    </row>
    <row r="75" spans="1:8" ht="38.25">
      <c r="A75" s="31">
        <v>72</v>
      </c>
      <c r="B75" s="106" t="str">
        <f>IF(all_data!C82&lt;=10,all_data!B82,0)</f>
        <v>Hannes</v>
      </c>
      <c r="C75" s="57">
        <f>IF(all_data!C82&lt;=10,all_data!C82,0)</f>
        <v>4.0999999999999996</v>
      </c>
      <c r="D75" s="50">
        <f>IF(all_data!C82&lt;=10,all_data!D82,0)</f>
        <v>0</v>
      </c>
      <c r="E75" s="52">
        <f>IF(all_data!C82&lt;=10,all_data!E82,0)</f>
        <v>0</v>
      </c>
      <c r="F75" s="51">
        <f>IF(all_data!C82&lt;=10,all_data!F82,0)</f>
        <v>1000</v>
      </c>
      <c r="G75" s="29" t="str">
        <f>IF(all_data!C82&lt;=10,all_data!H82,0)</f>
        <v>Marc
Phillip
Hendrik Meier</v>
      </c>
      <c r="H75" s="67" t="str">
        <f>IF(all_data!C82&lt;=10,all_data!I82,0)</f>
        <v>Bertha von Suttner Schule</v>
      </c>
    </row>
    <row r="76" spans="1:8" ht="15.75">
      <c r="A76" s="31">
        <v>73</v>
      </c>
      <c r="B76" s="106" t="str">
        <f>IF(all_data!C34&lt;=10,all_data!B34,0)</f>
        <v>Plus</v>
      </c>
      <c r="C76" s="57">
        <f>IF(all_data!C34&lt;=10,all_data!C34,0)</f>
        <v>9.1999999999999993</v>
      </c>
      <c r="D76" s="50">
        <f>IF(all_data!C34&lt;=10,all_data!D34,0)</f>
        <v>0</v>
      </c>
      <c r="E76" s="52">
        <f>IF(all_data!C34&lt;=10,all_data!E34,0)</f>
        <v>0</v>
      </c>
      <c r="F76" s="51">
        <f>IF(all_data!C34&lt;=10,all_data!F34,0)</f>
        <v>1</v>
      </c>
      <c r="G76" s="29" t="str">
        <f>IF(all_data!C34&lt;=10,all_data!H34,0)</f>
        <v>Sebastian Graef</v>
      </c>
      <c r="H76" s="67" t="str">
        <f>IF(all_data!C34&lt;=10,all_data!I34,0)</f>
        <v>Ernst-Abbe-Gymnasium</v>
      </c>
    </row>
    <row r="77" spans="1:8" ht="38.25">
      <c r="A77" s="31">
        <v>74</v>
      </c>
      <c r="B77" s="106" t="str">
        <f>IF(all_data!C69&lt;=10,all_data!B69,0)</f>
        <v>Kyleyb</v>
      </c>
      <c r="C77" s="57">
        <f>IF(all_data!C69&lt;=10,all_data!C69,0)</f>
        <v>9.8000000000000007</v>
      </c>
      <c r="D77" s="50">
        <f>IF(all_data!C69&lt;=10,all_data!D69,0)</f>
        <v>0</v>
      </c>
      <c r="E77" s="52">
        <f>IF(all_data!C69&lt;=10,all_data!E69,0)</f>
        <v>0</v>
      </c>
      <c r="F77" s="51">
        <f>IF(all_data!C69&lt;=10,all_data!F69,0)</f>
        <v>876</v>
      </c>
      <c r="G77" s="29" t="str">
        <f>IF(all_data!C69&lt;=10,all_data!H69,0)</f>
        <v>Oliver Meseck
Enis Bilgi
Ramsen Toma</v>
      </c>
      <c r="H77" s="67" t="str">
        <f>IF(all_data!C69&lt;=10,all_data!I69,0)</f>
        <v>Gymnasium Wellingdorf</v>
      </c>
    </row>
    <row r="78" spans="1:8" ht="15.75">
      <c r="A78" s="31">
        <v>75</v>
      </c>
      <c r="B78" s="106" t="str">
        <f>IF(all_data!C66&lt;=10,all_data!B66,0)</f>
        <v>Derp-Boot!</v>
      </c>
      <c r="C78" s="57">
        <f>IF(all_data!C66&lt;=10,all_data!C66,0)</f>
        <v>6.8</v>
      </c>
      <c r="D78" s="50">
        <f>IF(all_data!C66&lt;=10,all_data!D66,0)</f>
        <v>0</v>
      </c>
      <c r="E78" s="52">
        <f>IF(all_data!C66&lt;=10,all_data!E66,0)</f>
        <v>0</v>
      </c>
      <c r="F78" s="51">
        <f>IF(all_data!C66&lt;=10,all_data!F66,0)</f>
        <v>800</v>
      </c>
      <c r="G78" s="29" t="str">
        <f>IF(all_data!C66&lt;=10,all_data!H66,0)</f>
        <v>Kilian Rohde</v>
      </c>
      <c r="H78" s="67" t="str">
        <f>IF(all_data!C66&lt;=10,all_data!I66,0)</f>
        <v>Wossidlo-Gymnasium</v>
      </c>
    </row>
    <row r="79" spans="1:8" ht="38.25">
      <c r="A79" s="31">
        <v>76</v>
      </c>
      <c r="B79" s="106" t="str">
        <f>IF(all_data!C9&lt;=10,all_data!B9,0)</f>
        <v>Allegro</v>
      </c>
      <c r="C79" s="57">
        <f>IF(all_data!C9&lt;=10,all_data!C9,0)</f>
        <v>9.4</v>
      </c>
      <c r="D79" s="50">
        <f>IF(all_data!C9&lt;=10,all_data!D9,0)</f>
        <v>0</v>
      </c>
      <c r="E79" s="52">
        <f>IF(all_data!C9&lt;=10,all_data!E9,0)</f>
        <v>0</v>
      </c>
      <c r="F79" s="51">
        <f>IF(all_data!C9&lt;=10,all_data!F9,0)</f>
        <v>1</v>
      </c>
      <c r="G79" s="29" t="str">
        <f>IF(all_data!C9&lt;=10,all_data!H9,0)</f>
        <v>Björn Ehlbeck
Hannes Kröchert
Pascal Odebrecht</v>
      </c>
      <c r="H79" s="67" t="str">
        <f>IF(all_data!C9&lt;=10,all_data!I9,0)</f>
        <v>Schloßgymnasium Gützkow</v>
      </c>
    </row>
    <row r="80" spans="1:8" ht="25.5">
      <c r="A80" s="31">
        <v>77</v>
      </c>
      <c r="B80" s="106" t="str">
        <f>IF(all_data!C61&lt;=10,all_data!B61,0)</f>
        <v>Junior</v>
      </c>
      <c r="C80" s="57">
        <f>IF(all_data!C61&lt;=10,all_data!C61,0)</f>
        <v>6.4</v>
      </c>
      <c r="D80" s="50">
        <f>IF(all_data!C61&lt;=10,all_data!D61,0)</f>
        <v>0</v>
      </c>
      <c r="E80" s="52">
        <f>IF(all_data!C61&lt;=10,all_data!E61,0)</f>
        <v>0</v>
      </c>
      <c r="F80" s="51">
        <f>IF(all_data!C61&lt;=10,all_data!F61,0)</f>
        <v>648</v>
      </c>
      <c r="G80" s="29" t="str">
        <f>IF(all_data!C61&lt;=10,all_data!H61,0)</f>
        <v>Jendrik Nase
Kevin Cao</v>
      </c>
      <c r="H80" s="67" t="str">
        <f>IF(all_data!C61&lt;=10,all_data!I61,0)</f>
        <v>Gymnasium Wellingdorf</v>
      </c>
    </row>
    <row r="81" spans="1:8" ht="15.75">
      <c r="A81" s="31">
        <v>78</v>
      </c>
      <c r="B81" s="106" t="str">
        <f>IF(all_data!C22&lt;=10,all_data!B22,0)</f>
        <v>Herzchen</v>
      </c>
      <c r="C81" s="57">
        <f>IF(all_data!C22&lt;=10,all_data!C22,0)</f>
        <v>6.9</v>
      </c>
      <c r="D81" s="50">
        <f>IF(all_data!C22&lt;=10,all_data!D22,0)</f>
        <v>0</v>
      </c>
      <c r="E81" s="52">
        <f>IF(all_data!C22&lt;=10,all_data!E22,0)</f>
        <v>0</v>
      </c>
      <c r="F81" s="51">
        <f>IF(all_data!C22&lt;=10,all_data!F22,0)</f>
        <v>1</v>
      </c>
      <c r="G81" s="29" t="str">
        <f>IF(all_data!C22&lt;=10,all_data!H22,0)</f>
        <v>Melanie Koch</v>
      </c>
      <c r="H81" s="67" t="str">
        <f>IF(all_data!C22&lt;=10,all_data!I22,0)</f>
        <v>Schloßgymnasium Gützkow</v>
      </c>
    </row>
    <row r="82" spans="1:8" ht="15.75">
      <c r="A82" s="31">
        <v>79</v>
      </c>
      <c r="B82" s="106" t="str">
        <f>IF(all_data!C4&lt;=10,all_data!B4,0)</f>
        <v>1108</v>
      </c>
      <c r="C82" s="57">
        <f>IF(all_data!C4&lt;=10,all_data!C4,0)</f>
        <v>8.5</v>
      </c>
      <c r="D82" s="50">
        <f>IF(all_data!C4&lt;=10,all_data!D4,0)</f>
        <v>0</v>
      </c>
      <c r="E82" s="52">
        <f>IF(all_data!C4&lt;=10,all_data!E4,0)</f>
        <v>0</v>
      </c>
      <c r="F82" s="51">
        <f>IF(all_data!C4&lt;=10,all_data!F4,0)</f>
        <v>1</v>
      </c>
      <c r="G82" s="29" t="str">
        <f>IF(all_data!C4&lt;=10,all_data!H4,0)</f>
        <v>Marius Müller</v>
      </c>
      <c r="H82" s="67" t="str">
        <f>IF(all_data!C4&lt;=10,all_data!I4,0)</f>
        <v>Ernst-Abbe-Gymnasium</v>
      </c>
    </row>
    <row r="83" spans="1:8" ht="15.75">
      <c r="A83" s="31">
        <v>80</v>
      </c>
      <c r="B83" s="106" t="str">
        <f>IF(all_data!C11&lt;=10,all_data!B11,0)</f>
        <v>Backpapier</v>
      </c>
      <c r="C83" s="57">
        <f>IF(all_data!C11&lt;=10,all_data!C11,0)</f>
        <v>9.3000000000000007</v>
      </c>
      <c r="D83" s="50">
        <f>IF(all_data!C11&lt;=10,all_data!D11,0)</f>
        <v>0</v>
      </c>
      <c r="E83" s="52">
        <f>IF(all_data!C11&lt;=10,all_data!E11,0)</f>
        <v>0</v>
      </c>
      <c r="F83" s="51">
        <f>IF(all_data!C11&lt;=10,all_data!F11,0)</f>
        <v>1</v>
      </c>
      <c r="G83" s="29" t="str">
        <f>IF(all_data!C11&lt;=10,all_data!H11,0)</f>
        <v>unbekannt</v>
      </c>
      <c r="H83" s="67" t="str">
        <f>IF(all_data!C11&lt;=10,all_data!I11,0)</f>
        <v>Ernst-Abbe-Gymnasium</v>
      </c>
    </row>
    <row r="84" spans="1:8" ht="15.75">
      <c r="A84" s="31">
        <v>81</v>
      </c>
      <c r="B84" s="106" t="str">
        <f>IF(all_data!C96&lt;=10,all_data!B96,0)</f>
        <v>MS Raid</v>
      </c>
      <c r="C84" s="57">
        <f>IF(all_data!C96&lt;=10,all_data!C96,0)</f>
        <v>8.4</v>
      </c>
      <c r="D84" s="50">
        <f>IF(all_data!C96&lt;=10,all_data!D96,0)</f>
        <v>0</v>
      </c>
      <c r="E84" s="52">
        <f>IF(all_data!C96&lt;=10,all_data!E96,0)</f>
        <v>0</v>
      </c>
      <c r="F84" s="51">
        <f>IF(all_data!C96&lt;=10,all_data!F96,0)</f>
        <v>1350</v>
      </c>
      <c r="G84" s="29" t="str">
        <f>IF(all_data!C96&lt;=10,all_data!H96,0)</f>
        <v>Robin Paul Staroske</v>
      </c>
      <c r="H84" s="67" t="str">
        <f>IF(all_data!C96&lt;=10,all_data!I96,0)</f>
        <v>Wossidlo-Gymnasium</v>
      </c>
    </row>
    <row r="85" spans="1:8" ht="15.75">
      <c r="A85" s="31">
        <v>82</v>
      </c>
      <c r="B85" s="106" t="str">
        <f>IF(all_data!C24&lt;=10,all_data!B24,0)</f>
        <v>Hummelchen</v>
      </c>
      <c r="C85" s="57">
        <f>IF(all_data!C24&lt;=10,all_data!C24,0)</f>
        <v>5.3</v>
      </c>
      <c r="D85" s="50">
        <f>IF(all_data!C24&lt;=10,all_data!D24,0)</f>
        <v>0</v>
      </c>
      <c r="E85" s="52">
        <f>IF(all_data!C24&lt;=10,all_data!E24,0)</f>
        <v>0</v>
      </c>
      <c r="F85" s="51">
        <f>IF(all_data!C24&lt;=10,all_data!F24,0)</f>
        <v>1</v>
      </c>
      <c r="G85" s="29" t="str">
        <f>IF(all_data!C24&lt;=10,all_data!H24,0)</f>
        <v>Nina Weinitschke</v>
      </c>
      <c r="H85" s="67" t="str">
        <f>IF(all_data!C24&lt;=10,all_data!I24,0)</f>
        <v>Schloßgymnasium Gützkow</v>
      </c>
    </row>
    <row r="86" spans="1:8" ht="15.75">
      <c r="A86" s="31">
        <v>83</v>
      </c>
      <c r="B86" s="106" t="str">
        <f>IF(all_data!C20&lt;=10,all_data!B20,0)</f>
        <v>Fritzinchen</v>
      </c>
      <c r="C86" s="57">
        <f>IF(all_data!C20&lt;=10,all_data!C20,0)</f>
        <v>7.8</v>
      </c>
      <c r="D86" s="50">
        <f>IF(all_data!C20&lt;=10,all_data!D20,0)</f>
        <v>0</v>
      </c>
      <c r="E86" s="52">
        <f>IF(all_data!C20&lt;=10,all_data!E20,0)</f>
        <v>0</v>
      </c>
      <c r="F86" s="51">
        <f>IF(all_data!C20&lt;=10,all_data!F20,0)</f>
        <v>1</v>
      </c>
      <c r="G86" s="29" t="str">
        <f>IF(all_data!C20&lt;=10,all_data!H20,0)</f>
        <v>Sina-Maria Hofmann</v>
      </c>
      <c r="H86" s="67" t="str">
        <f>IF(all_data!C20&lt;=10,all_data!I20,0)</f>
        <v>Ernst-Abbe-Gymnasium</v>
      </c>
    </row>
    <row r="87" spans="1:8" ht="15.75">
      <c r="A87" s="31">
        <v>84</v>
      </c>
      <c r="B87" s="106" t="str">
        <f>IF(all_data!C35&lt;=10,all_data!B35,0)</f>
        <v>Powerschiff 13</v>
      </c>
      <c r="C87" s="57">
        <f>IF(all_data!C35&lt;=10,all_data!C35,0)</f>
        <v>9.1999999999999993</v>
      </c>
      <c r="D87" s="50">
        <f>IF(all_data!C35&lt;=10,all_data!D35,0)</f>
        <v>0</v>
      </c>
      <c r="E87" s="52">
        <f>IF(all_data!C35&lt;=10,all_data!E35,0)</f>
        <v>0</v>
      </c>
      <c r="F87" s="51">
        <f>IF(all_data!C35&lt;=10,all_data!F35,0)</f>
        <v>1</v>
      </c>
      <c r="G87" s="29" t="str">
        <f>IF(all_data!C35&lt;=10,all_data!H35,0)</f>
        <v>Caroline Renner</v>
      </c>
      <c r="H87" s="67" t="str">
        <f>IF(all_data!C35&lt;=10,all_data!I35,0)</f>
        <v>Ernst-Abbe-Gymnasium</v>
      </c>
    </row>
    <row r="88" spans="1:8" ht="15.75">
      <c r="A88" s="31">
        <v>85</v>
      </c>
      <c r="B88" s="106" t="str">
        <f>IF(all_data!C7&lt;=10,all_data!B7,0)</f>
        <v>Ahoi</v>
      </c>
      <c r="C88" s="57">
        <f>IF(all_data!C7&lt;=10,all_data!C7,0)</f>
        <v>9</v>
      </c>
      <c r="D88" s="50">
        <f>IF(all_data!C7&lt;=10,all_data!D7,0)</f>
        <v>0</v>
      </c>
      <c r="E88" s="52">
        <f>IF(all_data!C7&lt;=10,all_data!E7,0)</f>
        <v>0</v>
      </c>
      <c r="F88" s="51">
        <f>IF(all_data!C7&lt;=10,all_data!F7,0)</f>
        <v>1</v>
      </c>
      <c r="G88" s="29" t="str">
        <f>IF(all_data!C7&lt;=10,all_data!H7,0)</f>
        <v>Christian Fritz</v>
      </c>
      <c r="H88" s="67" t="str">
        <f>IF(all_data!C7&lt;=10,all_data!I7,0)</f>
        <v>Ernst-Abbe-Gymnasium</v>
      </c>
    </row>
    <row r="89" spans="1:8" ht="15.75">
      <c r="A89" s="31">
        <v>86</v>
      </c>
      <c r="B89" s="106" t="str">
        <f>IF(all_data!C60&lt;=10,all_data!B60,0)</f>
        <v>Mein Boot</v>
      </c>
      <c r="C89" s="57">
        <f>IF(all_data!C60&lt;=10,all_data!C60,0)</f>
        <v>9.8000000000000007</v>
      </c>
      <c r="D89" s="50">
        <f>IF(all_data!C60&lt;=10,all_data!D60,0)</f>
        <v>0</v>
      </c>
      <c r="E89" s="52">
        <f>IF(all_data!C60&lt;=10,all_data!E60,0)</f>
        <v>0</v>
      </c>
      <c r="F89" s="51">
        <f>IF(all_data!C60&lt;=10,all_data!F60,0)</f>
        <v>600</v>
      </c>
      <c r="G89" s="29" t="str">
        <f>IF(all_data!C60&lt;=10,all_data!H60,0)</f>
        <v>Florian Sossou</v>
      </c>
      <c r="H89" s="67" t="str">
        <f>IF(all_data!C60&lt;=10,all_data!I60,0)</f>
        <v>Gymnasium Wellingdorf</v>
      </c>
    </row>
    <row r="90" spans="1:8" ht="15.75">
      <c r="A90" s="31">
        <v>87</v>
      </c>
      <c r="B90" s="106" t="str">
        <f>IF(all_data!C65&lt;=10,all_data!B65,0)</f>
        <v>MS. Schachtel</v>
      </c>
      <c r="C90" s="57">
        <f>IF(all_data!C65&lt;=10,all_data!C65,0)</f>
        <v>9.8000000000000007</v>
      </c>
      <c r="D90" s="50">
        <f>IF(all_data!C65&lt;=10,all_data!D65,0)</f>
        <v>0</v>
      </c>
      <c r="E90" s="52">
        <f>IF(all_data!C65&lt;=10,all_data!E65,0)</f>
        <v>0</v>
      </c>
      <c r="F90" s="51">
        <f>IF(all_data!C65&lt;=10,all_data!F65,0)</f>
        <v>752</v>
      </c>
      <c r="G90" s="29" t="str">
        <f>IF(all_data!C65&lt;=10,all_data!H65,0)</f>
        <v>Tim Könnecke</v>
      </c>
      <c r="H90" s="67" t="str">
        <f>IF(all_data!C65&lt;=10,all_data!I65,0)</f>
        <v>Wossidlo-Gymnasium</v>
      </c>
    </row>
    <row r="91" spans="1:8" ht="38.25">
      <c r="A91" s="31">
        <v>88</v>
      </c>
      <c r="B91" s="106" t="str">
        <f>IF(all_data!C57&lt;=10,all_data!B57,0)</f>
        <v>Gummibärchen</v>
      </c>
      <c r="C91" s="57">
        <f>IF(all_data!C57&lt;=10,all_data!C57,0)</f>
        <v>10</v>
      </c>
      <c r="D91" s="50">
        <f>IF(all_data!C57&lt;=10,all_data!D57,0)</f>
        <v>0</v>
      </c>
      <c r="E91" s="52">
        <f>IF(all_data!C57&lt;=10,all_data!E57,0)</f>
        <v>0</v>
      </c>
      <c r="F91" s="51">
        <f>IF(all_data!C57&lt;=10,all_data!F57,0)</f>
        <v>500</v>
      </c>
      <c r="G91" s="29" t="str">
        <f>IF(all_data!C57&lt;=10,all_data!H57,0)</f>
        <v>Janne Catharina Carstensen
Hande Eyicalis</v>
      </c>
      <c r="H91" s="67" t="str">
        <f>IF(all_data!C57&lt;=10,all_data!I57,0)</f>
        <v>Gymnasium Wellingdorf</v>
      </c>
    </row>
    <row r="92" spans="1:8" ht="15.75">
      <c r="A92" s="31">
        <v>89</v>
      </c>
      <c r="B92" s="106" t="str">
        <f>IF(all_data!C27&lt;=10,all_data!B27,0)</f>
        <v>Lasse</v>
      </c>
      <c r="C92" s="57">
        <f>IF(all_data!C27&lt;=10,all_data!C27,0)</f>
        <v>7.5</v>
      </c>
      <c r="D92" s="50">
        <f>IF(all_data!C27&lt;=10,all_data!D27,0)</f>
        <v>0</v>
      </c>
      <c r="E92" s="52">
        <f>IF(all_data!C27&lt;=10,all_data!E27,0)</f>
        <v>0</v>
      </c>
      <c r="F92" s="51">
        <f>IF(all_data!C27&lt;=10,all_data!F27,0)</f>
        <v>1</v>
      </c>
      <c r="G92" s="29" t="str">
        <f>IF(all_data!C27&lt;=10,all_data!H27,0)</f>
        <v>Lasse Berner</v>
      </c>
      <c r="H92" s="67" t="str">
        <f>IF(all_data!C27&lt;=10,all_data!I27,0)</f>
        <v>Gymnasium Papenburg</v>
      </c>
    </row>
    <row r="93" spans="1:8" ht="15.75">
      <c r="A93" s="31">
        <v>90</v>
      </c>
      <c r="B93" s="106" t="str">
        <f>IF(all_data!C6&lt;=10,all_data!B6,0)</f>
        <v>253</v>
      </c>
      <c r="C93" s="57">
        <f>IF(all_data!C6&lt;=10,all_data!C6,0)</f>
        <v>8.5</v>
      </c>
      <c r="D93" s="50">
        <f>IF(all_data!C6&lt;=10,all_data!D6,0)</f>
        <v>0</v>
      </c>
      <c r="E93" s="52">
        <f>IF(all_data!C6&lt;=10,all_data!E6,0)</f>
        <v>0</v>
      </c>
      <c r="F93" s="51">
        <f>IF(all_data!C6&lt;=10,all_data!F6,0)</f>
        <v>1</v>
      </c>
      <c r="G93" s="29" t="str">
        <f>IF(all_data!C6&lt;=10,all_data!H6,0)</f>
        <v>Alina Meisel</v>
      </c>
      <c r="H93" s="67" t="str">
        <f>IF(all_data!C6&lt;=10,all_data!I6,0)</f>
        <v>Ernst-Abbe-Gymnasium</v>
      </c>
    </row>
    <row r="94" spans="1:8" ht="25.5">
      <c r="A94" s="31">
        <v>91</v>
      </c>
      <c r="B94" s="106" t="str">
        <f>IF(all_data!C43&lt;=10,all_data!B43,0)</f>
        <v>THW Kiel</v>
      </c>
      <c r="C94" s="57">
        <f>IF(all_data!C43&lt;=10,all_data!C43,0)</f>
        <v>4.9000000000000004</v>
      </c>
      <c r="D94" s="50">
        <f>IF(all_data!C43&lt;=10,all_data!D43,0)</f>
        <v>0</v>
      </c>
      <c r="E94" s="52">
        <f>IF(all_data!C43&lt;=10,all_data!E43,0)</f>
        <v>0</v>
      </c>
      <c r="F94" s="51">
        <f>IF(all_data!C43&lt;=10,all_data!F43,0)</f>
        <v>1</v>
      </c>
      <c r="G94" s="29" t="str">
        <f>IF(all_data!C43&lt;=10,all_data!H43,0)</f>
        <v>Annika Block
Nina Baumann</v>
      </c>
      <c r="H94" s="67" t="str">
        <f>IF(all_data!C43&lt;=10,all_data!I43,0)</f>
        <v>Gymnasium Wellingdorf</v>
      </c>
    </row>
    <row r="95" spans="1:8" ht="25.5">
      <c r="A95" s="31">
        <v>92</v>
      </c>
      <c r="B95" s="106" t="str">
        <f>IF(all_data!C38&lt;=10,all_data!B38,0)</f>
        <v>Romba 2500</v>
      </c>
      <c r="C95" s="57">
        <f>IF(all_data!C38&lt;=10,all_data!C38,0)</f>
        <v>10</v>
      </c>
      <c r="D95" s="50">
        <f>IF(all_data!C38&lt;=10,all_data!D38,0)</f>
        <v>0</v>
      </c>
      <c r="E95" s="52">
        <f>IF(all_data!C38&lt;=10,all_data!E38,0)</f>
        <v>0</v>
      </c>
      <c r="F95" s="51">
        <f>IF(all_data!C38&lt;=10,all_data!F38,0)</f>
        <v>1</v>
      </c>
      <c r="G95" s="29" t="str">
        <f>IF(all_data!C38&lt;=10,all_data!H38,0)</f>
        <v>Maik Schoer
Robin Karpa</v>
      </c>
      <c r="H95" s="67" t="str">
        <f>IF(all_data!C38&lt;=10,all_data!I38,0)</f>
        <v>Gymnasium Lüneburger Heide</v>
      </c>
    </row>
    <row r="96" spans="1:8" ht="51">
      <c r="A96" s="31">
        <v>93</v>
      </c>
      <c r="B96" s="106" t="str">
        <f>IF(all_data!C59&lt;=10,all_data!B59,0)</f>
        <v>Brjamota</v>
      </c>
      <c r="C96" s="57">
        <f>IF(all_data!C59&lt;=10,all_data!C59,0)</f>
        <v>5.9</v>
      </c>
      <c r="D96" s="50">
        <f>IF(all_data!C59&lt;=10,all_data!D59,0)</f>
        <v>0</v>
      </c>
      <c r="E96" s="52">
        <f>IF(all_data!C59&lt;=10,all_data!E59,0)</f>
        <v>0</v>
      </c>
      <c r="F96" s="51">
        <f>IF(all_data!C59&lt;=10,all_data!F59,0)</f>
        <v>600</v>
      </c>
      <c r="G96" s="29" t="str">
        <f>IF(all_data!C59&lt;=10,all_data!H59,0)</f>
        <v>Tanja Dreves
Breskel Yosef
Jana Lenz
Moritz Steffens</v>
      </c>
      <c r="H96" s="67" t="str">
        <f>IF(all_data!C59&lt;=10,all_data!I59,0)</f>
        <v>Bertha von Suttner Schule</v>
      </c>
    </row>
    <row r="97" spans="1:8" ht="15.75">
      <c r="A97" s="31">
        <v>94</v>
      </c>
      <c r="B97" s="106" t="str">
        <f>IF(all_data!C14&lt;=10,all_data!B14,0)</f>
        <v>Blue Latern</v>
      </c>
      <c r="C97" s="57">
        <f>IF(all_data!C14&lt;=10,all_data!C14,0)</f>
        <v>8.5</v>
      </c>
      <c r="D97" s="50">
        <f>IF(all_data!C14&lt;=10,all_data!D14,0)</f>
        <v>0</v>
      </c>
      <c r="E97" s="52">
        <f>IF(all_data!C14&lt;=10,all_data!E14,0)</f>
        <v>0</v>
      </c>
      <c r="F97" s="51">
        <f>IF(all_data!C14&lt;=10,all_data!F14,0)</f>
        <v>1</v>
      </c>
      <c r="G97" s="29" t="str">
        <f>IF(all_data!C14&lt;=10,all_data!H14,0)</f>
        <v>Henrik Kubitza</v>
      </c>
      <c r="H97" s="67" t="str">
        <f>IF(all_data!C14&lt;=10,all_data!I14,0)</f>
        <v>Ernst-Abbe-Gymnasium</v>
      </c>
    </row>
    <row r="98" spans="1:8" ht="25.5">
      <c r="A98" s="31">
        <v>95</v>
      </c>
      <c r="B98" s="106" t="str">
        <f>IF(all_data!C33&lt;=10,all_data!B33,0)</f>
        <v>NICHRALRYSCHHA</v>
      </c>
      <c r="C98" s="57">
        <f>IF(all_data!C33&lt;=10,all_data!C33,0)</f>
        <v>9.6999999999999993</v>
      </c>
      <c r="D98" s="50">
        <f>IF(all_data!C33&lt;=10,all_data!D33,0)</f>
        <v>0</v>
      </c>
      <c r="E98" s="52">
        <f>IF(all_data!C33&lt;=10,all_data!E33,0)</f>
        <v>0</v>
      </c>
      <c r="F98" s="51">
        <f>IF(all_data!C33&lt;=10,all_data!F33,0)</f>
        <v>1</v>
      </c>
      <c r="G98" s="29" t="str">
        <f>IF(all_data!C33&lt;=10,all_data!H33,0)</f>
        <v>Niklas Schöning
Christopher Hanson</v>
      </c>
      <c r="H98" s="67" t="str">
        <f>IF(all_data!C33&lt;=10,all_data!I33,0)</f>
        <v>Gymnasium Lüneburger Heide</v>
      </c>
    </row>
    <row r="99" spans="1:8" ht="25.5">
      <c r="A99" s="31">
        <v>96</v>
      </c>
      <c r="B99" s="106" t="str">
        <f>IF(all_data!C13&lt;=10,all_data!B13,0)</f>
        <v>Black Pearl II</v>
      </c>
      <c r="C99" s="57">
        <f>IF(all_data!C13&lt;=10,all_data!C13,0)</f>
        <v>9.6</v>
      </c>
      <c r="D99" s="50">
        <f>IF(all_data!C13&lt;=10,all_data!D13,0)</f>
        <v>0</v>
      </c>
      <c r="E99" s="52">
        <f>IF(all_data!C13&lt;=10,all_data!E13,0)</f>
        <v>0</v>
      </c>
      <c r="F99" s="51">
        <f>IF(all_data!C13&lt;=10,all_data!F13,0)</f>
        <v>1</v>
      </c>
      <c r="G99" s="29" t="str">
        <f>IF(all_data!C13&lt;=10,all_data!H13,0)</f>
        <v>Annabell Ritzkowski
Anna Krüger</v>
      </c>
      <c r="H99" s="67" t="str">
        <f>IF(all_data!C13&lt;=10,all_data!I13,0)</f>
        <v>Schloßgymnasium Gützkow</v>
      </c>
    </row>
    <row r="100" spans="1:8" ht="15.75">
      <c r="A100" s="31">
        <v>97</v>
      </c>
      <c r="B100" s="106" t="str">
        <f>IF(all_data!C67&lt;=10,all_data!B67,0)</f>
        <v>Drachenboot</v>
      </c>
      <c r="C100" s="57">
        <f>IF(all_data!C67&lt;=10,all_data!C67,0)</f>
        <v>7.2</v>
      </c>
      <c r="D100" s="50">
        <f>IF(all_data!C67&lt;=10,all_data!D67,0)</f>
        <v>0</v>
      </c>
      <c r="E100" s="52">
        <f>IF(all_data!C67&lt;=10,all_data!E67,0)</f>
        <v>0</v>
      </c>
      <c r="F100" s="51">
        <f>IF(all_data!C67&lt;=10,all_data!F67,0)</f>
        <v>800</v>
      </c>
      <c r="G100" s="29" t="str">
        <f>IF(all_data!C67&lt;=10,all_data!H67,0)</f>
        <v>Philip Pinnow</v>
      </c>
      <c r="H100" s="67" t="str">
        <f>IF(all_data!C67&lt;=10,all_data!I67,0)</f>
        <v>Wossidlo-Gymnasium</v>
      </c>
    </row>
    <row r="101" spans="1:8" ht="38.25">
      <c r="A101" s="31">
        <v>98</v>
      </c>
      <c r="B101" s="106" t="str">
        <f>IF(all_data!C48&lt;=10,all_data!B48,0)</f>
        <v>Bloody Marry</v>
      </c>
      <c r="C101" s="57">
        <f>IF(all_data!C48&lt;=10,all_data!C48,0)</f>
        <v>9.3000000000000007</v>
      </c>
      <c r="D101" s="50">
        <f>IF(all_data!C48&lt;=10,all_data!D48,0)</f>
        <v>0</v>
      </c>
      <c r="E101" s="52">
        <f>IF(all_data!C48&lt;=10,all_data!E48,0)</f>
        <v>0</v>
      </c>
      <c r="F101" s="51">
        <f>IF(all_data!C48&lt;=10,all_data!F48,0)</f>
        <v>200</v>
      </c>
      <c r="G101" s="29" t="str">
        <f>IF(all_data!C48&lt;=10,all_data!H48,0)</f>
        <v>Emilia Weritsch
Veronika Wilhelm
Agata Brzeska</v>
      </c>
      <c r="H101" s="67">
        <f>IF(all_data!C48&lt;=10,all_data!I48,0)</f>
        <v>0</v>
      </c>
    </row>
    <row r="102" spans="1:8" ht="25.5">
      <c r="A102" s="31">
        <v>99</v>
      </c>
      <c r="B102" s="106" t="str">
        <f>IF(all_data!C136&lt;=10,all_data!B136,0)</f>
        <v>Nuestra Senora de las Mercedes</v>
      </c>
      <c r="C102" s="57">
        <f>IF(all_data!C136&lt;=10,all_data!C136,0)</f>
        <v>7.7</v>
      </c>
      <c r="D102" s="50">
        <f>IF(all_data!C136&lt;=10,all_data!D136,0)</f>
        <v>0</v>
      </c>
      <c r="E102" s="52">
        <f>IF(all_data!C136&lt;=10,all_data!E136,0)</f>
        <v>0</v>
      </c>
      <c r="F102" s="51">
        <f>IF(all_data!C136&lt;=10,all_data!F136,0)</f>
        <v>4000</v>
      </c>
      <c r="G102" s="29" t="str">
        <f>IF(all_data!C136&lt;=10,all_data!H136,0)</f>
        <v>Rafael dÀmore Domenech</v>
      </c>
      <c r="H102" s="67" t="str">
        <f>IF(all_data!C136&lt;=10,all_data!I136,0)</f>
        <v>Polytechnic University of Madrid</v>
      </c>
    </row>
    <row r="103" spans="1:8" ht="15.75">
      <c r="A103" s="31">
        <v>100</v>
      </c>
      <c r="B103" s="106" t="str">
        <f>IF(all_data!C17&lt;=10,all_data!B17,0)</f>
        <v>Der Boot</v>
      </c>
      <c r="C103" s="57">
        <f>IF(all_data!C17&lt;=10,all_data!C17,0)</f>
        <v>6.5</v>
      </c>
      <c r="D103" s="50">
        <f>IF(all_data!C17&lt;=10,all_data!D17,0)</f>
        <v>0</v>
      </c>
      <c r="E103" s="52">
        <f>IF(all_data!C17&lt;=10,all_data!E17,0)</f>
        <v>0</v>
      </c>
      <c r="F103" s="51">
        <f>IF(all_data!C17&lt;=10,all_data!F17,0)</f>
        <v>1</v>
      </c>
      <c r="G103" s="29" t="str">
        <f>IF(all_data!C17&lt;=10,all_data!H17,0)</f>
        <v>Benian Balci</v>
      </c>
      <c r="H103" s="67" t="str">
        <f>IF(all_data!C17&lt;=10,all_data!I17,0)</f>
        <v>Ernst-Abbe-Gymnasium</v>
      </c>
    </row>
    <row r="104" spans="1:8" ht="15.75">
      <c r="A104" s="31">
        <v>101</v>
      </c>
      <c r="B104" s="106" t="str">
        <f>IF(all_data!C42&lt;=10,all_data!B42,0)</f>
        <v>Temerer</v>
      </c>
      <c r="C104" s="57">
        <f>IF(all_data!C42&lt;=10,all_data!C42,0)</f>
        <v>8.4</v>
      </c>
      <c r="D104" s="50">
        <f>IF(all_data!C42&lt;=10,all_data!D42,0)</f>
        <v>0</v>
      </c>
      <c r="E104" s="52">
        <f>IF(all_data!C42&lt;=10,all_data!E42,0)</f>
        <v>0</v>
      </c>
      <c r="F104" s="51">
        <f>IF(all_data!C42&lt;=10,all_data!F42,0)</f>
        <v>1</v>
      </c>
      <c r="G104" s="29" t="str">
        <f>IF(all_data!C42&lt;=10,all_data!H42,0)</f>
        <v>unbekannt</v>
      </c>
      <c r="H104" s="67" t="str">
        <f>IF(all_data!C42&lt;=10,all_data!I42,0)</f>
        <v>Gymnasium Lüneburger Heide</v>
      </c>
    </row>
    <row r="105" spans="1:8" ht="15.75">
      <c r="A105" s="31">
        <v>102</v>
      </c>
      <c r="B105" s="106" t="str">
        <f>IF(all_data!C135&lt;=10,all_data!B135,0)</f>
        <v>Corny 2013</v>
      </c>
      <c r="C105" s="57">
        <f>IF(all_data!C135&lt;=10,all_data!C135,0)</f>
        <v>7.5</v>
      </c>
      <c r="D105" s="50">
        <f>IF(all_data!C135&lt;=10,all_data!D135,0)</f>
        <v>0</v>
      </c>
      <c r="E105" s="52">
        <f>IF(all_data!C135&lt;=10,all_data!E135,0)</f>
        <v>0</v>
      </c>
      <c r="F105" s="51">
        <f>IF(all_data!C135&lt;=10,all_data!F135,0)</f>
        <v>3500</v>
      </c>
      <c r="G105" s="29" t="str">
        <f>IF(all_data!C135&lt;=10,all_data!H135,0)</f>
        <v>C. Cornilsen</v>
      </c>
      <c r="H105" s="67" t="str">
        <f>IF(all_data!C135&lt;=10,all_data!I135,0)</f>
        <v>Jungmannschule Eckernförde</v>
      </c>
    </row>
    <row r="106" spans="1:8" ht="25.5">
      <c r="A106" s="31">
        <v>103</v>
      </c>
      <c r="B106" s="106" t="str">
        <f>IF(all_data!C16&lt;=10,all_data!B16,0)</f>
        <v>Daniel</v>
      </c>
      <c r="C106" s="57">
        <f>IF(all_data!C16&lt;=10,all_data!C16,0)</f>
        <v>9.1</v>
      </c>
      <c r="D106" s="50">
        <f>IF(all_data!C16&lt;=10,all_data!D16,0)</f>
        <v>0</v>
      </c>
      <c r="E106" s="52">
        <f>IF(all_data!C16&lt;=10,all_data!E16,0)</f>
        <v>0</v>
      </c>
      <c r="F106" s="51">
        <f>IF(all_data!C16&lt;=10,all_data!F16,0)</f>
        <v>1</v>
      </c>
      <c r="G106" s="29" t="str">
        <f>IF(all_data!C16&lt;=10,all_data!H16,0)</f>
        <v>Simon Gmehling
Enrico Drave</v>
      </c>
      <c r="H106" s="67" t="str">
        <f>IF(all_data!C16&lt;=10,all_data!I16,0)</f>
        <v>Gymnasium Lüneburger Heide</v>
      </c>
    </row>
    <row r="107" spans="1:8" ht="25.5">
      <c r="A107" s="31">
        <v>104</v>
      </c>
      <c r="B107" s="106" t="str">
        <f>IF(all_data!C30&lt;=10,all_data!B30,0)</f>
        <v>MS . B.J.</v>
      </c>
      <c r="C107" s="57">
        <f>IF(all_data!C30&lt;=10,all_data!C30,0)</f>
        <v>9.6999999999999993</v>
      </c>
      <c r="D107" s="50">
        <f>IF(all_data!C30&lt;=10,all_data!D30,0)</f>
        <v>0</v>
      </c>
      <c r="E107" s="52">
        <f>IF(all_data!C30&lt;=10,all_data!E30,0)</f>
        <v>0</v>
      </c>
      <c r="F107" s="51">
        <f>IF(all_data!C30&lt;=10,all_data!F30,0)</f>
        <v>1</v>
      </c>
      <c r="G107" s="29" t="str">
        <f>IF(all_data!C30&lt;=10,all_data!H30,0)</f>
        <v>Janis Walther
Bastian Brand</v>
      </c>
      <c r="H107" s="67" t="str">
        <f>IF(all_data!C30&lt;=10,all_data!I30,0)</f>
        <v>Schützenstraße 3</v>
      </c>
    </row>
    <row r="108" spans="1:8" ht="25.5">
      <c r="A108" s="31">
        <v>105</v>
      </c>
      <c r="B108" s="106" t="str">
        <f>IF(all_data!C21&lt;=10,all_data!B21,0)</f>
        <v>HCO</v>
      </c>
      <c r="C108" s="57">
        <f>IF(all_data!C21&lt;=10,all_data!C21,0)</f>
        <v>9.9</v>
      </c>
      <c r="D108" s="50">
        <f>IF(all_data!C21&lt;=10,all_data!D21,0)</f>
        <v>0</v>
      </c>
      <c r="E108" s="52">
        <f>IF(all_data!C21&lt;=10,all_data!E21,0)</f>
        <v>0</v>
      </c>
      <c r="F108" s="51">
        <f>IF(all_data!C21&lt;=10,all_data!F21,0)</f>
        <v>1</v>
      </c>
      <c r="G108" s="29" t="str">
        <f>IF(all_data!C21&lt;=10,all_data!H21,0)</f>
        <v>Janis Walther
Bastian Brand</v>
      </c>
      <c r="H108" s="67" t="str">
        <f>IF(all_data!C21&lt;=10,all_data!I21,0)</f>
        <v>Gymnasium Lüneburger Heide</v>
      </c>
    </row>
    <row r="109" spans="1:8" ht="15.75">
      <c r="A109" s="31">
        <v>106</v>
      </c>
      <c r="B109" s="106" t="str">
        <f>IF(all_data!C5&lt;=10,all_data!B5,0)</f>
        <v>22</v>
      </c>
      <c r="C109" s="57">
        <f>IF(all_data!C5&lt;=10,all_data!C5,0)</f>
        <v>8.8000000000000007</v>
      </c>
      <c r="D109" s="50">
        <f>IF(all_data!C5&lt;=10,all_data!D5,0)</f>
        <v>0</v>
      </c>
      <c r="E109" s="52">
        <f>IF(all_data!C5&lt;=10,all_data!E5,0)</f>
        <v>0</v>
      </c>
      <c r="F109" s="51">
        <f>IF(all_data!C5&lt;=10,all_data!F5,0)</f>
        <v>1</v>
      </c>
      <c r="G109" s="29" t="str">
        <f>IF(all_data!C5&lt;=10,all_data!H5,0)</f>
        <v>Ramona Müller</v>
      </c>
      <c r="H109" s="67" t="str">
        <f>IF(all_data!C5&lt;=10,all_data!I5,0)</f>
        <v>Ernst-Abbe-Gymnasium</v>
      </c>
    </row>
    <row r="110" spans="1:8" ht="51">
      <c r="A110" s="31">
        <v>107</v>
      </c>
      <c r="B110" s="106" t="str">
        <f>IF(all_data!C91&lt;=10,all_data!B91,0)</f>
        <v>Titan 4</v>
      </c>
      <c r="C110" s="57">
        <f>IF(all_data!C91&lt;=10,all_data!C91,0)</f>
        <v>8.1999999999999993</v>
      </c>
      <c r="D110" s="50">
        <f>IF(all_data!C91&lt;=10,all_data!D91,0)</f>
        <v>0</v>
      </c>
      <c r="E110" s="52">
        <f>IF(all_data!C91&lt;=10,all_data!E91,0)</f>
        <v>0</v>
      </c>
      <c r="F110" s="51">
        <f>IF(all_data!C91&lt;=10,all_data!F91,0)</f>
        <v>1000</v>
      </c>
      <c r="G110" s="29" t="str">
        <f>IF(all_data!C91&lt;=10,all_data!H91,0)</f>
        <v>Tommy
Dustin
Fabio
Dominik Meier</v>
      </c>
      <c r="H110" s="67" t="str">
        <f>IF(all_data!C91&lt;=10,all_data!I91,0)</f>
        <v>Bertha von Suttner Schule</v>
      </c>
    </row>
    <row r="111" spans="1:8" ht="15.75">
      <c r="A111" s="31">
        <v>108</v>
      </c>
      <c r="B111" s="106" t="str">
        <f>IF(all_data!C19&lt;=10,all_data!B19,0)</f>
        <v>Exxon Valdez</v>
      </c>
      <c r="C111" s="57">
        <f>IF(all_data!C19&lt;=10,all_data!C19,0)</f>
        <v>4.5</v>
      </c>
      <c r="D111" s="50">
        <f>IF(all_data!C19&lt;=10,all_data!D19,0)</f>
        <v>0</v>
      </c>
      <c r="E111" s="52">
        <f>IF(all_data!C19&lt;=10,all_data!E19,0)</f>
        <v>0</v>
      </c>
      <c r="F111" s="51">
        <f>IF(all_data!C19&lt;=10,all_data!F19,0)</f>
        <v>1</v>
      </c>
      <c r="G111" s="29" t="str">
        <f>IF(all_data!C19&lt;=10,all_data!H19,0)</f>
        <v>Ann Sophie Pruchner</v>
      </c>
      <c r="H111" s="67" t="str">
        <f>IF(all_data!C19&lt;=10,all_data!I19,0)</f>
        <v>Ernst-Abbe-Gymnasium</v>
      </c>
    </row>
    <row r="112" spans="1:8" ht="38.25">
      <c r="A112" s="31">
        <v>109</v>
      </c>
      <c r="B112" s="106" t="str">
        <f>IF(all_data!C46&lt;=10,all_data!B46,0)</f>
        <v>Yolo</v>
      </c>
      <c r="C112" s="57">
        <f>IF(all_data!C46&lt;=10,all_data!C46,0)</f>
        <v>9.5</v>
      </c>
      <c r="D112" s="50">
        <f>IF(all_data!C46&lt;=10,all_data!D46,0)</f>
        <v>0</v>
      </c>
      <c r="E112" s="52">
        <f>IF(all_data!C46&lt;=10,all_data!E46,0)</f>
        <v>0</v>
      </c>
      <c r="F112" s="51">
        <f>IF(all_data!C46&lt;=10,all_data!F46,0)</f>
        <v>1</v>
      </c>
      <c r="G112" s="29" t="str">
        <f>IF(all_data!C46&lt;=10,all_data!H46,0)</f>
        <v>Konstantin Köster
Caroline Fehlauer
Jonas Schwerin</v>
      </c>
      <c r="H112" s="67" t="str">
        <f>IF(all_data!C46&lt;=10,all_data!I46,0)</f>
        <v>Gymnasium Lüneburger Heide</v>
      </c>
    </row>
    <row r="113" spans="1:8" ht="15.75">
      <c r="A113" s="31">
        <v>110</v>
      </c>
      <c r="B113" s="106" t="str">
        <f>IF(all_data!C50&lt;=10,all_data!B50,0)</f>
        <v>Hong Nga 2</v>
      </c>
      <c r="C113" s="57">
        <f>IF(all_data!C50&lt;=10,all_data!C50,0)</f>
        <v>7.1</v>
      </c>
      <c r="D113" s="50">
        <f>IF(all_data!C50&lt;=10,all_data!D50,0)</f>
        <v>0</v>
      </c>
      <c r="E113" s="52">
        <f>IF(all_data!C50&lt;=10,all_data!E50,0)</f>
        <v>0</v>
      </c>
      <c r="F113" s="51">
        <f>IF(all_data!C50&lt;=10,all_data!F50,0)</f>
        <v>200</v>
      </c>
      <c r="G113" s="29" t="str">
        <f>IF(all_data!C50&lt;=10,all_data!H50,0)</f>
        <v>Hong Nga Ly</v>
      </c>
      <c r="H113" s="67" t="str">
        <f>IF(all_data!C50&lt;=10,all_data!I50,0)</f>
        <v>Athenaueum Stade</v>
      </c>
    </row>
    <row r="114" spans="1:8" ht="15.75">
      <c r="A114" s="31">
        <v>111</v>
      </c>
      <c r="B114" s="106" t="str">
        <f>IF(all_data!C3&lt;=10,all_data!B3,0)</f>
        <v>0910</v>
      </c>
      <c r="C114" s="57">
        <f>IF(all_data!C3&lt;=10,all_data!C3,0)</f>
        <v>8.1</v>
      </c>
      <c r="D114" s="50">
        <f>IF(all_data!C3&lt;=10,all_data!D3,0)</f>
        <v>0</v>
      </c>
      <c r="E114" s="52">
        <f>IF(all_data!C3&lt;=10,all_data!E3,0)</f>
        <v>0</v>
      </c>
      <c r="F114" s="51">
        <f>IF(all_data!C3&lt;=10,all_data!F3,0)</f>
        <v>1</v>
      </c>
      <c r="G114" s="29" t="str">
        <f>IF(all_data!C3&lt;=10,all_data!H3,0)</f>
        <v>Farah Skiba</v>
      </c>
      <c r="H114" s="67" t="str">
        <f>IF(all_data!C3&lt;=10,all_data!I3,0)</f>
        <v>Ernst-Abbe-Gymnasium</v>
      </c>
    </row>
    <row r="115" spans="1:8" ht="15.75">
      <c r="A115" s="31">
        <v>112</v>
      </c>
      <c r="B115" s="106" t="str">
        <f>IF(all_data!C47&lt;=10,all_data!B47,0)</f>
        <v>TITANIK 2.0</v>
      </c>
      <c r="C115" s="57">
        <f>IF(all_data!C47&lt;=10,all_data!C47,0)</f>
        <v>1.4</v>
      </c>
      <c r="D115" s="50">
        <f>IF(all_data!C47&lt;=10,all_data!D47,0)</f>
        <v>0</v>
      </c>
      <c r="E115" s="52">
        <f>IF(all_data!C47&lt;=10,all_data!E47,0)</f>
        <v>0</v>
      </c>
      <c r="F115" s="51">
        <f>IF(all_data!C47&lt;=10,all_data!F47,0)</f>
        <v>8</v>
      </c>
      <c r="G115" s="29" t="str">
        <f>IF(all_data!C47&lt;=10,all_data!H47,0)</f>
        <v>Jonas Dose</v>
      </c>
      <c r="H115" s="67" t="str">
        <f>IF(all_data!C47&lt;=10,all_data!I47,0)</f>
        <v>Gymnasium Wellingdorf</v>
      </c>
    </row>
    <row r="116" spans="1:8" ht="25.5">
      <c r="A116" s="31">
        <v>113</v>
      </c>
      <c r="B116" s="106" t="str">
        <f>IF(all_data!C63&lt;=10,all_data!B63,0)</f>
        <v>CostaConcordia</v>
      </c>
      <c r="C116" s="57">
        <f>IF(all_data!C63&lt;=10,all_data!C63,0)</f>
        <v>5.4</v>
      </c>
      <c r="D116" s="50">
        <f>IF(all_data!C63&lt;=10,all_data!D63,0)</f>
        <v>0</v>
      </c>
      <c r="E116" s="52">
        <f>IF(all_data!C63&lt;=10,all_data!E63,0)</f>
        <v>0</v>
      </c>
      <c r="F116" s="51">
        <f>IF(all_data!C63&lt;=10,all_data!F63,0)</f>
        <v>700</v>
      </c>
      <c r="G116" s="29" t="str">
        <f>IF(all_data!C63&lt;=10,all_data!H63,0)</f>
        <v>Alexander Samp
Florian Sossou</v>
      </c>
      <c r="H116" s="67" t="str">
        <f>IF(all_data!C63&lt;=10,all_data!I63,0)</f>
        <v>Gymnasium Wellingdorf</v>
      </c>
    </row>
    <row r="117" spans="1:8" ht="38.25">
      <c r="A117" s="31">
        <v>114</v>
      </c>
      <c r="B117" s="106" t="str">
        <f>IF(all_data!C36&lt;=10,all_data!B36,0)</f>
        <v>Prototyp</v>
      </c>
      <c r="C117" s="57">
        <f>IF(all_data!C36&lt;=10,all_data!C36,0)</f>
        <v>5.6</v>
      </c>
      <c r="D117" s="50">
        <f>IF(all_data!C36&lt;=10,all_data!D36,0)</f>
        <v>0</v>
      </c>
      <c r="E117" s="52">
        <f>IF(all_data!C36&lt;=10,all_data!E36,0)</f>
        <v>0</v>
      </c>
      <c r="F117" s="51">
        <f>IF(all_data!C36&lt;=10,all_data!F36,0)</f>
        <v>1</v>
      </c>
      <c r="G117" s="29" t="str">
        <f>IF(all_data!C36&lt;=10,all_data!H36,0)</f>
        <v>Konstantin Köster
Caroline Fehlauer
Jonas Schwerin</v>
      </c>
      <c r="H117" s="67" t="str">
        <f>IF(all_data!C36&lt;=10,all_data!I36,0)</f>
        <v>Gymnasium Lüneburger Heide</v>
      </c>
    </row>
    <row r="118" spans="1:8" ht="25.5">
      <c r="A118" s="31">
        <v>115</v>
      </c>
      <c r="B118" s="106" t="str">
        <f>IF(all_data!C31&lt;=10,all_data!B31,0)</f>
        <v>MS Leonoli</v>
      </c>
      <c r="C118" s="57">
        <f>IF(all_data!C31&lt;=10,all_data!C31,0)</f>
        <v>7.9</v>
      </c>
      <c r="D118" s="50">
        <f>IF(all_data!C31&lt;=10,all_data!D31,0)</f>
        <v>0</v>
      </c>
      <c r="E118" s="52">
        <f>IF(all_data!C31&lt;=10,all_data!E31,0)</f>
        <v>0</v>
      </c>
      <c r="F118" s="51">
        <f>IF(all_data!C31&lt;=10,all_data!F31,0)</f>
        <v>1</v>
      </c>
      <c r="G118" s="29" t="str">
        <f>IF(all_data!C31&lt;=10,all_data!H31,0)</f>
        <v>Oliver Wendt
Leon Herrmann</v>
      </c>
      <c r="H118" s="67" t="str">
        <f>IF(all_data!C31&lt;=10,all_data!I31,0)</f>
        <v>Schützenstraße 3</v>
      </c>
    </row>
    <row r="119" spans="1:8" ht="15.75">
      <c r="A119" s="31">
        <v>116</v>
      </c>
      <c r="B119" s="106">
        <f>IF(all_data!C10&lt;=10,all_data!B10,0)</f>
        <v>0</v>
      </c>
      <c r="C119" s="57">
        <f>IF(all_data!C10&lt;=10,all_data!C10,0)</f>
        <v>0</v>
      </c>
      <c r="D119" s="50">
        <f>IF(all_data!C10&lt;=10,all_data!D10,0)</f>
        <v>0</v>
      </c>
      <c r="E119" s="52">
        <f>IF(all_data!C10&lt;=10,all_data!E10,0)</f>
        <v>0</v>
      </c>
      <c r="F119" s="51">
        <f>IF(all_data!C10&lt;=10,all_data!F10,0)</f>
        <v>0</v>
      </c>
      <c r="G119" s="29">
        <f>IF(all_data!C10&lt;=10,all_data!H10,0)</f>
        <v>0</v>
      </c>
      <c r="H119" s="67">
        <f>IF(all_data!C10&lt;=10,all_data!I10,0)</f>
        <v>0</v>
      </c>
    </row>
    <row r="120" spans="1:8" ht="15.75">
      <c r="A120" s="31">
        <v>117</v>
      </c>
      <c r="B120" s="106">
        <f>IF(all_data!C15&lt;=10,all_data!B15,0)</f>
        <v>0</v>
      </c>
      <c r="C120" s="57">
        <f>IF(all_data!C15&lt;=10,all_data!C15,0)</f>
        <v>0</v>
      </c>
      <c r="D120" s="50">
        <f>IF(all_data!C15&lt;=10,all_data!D15,0)</f>
        <v>0</v>
      </c>
      <c r="E120" s="52">
        <f>IF(all_data!C15&lt;=10,all_data!E15,0)</f>
        <v>0</v>
      </c>
      <c r="F120" s="51">
        <f>IF(all_data!C15&lt;=10,all_data!F15,0)</f>
        <v>0</v>
      </c>
      <c r="G120" s="29">
        <f>IF(all_data!C15&lt;=10,all_data!H15,0)</f>
        <v>0</v>
      </c>
      <c r="H120" s="67">
        <f>IF(all_data!C15&lt;=10,all_data!I15,0)</f>
        <v>0</v>
      </c>
    </row>
    <row r="121" spans="1:8" ht="15.75">
      <c r="A121" s="31">
        <v>118</v>
      </c>
      <c r="B121" s="106">
        <f>IF(all_data!C29&lt;=10,all_data!B29,0)</f>
        <v>0</v>
      </c>
      <c r="C121" s="57">
        <f>IF(all_data!C29&lt;=10,all_data!C29,0)</f>
        <v>0</v>
      </c>
      <c r="D121" s="50">
        <f>IF(all_data!C29&lt;=10,all_data!D29,0)</f>
        <v>0</v>
      </c>
      <c r="E121" s="52">
        <f>IF(all_data!C29&lt;=10,all_data!E29,0)</f>
        <v>0</v>
      </c>
      <c r="F121" s="51">
        <f>IF(all_data!C29&lt;=10,all_data!F29,0)</f>
        <v>0</v>
      </c>
      <c r="G121" s="29">
        <f>IF(all_data!C29&lt;=10,all_data!H29,0)</f>
        <v>0</v>
      </c>
      <c r="H121" s="67">
        <f>IF(all_data!C29&lt;=10,all_data!I29,0)</f>
        <v>0</v>
      </c>
    </row>
    <row r="122" spans="1:8" ht="15.75">
      <c r="A122" s="31">
        <v>119</v>
      </c>
      <c r="B122" s="106">
        <f>IF(all_data!C32&lt;=10,all_data!B32,0)</f>
        <v>0</v>
      </c>
      <c r="C122" s="57">
        <f>IF(all_data!C32&lt;=10,all_data!C32,0)</f>
        <v>0</v>
      </c>
      <c r="D122" s="50">
        <f>IF(all_data!C32&lt;=10,all_data!D32,0)</f>
        <v>0</v>
      </c>
      <c r="E122" s="52">
        <f>IF(all_data!C32&lt;=10,all_data!E32,0)</f>
        <v>0</v>
      </c>
      <c r="F122" s="51">
        <f>IF(all_data!C32&lt;=10,all_data!F32,0)</f>
        <v>0</v>
      </c>
      <c r="G122" s="29">
        <f>IF(all_data!C32&lt;=10,all_data!H32,0)</f>
        <v>0</v>
      </c>
      <c r="H122" s="67">
        <f>IF(all_data!C32&lt;=10,all_data!I32,0)</f>
        <v>0</v>
      </c>
    </row>
    <row r="123" spans="1:8" ht="15.75">
      <c r="A123" s="31">
        <v>120</v>
      </c>
      <c r="B123" s="106">
        <f>IF(all_data!C39&lt;=10,all_data!B39,0)</f>
        <v>0</v>
      </c>
      <c r="C123" s="57">
        <f>IF(all_data!C39&lt;=10,all_data!C39,0)</f>
        <v>0</v>
      </c>
      <c r="D123" s="50">
        <f>IF(all_data!C39&lt;=10,all_data!D39,0)</f>
        <v>0</v>
      </c>
      <c r="E123" s="52">
        <f>IF(all_data!C39&lt;=10,all_data!E39,0)</f>
        <v>0</v>
      </c>
      <c r="F123" s="51">
        <f>IF(all_data!C39&lt;=10,all_data!F39,0)</f>
        <v>0</v>
      </c>
      <c r="G123" s="29">
        <f>IF(all_data!C39&lt;=10,all_data!H39,0)</f>
        <v>0</v>
      </c>
      <c r="H123" s="67">
        <f>IF(all_data!C39&lt;=10,all_data!I39,0)</f>
        <v>0</v>
      </c>
    </row>
    <row r="124" spans="1:8" ht="15.75">
      <c r="A124" s="31">
        <v>121</v>
      </c>
      <c r="B124" s="106">
        <f>IF(all_data!C41&lt;=10,all_data!B41,0)</f>
        <v>0</v>
      </c>
      <c r="C124" s="57">
        <f>IF(all_data!C41&lt;=10,all_data!C41,0)</f>
        <v>0</v>
      </c>
      <c r="D124" s="50">
        <f>IF(all_data!C41&lt;=10,all_data!D41,0)</f>
        <v>0</v>
      </c>
      <c r="E124" s="52">
        <f>IF(all_data!C41&lt;=10,all_data!E41,0)</f>
        <v>0</v>
      </c>
      <c r="F124" s="51">
        <f>IF(all_data!C41&lt;=10,all_data!F41,0)</f>
        <v>0</v>
      </c>
      <c r="G124" s="29">
        <f>IF(all_data!C41&lt;=10,all_data!H41,0)</f>
        <v>0</v>
      </c>
      <c r="H124" s="67">
        <f>IF(all_data!C41&lt;=10,all_data!I41,0)</f>
        <v>0</v>
      </c>
    </row>
    <row r="125" spans="1:8" ht="15.75">
      <c r="A125" s="31">
        <v>122</v>
      </c>
      <c r="B125" s="106">
        <f>IF(all_data!C44&lt;=10,all_data!B44,0)</f>
        <v>0</v>
      </c>
      <c r="C125" s="57">
        <f>IF(all_data!C44&lt;=10,all_data!C44,0)</f>
        <v>0</v>
      </c>
      <c r="D125" s="50">
        <f>IF(all_data!C44&lt;=10,all_data!D44,0)</f>
        <v>0</v>
      </c>
      <c r="E125" s="52">
        <f>IF(all_data!C44&lt;=10,all_data!E44,0)</f>
        <v>0</v>
      </c>
      <c r="F125" s="51">
        <f>IF(all_data!C44&lt;=10,all_data!F44,0)</f>
        <v>0</v>
      </c>
      <c r="G125" s="29">
        <f>IF(all_data!C44&lt;=10,all_data!H44,0)</f>
        <v>0</v>
      </c>
      <c r="H125" s="67">
        <f>IF(all_data!C44&lt;=10,all_data!I44,0)</f>
        <v>0</v>
      </c>
    </row>
    <row r="126" spans="1:8" ht="15.75">
      <c r="A126" s="31">
        <v>123</v>
      </c>
      <c r="B126" s="106">
        <f>IF(all_data!C45&lt;=10,all_data!B45,0)</f>
        <v>0</v>
      </c>
      <c r="C126" s="57">
        <f>IF(all_data!C45&lt;=10,all_data!C45,0)</f>
        <v>0</v>
      </c>
      <c r="D126" s="50">
        <f>IF(all_data!C45&lt;=10,all_data!D45,0)</f>
        <v>0</v>
      </c>
      <c r="E126" s="52">
        <f>IF(all_data!C45&lt;=10,all_data!E45,0)</f>
        <v>0</v>
      </c>
      <c r="F126" s="51">
        <f>IF(all_data!C45&lt;=10,all_data!F45,0)</f>
        <v>0</v>
      </c>
      <c r="G126" s="29">
        <f>IF(all_data!C45&lt;=10,all_data!H45,0)</f>
        <v>0</v>
      </c>
      <c r="H126" s="67">
        <f>IF(all_data!C45&lt;=10,all_data!I45,0)</f>
        <v>0</v>
      </c>
    </row>
    <row r="127" spans="1:8" ht="15.75">
      <c r="A127" s="31">
        <v>124</v>
      </c>
      <c r="B127" s="106">
        <f>IF(all_data!C53&lt;=10,all_data!B53,0)</f>
        <v>0</v>
      </c>
      <c r="C127" s="57">
        <f>IF(all_data!C53&lt;=10,all_data!C53,0)</f>
        <v>0</v>
      </c>
      <c r="D127" s="50">
        <f>IF(all_data!C53&lt;=10,all_data!D53,0)</f>
        <v>0</v>
      </c>
      <c r="E127" s="52">
        <f>IF(all_data!C53&lt;=10,all_data!E53,0)</f>
        <v>0</v>
      </c>
      <c r="F127" s="51">
        <f>IF(all_data!C53&lt;=10,all_data!F53,0)</f>
        <v>0</v>
      </c>
      <c r="G127" s="29">
        <f>IF(all_data!C53&lt;=10,all_data!H53,0)</f>
        <v>0</v>
      </c>
      <c r="H127" s="67">
        <f>IF(all_data!C53&lt;=10,all_data!I53,0)</f>
        <v>0</v>
      </c>
    </row>
    <row r="128" spans="1:8" ht="15.75">
      <c r="A128" s="31">
        <v>125</v>
      </c>
      <c r="B128" s="106">
        <f>IF(all_data!C54&lt;=10,all_data!B54,0)</f>
        <v>0</v>
      </c>
      <c r="C128" s="57">
        <f>IF(all_data!C54&lt;=10,all_data!C54,0)</f>
        <v>0</v>
      </c>
      <c r="D128" s="50">
        <f>IF(all_data!C54&lt;=10,all_data!D54,0)</f>
        <v>0</v>
      </c>
      <c r="E128" s="52">
        <f>IF(all_data!C54&lt;=10,all_data!E54,0)</f>
        <v>0</v>
      </c>
      <c r="F128" s="51">
        <f>IF(all_data!C54&lt;=10,all_data!F54,0)</f>
        <v>0</v>
      </c>
      <c r="G128" s="29">
        <f>IF(all_data!C54&lt;=10,all_data!H54,0)</f>
        <v>0</v>
      </c>
      <c r="H128" s="67">
        <f>IF(all_data!C54&lt;=10,all_data!I54,0)</f>
        <v>0</v>
      </c>
    </row>
    <row r="129" spans="1:8" ht="15.75">
      <c r="A129" s="31">
        <v>126</v>
      </c>
      <c r="B129" s="106">
        <f>IF(all_data!C64&lt;=10,all_data!B64,0)</f>
        <v>0</v>
      </c>
      <c r="C129" s="57">
        <f>IF(all_data!C64&lt;=10,all_data!C64,0)</f>
        <v>0</v>
      </c>
      <c r="D129" s="50">
        <f>IF(all_data!C64&lt;=10,all_data!D64,0)</f>
        <v>0</v>
      </c>
      <c r="E129" s="52">
        <f>IF(all_data!C64&lt;=10,all_data!E64,0)</f>
        <v>0</v>
      </c>
      <c r="F129" s="51">
        <f>IF(all_data!C64&lt;=10,all_data!F64,0)</f>
        <v>0</v>
      </c>
      <c r="G129" s="29">
        <f>IF(all_data!C64&lt;=10,all_data!H64,0)</f>
        <v>0</v>
      </c>
      <c r="H129" s="67">
        <f>IF(all_data!C64&lt;=10,all_data!I64,0)</f>
        <v>0</v>
      </c>
    </row>
    <row r="130" spans="1:8" ht="15.75">
      <c r="A130" s="31">
        <v>127</v>
      </c>
      <c r="B130" s="106">
        <f>IF(all_data!C84&lt;=10,all_data!B84,0)</f>
        <v>0</v>
      </c>
      <c r="C130" s="57">
        <f>IF(all_data!C84&lt;=10,all_data!C84,0)</f>
        <v>0</v>
      </c>
      <c r="D130" s="50">
        <f>IF(all_data!C84&lt;=10,all_data!D84,0)</f>
        <v>0</v>
      </c>
      <c r="E130" s="52">
        <f>IF(all_data!C84&lt;=10,all_data!E84,0)</f>
        <v>0</v>
      </c>
      <c r="F130" s="51">
        <f>IF(all_data!C84&lt;=10,all_data!F84,0)</f>
        <v>0</v>
      </c>
      <c r="G130" s="29">
        <f>IF(all_data!C84&lt;=10,all_data!H84,0)</f>
        <v>0</v>
      </c>
      <c r="H130" s="67">
        <f>IF(all_data!C84&lt;=10,all_data!I84,0)</f>
        <v>0</v>
      </c>
    </row>
    <row r="131" spans="1:8" ht="15.75">
      <c r="A131" s="31">
        <v>128</v>
      </c>
      <c r="B131" s="106">
        <f>IF(all_data!C92&lt;=10,all_data!B92,0)</f>
        <v>0</v>
      </c>
      <c r="C131" s="57">
        <f>IF(all_data!C92&lt;=10,all_data!C92,0)</f>
        <v>0</v>
      </c>
      <c r="D131" s="50">
        <f>IF(all_data!C92&lt;=10,all_data!D92,0)</f>
        <v>0</v>
      </c>
      <c r="E131" s="52">
        <f>IF(all_data!C92&lt;=10,all_data!E92,0)</f>
        <v>0</v>
      </c>
      <c r="F131" s="51">
        <f>IF(all_data!C92&lt;=10,all_data!F92,0)</f>
        <v>0</v>
      </c>
      <c r="G131" s="29">
        <f>IF(all_data!C92&lt;=10,all_data!H92,0)</f>
        <v>0</v>
      </c>
      <c r="H131" s="67">
        <f>IF(all_data!C92&lt;=10,all_data!I92,0)</f>
        <v>0</v>
      </c>
    </row>
    <row r="132" spans="1:8" ht="15.75">
      <c r="A132" s="31">
        <v>129</v>
      </c>
      <c r="B132" s="106">
        <f>IF(all_data!C94&lt;=10,all_data!B94,0)</f>
        <v>0</v>
      </c>
      <c r="C132" s="57">
        <f>IF(all_data!C94&lt;=10,all_data!C94,0)</f>
        <v>0</v>
      </c>
      <c r="D132" s="50">
        <f>IF(all_data!C94&lt;=10,all_data!D94,0)</f>
        <v>0</v>
      </c>
      <c r="E132" s="52">
        <f>IF(all_data!C94&lt;=10,all_data!E94,0)</f>
        <v>0</v>
      </c>
      <c r="F132" s="51">
        <f>IF(all_data!C94&lt;=10,all_data!F94,0)</f>
        <v>0</v>
      </c>
      <c r="G132" s="29">
        <f>IF(all_data!C94&lt;=10,all_data!H94,0)</f>
        <v>0</v>
      </c>
      <c r="H132" s="67">
        <f>IF(all_data!C94&lt;=10,all_data!I94,0)</f>
        <v>0</v>
      </c>
    </row>
    <row r="133" spans="1:8" ht="15.75">
      <c r="A133" s="31">
        <v>130</v>
      </c>
      <c r="B133" s="106">
        <f>IF(all_data!C108&lt;=10,all_data!B108,0)</f>
        <v>0</v>
      </c>
      <c r="C133" s="57">
        <f>IF(all_data!C108&lt;=10,all_data!C108,0)</f>
        <v>0</v>
      </c>
      <c r="D133" s="50">
        <f>IF(all_data!C108&lt;=10,all_data!D108,0)</f>
        <v>0</v>
      </c>
      <c r="E133" s="52">
        <f>IF(all_data!C108&lt;=10,all_data!E108,0)</f>
        <v>0</v>
      </c>
      <c r="F133" s="51">
        <f>IF(all_data!C108&lt;=10,all_data!F108,0)</f>
        <v>0</v>
      </c>
      <c r="G133" s="29">
        <f>IF(all_data!C108&lt;=10,all_data!H108,0)</f>
        <v>0</v>
      </c>
      <c r="H133" s="67">
        <f>IF(all_data!C108&lt;=10,all_data!I108,0)</f>
        <v>0</v>
      </c>
    </row>
    <row r="134" spans="1:8" ht="15.75">
      <c r="A134" s="31">
        <v>131</v>
      </c>
      <c r="B134" s="106">
        <f>IF(all_data!C114&lt;=10,all_data!B114,0)</f>
        <v>0</v>
      </c>
      <c r="C134" s="57">
        <f>IF(all_data!C114&lt;=10,all_data!C114,0)</f>
        <v>0</v>
      </c>
      <c r="D134" s="50">
        <f>IF(all_data!C114&lt;=10,all_data!D114,0)</f>
        <v>0</v>
      </c>
      <c r="E134" s="52">
        <f>IF(all_data!C114&lt;=10,all_data!E114,0)</f>
        <v>0</v>
      </c>
      <c r="F134" s="51">
        <f>IF(all_data!C114&lt;=10,all_data!F114,0)</f>
        <v>0</v>
      </c>
      <c r="G134" s="29">
        <f>IF(all_data!C114&lt;=10,all_data!H114,0)</f>
        <v>0</v>
      </c>
      <c r="H134" s="67">
        <f>IF(all_data!C114&lt;=10,all_data!I114,0)</f>
        <v>0</v>
      </c>
    </row>
    <row r="135" spans="1:8" ht="15.75">
      <c r="A135" s="31">
        <v>132</v>
      </c>
      <c r="B135" s="106">
        <f>IF(all_data!C120&lt;=10,all_data!B120,0)</f>
        <v>0</v>
      </c>
      <c r="C135" s="57">
        <f>IF(all_data!C120&lt;=10,all_data!C120,0)</f>
        <v>0</v>
      </c>
      <c r="D135" s="50">
        <f>IF(all_data!C120&lt;=10,all_data!D120,0)</f>
        <v>0</v>
      </c>
      <c r="E135" s="52">
        <f>IF(all_data!C120&lt;=10,all_data!E120,0)</f>
        <v>0</v>
      </c>
      <c r="F135" s="51">
        <f>IF(all_data!C120&lt;=10,all_data!F120,0)</f>
        <v>0</v>
      </c>
      <c r="G135" s="29">
        <f>IF(all_data!C120&lt;=10,all_data!H120,0)</f>
        <v>0</v>
      </c>
      <c r="H135" s="67">
        <f>IF(all_data!C120&lt;=10,all_data!I120,0)</f>
        <v>0</v>
      </c>
    </row>
    <row r="136" spans="1:8" ht="15.75">
      <c r="A136" s="31">
        <v>133</v>
      </c>
      <c r="B136" s="106">
        <f>IF(all_data!C127&lt;=10,all_data!B127,0)</f>
        <v>0</v>
      </c>
      <c r="C136" s="57">
        <f>IF(all_data!C127&lt;=10,all_data!C127,0)</f>
        <v>0</v>
      </c>
      <c r="D136" s="50">
        <f>IF(all_data!C127&lt;=10,all_data!D127,0)</f>
        <v>0</v>
      </c>
      <c r="E136" s="52">
        <f>IF(all_data!C127&lt;=10,all_data!E127,0)</f>
        <v>0</v>
      </c>
      <c r="F136" s="51">
        <f>IF(all_data!C127&lt;=10,all_data!F127,0)</f>
        <v>0</v>
      </c>
      <c r="G136" s="29">
        <f>IF(all_data!C127&lt;=10,all_data!H127,0)</f>
        <v>0</v>
      </c>
      <c r="H136" s="67">
        <f>IF(all_data!C127&lt;=10,all_data!I127,0)</f>
        <v>0</v>
      </c>
    </row>
    <row r="137" spans="1:8" ht="15.75">
      <c r="A137" s="31">
        <v>134</v>
      </c>
      <c r="B137" s="106">
        <f>IF(all_data!C133&lt;=10,all_data!B133,0)</f>
        <v>0</v>
      </c>
      <c r="C137" s="57">
        <f>IF(all_data!C133&lt;=10,all_data!C133,0)</f>
        <v>0</v>
      </c>
      <c r="D137" s="50">
        <f>IF(all_data!C133&lt;=10,all_data!D133,0)</f>
        <v>0</v>
      </c>
      <c r="E137" s="52">
        <f>IF(all_data!C133&lt;=10,all_data!E133,0)</f>
        <v>0</v>
      </c>
      <c r="F137" s="51">
        <f>IF(all_data!C133&lt;=10,all_data!F133,0)</f>
        <v>0</v>
      </c>
      <c r="G137" s="29">
        <f>IF(all_data!C133&lt;=10,all_data!H133,0)</f>
        <v>0</v>
      </c>
      <c r="H137" s="67">
        <f>IF(all_data!C133&lt;=10,all_data!I133,0)</f>
        <v>0</v>
      </c>
    </row>
    <row r="138" spans="1:8" ht="15.75">
      <c r="A138" s="31">
        <v>135</v>
      </c>
      <c r="B138" s="106">
        <f>IF(all_data!C137&lt;=10,all_data!B137,0)</f>
        <v>0</v>
      </c>
      <c r="C138" s="57">
        <f>IF(all_data!C137&lt;=10,all_data!C137,0)</f>
        <v>0</v>
      </c>
      <c r="D138" s="50">
        <f>IF(all_data!C137&lt;=10,all_data!D137,0)</f>
        <v>0</v>
      </c>
      <c r="E138" s="52">
        <f>IF(all_data!C137&lt;=10,all_data!E137,0)</f>
        <v>0</v>
      </c>
      <c r="F138" s="51">
        <f>IF(all_data!C137&lt;=10,all_data!F137,0)</f>
        <v>0</v>
      </c>
      <c r="G138" s="29">
        <f>IF(all_data!C137&lt;=10,all_data!H137,0)</f>
        <v>0</v>
      </c>
      <c r="H138" s="67">
        <f>IF(all_data!C137&lt;=10,all_data!I137,0)</f>
        <v>0</v>
      </c>
    </row>
    <row r="139" spans="1:8" ht="15.75">
      <c r="A139" s="31">
        <v>136</v>
      </c>
      <c r="B139" s="106">
        <f>IF(all_data!C138&lt;=10,all_data!B138,0)</f>
        <v>0</v>
      </c>
      <c r="C139" s="57">
        <f>IF(all_data!C138&lt;=10,all_data!C138,0)</f>
        <v>0</v>
      </c>
      <c r="D139" s="50">
        <f>IF(all_data!C138&lt;=10,all_data!D138,0)</f>
        <v>0</v>
      </c>
      <c r="E139" s="52">
        <f>IF(all_data!C138&lt;=10,all_data!E138,0)</f>
        <v>0</v>
      </c>
      <c r="F139" s="51">
        <f>IF(all_data!C138&lt;=10,all_data!F138,0)</f>
        <v>0</v>
      </c>
      <c r="G139" s="29">
        <f>IF(all_data!C138&lt;=10,all_data!H138,0)</f>
        <v>0</v>
      </c>
      <c r="H139" s="67">
        <f>IF(all_data!C138&lt;=10,all_data!I138,0)</f>
        <v>0</v>
      </c>
    </row>
    <row r="140" spans="1:8" ht="15.75">
      <c r="A140" s="31">
        <v>137</v>
      </c>
      <c r="B140" s="106">
        <f>IF(all_data!C139&lt;=10,all_data!B139,0)</f>
        <v>0</v>
      </c>
      <c r="C140" s="57">
        <f>IF(all_data!C139&lt;=10,all_data!C139,0)</f>
        <v>0</v>
      </c>
      <c r="D140" s="50">
        <f>IF(all_data!C139&lt;=10,all_data!D139,0)</f>
        <v>0</v>
      </c>
      <c r="E140" s="52" t="str">
        <f>IF(all_data!C139&lt;=10,all_data!E139,0)</f>
        <v/>
      </c>
      <c r="F140" s="51">
        <f>IF(all_data!C139&lt;=10,all_data!F139,0)</f>
        <v>0</v>
      </c>
      <c r="G140" s="29">
        <f>IF(all_data!C139&lt;=10,all_data!H139,0)</f>
        <v>0</v>
      </c>
      <c r="H140" s="67">
        <f>IF(all_data!C139&lt;=10,all_data!I139,0)</f>
        <v>0</v>
      </c>
    </row>
    <row r="141" spans="1:8" ht="15.75">
      <c r="A141" s="31">
        <v>138</v>
      </c>
      <c r="B141" s="106">
        <f>IF(all_data!C140&lt;=10,all_data!B140,0)</f>
        <v>0</v>
      </c>
      <c r="C141" s="57">
        <f>IF(all_data!C140&lt;=10,all_data!C140,0)</f>
        <v>0</v>
      </c>
      <c r="D141" s="50">
        <f>IF(all_data!C140&lt;=10,all_data!D140,0)</f>
        <v>0</v>
      </c>
      <c r="E141" s="52" t="str">
        <f>IF(all_data!C140&lt;=10,all_data!E140,0)</f>
        <v/>
      </c>
      <c r="F141" s="51">
        <f>IF(all_data!C140&lt;=10,all_data!F140,0)</f>
        <v>0</v>
      </c>
      <c r="G141" s="29">
        <f>IF(all_data!C140&lt;=10,all_data!H140,0)</f>
        <v>0</v>
      </c>
      <c r="H141" s="67">
        <f>IF(all_data!C140&lt;=10,all_data!I140,0)</f>
        <v>0</v>
      </c>
    </row>
    <row r="142" spans="1:8" ht="15.75">
      <c r="A142" s="31">
        <v>139</v>
      </c>
      <c r="B142" s="106">
        <f>IF(all_data!C141&lt;=10,all_data!B141,0)</f>
        <v>0</v>
      </c>
      <c r="C142" s="57">
        <f>IF(all_data!C141&lt;=10,all_data!C141,0)</f>
        <v>0</v>
      </c>
      <c r="D142" s="50">
        <f>IF(all_data!C141&lt;=10,all_data!D141,0)</f>
        <v>0</v>
      </c>
      <c r="E142" s="52" t="str">
        <f>IF(all_data!C141&lt;=10,all_data!E141,0)</f>
        <v/>
      </c>
      <c r="F142" s="51">
        <f>IF(all_data!C141&lt;=10,all_data!F141,0)</f>
        <v>0</v>
      </c>
      <c r="G142" s="29">
        <f>IF(all_data!C141&lt;=10,all_data!H141,0)</f>
        <v>0</v>
      </c>
      <c r="H142" s="67">
        <f>IF(all_data!C141&lt;=10,all_data!I141,0)</f>
        <v>0</v>
      </c>
    </row>
    <row r="143" spans="1:8" ht="15.75">
      <c r="A143" s="31">
        <v>140</v>
      </c>
      <c r="B143" s="106">
        <f>IF(all_data!C142&lt;=10,all_data!B142,0)</f>
        <v>0</v>
      </c>
      <c r="C143" s="57">
        <f>IF(all_data!C142&lt;=10,all_data!C142,0)</f>
        <v>0</v>
      </c>
      <c r="D143" s="50">
        <f>IF(all_data!C142&lt;=10,all_data!D142,0)</f>
        <v>0</v>
      </c>
      <c r="E143" s="52" t="str">
        <f>IF(all_data!C142&lt;=10,all_data!E142,0)</f>
        <v/>
      </c>
      <c r="F143" s="51">
        <f>IF(all_data!C142&lt;=10,all_data!F142,0)</f>
        <v>0</v>
      </c>
      <c r="G143" s="29">
        <f>IF(all_data!C142&lt;=10,all_data!H142,0)</f>
        <v>0</v>
      </c>
      <c r="H143" s="67">
        <f>IF(all_data!C142&lt;=10,all_data!I142,0)</f>
        <v>0</v>
      </c>
    </row>
    <row r="144" spans="1:8" ht="15.75">
      <c r="A144" s="31">
        <v>141</v>
      </c>
      <c r="B144" s="106">
        <f>IF(all_data!C143&lt;=10,all_data!B143,0)</f>
        <v>0</v>
      </c>
      <c r="C144" s="57">
        <f>IF(all_data!C143&lt;=10,all_data!C143,0)</f>
        <v>0</v>
      </c>
      <c r="D144" s="50">
        <f>IF(all_data!C143&lt;=10,all_data!D143,0)</f>
        <v>0</v>
      </c>
      <c r="E144" s="52" t="str">
        <f>IF(all_data!C143&lt;=10,all_data!E143,0)</f>
        <v/>
      </c>
      <c r="F144" s="51">
        <f>IF(all_data!C143&lt;=10,all_data!F143,0)</f>
        <v>0</v>
      </c>
      <c r="G144" s="29">
        <f>IF(all_data!C143&lt;=10,all_data!H143,0)</f>
        <v>0</v>
      </c>
      <c r="H144" s="67">
        <f>IF(all_data!C143&lt;=10,all_data!I143,0)</f>
        <v>0</v>
      </c>
    </row>
    <row r="145" spans="1:8" ht="15.75">
      <c r="A145" s="31">
        <v>142</v>
      </c>
      <c r="B145" s="106">
        <f>IF(all_data!C144&lt;=10,all_data!B144,0)</f>
        <v>0</v>
      </c>
      <c r="C145" s="57">
        <f>IF(all_data!C144&lt;=10,all_data!C144,0)</f>
        <v>0</v>
      </c>
      <c r="D145" s="50">
        <f>IF(all_data!C144&lt;=10,all_data!D144,0)</f>
        <v>0</v>
      </c>
      <c r="E145" s="52" t="str">
        <f>IF(all_data!C144&lt;=10,all_data!E144,0)</f>
        <v/>
      </c>
      <c r="F145" s="51">
        <f>IF(all_data!C144&lt;=10,all_data!F144,0)</f>
        <v>0</v>
      </c>
      <c r="G145" s="29">
        <f>IF(all_data!C144&lt;=10,all_data!H144,0)</f>
        <v>0</v>
      </c>
      <c r="H145" s="67">
        <f>IF(all_data!C144&lt;=10,all_data!I144,0)</f>
        <v>0</v>
      </c>
    </row>
    <row r="146" spans="1:8" ht="15.75">
      <c r="A146" s="31">
        <v>143</v>
      </c>
      <c r="B146" s="106">
        <f>IF(all_data!C145&lt;=10,all_data!B145,0)</f>
        <v>0</v>
      </c>
      <c r="C146" s="57">
        <f>IF(all_data!C145&lt;=10,all_data!C145,0)</f>
        <v>0</v>
      </c>
      <c r="D146" s="50">
        <f>IF(all_data!C145&lt;=10,all_data!D145,0)</f>
        <v>0</v>
      </c>
      <c r="E146" s="52" t="str">
        <f>IF(all_data!C145&lt;=10,all_data!E145,0)</f>
        <v/>
      </c>
      <c r="F146" s="51">
        <f>IF(all_data!C145&lt;=10,all_data!F145,0)</f>
        <v>0</v>
      </c>
      <c r="G146" s="29">
        <f>IF(all_data!C145&lt;=10,all_data!H145,0)</f>
        <v>0</v>
      </c>
      <c r="H146" s="67">
        <f>IF(all_data!C145&lt;=10,all_data!I145,0)</f>
        <v>0</v>
      </c>
    </row>
    <row r="147" spans="1:8" ht="15.75">
      <c r="A147" s="31">
        <v>144</v>
      </c>
      <c r="B147" s="106">
        <f>IF(all_data!C146&lt;=10,all_data!B146,0)</f>
        <v>0</v>
      </c>
      <c r="C147" s="57">
        <f>IF(all_data!C146&lt;=10,all_data!C146,0)</f>
        <v>0</v>
      </c>
      <c r="D147" s="50">
        <f>IF(all_data!C146&lt;=10,all_data!D146,0)</f>
        <v>0</v>
      </c>
      <c r="E147" s="52" t="str">
        <f>IF(all_data!C146&lt;=10,all_data!E146,0)</f>
        <v/>
      </c>
      <c r="F147" s="51">
        <f>IF(all_data!C146&lt;=10,all_data!F146,0)</f>
        <v>0</v>
      </c>
      <c r="G147" s="29">
        <f>IF(all_data!C146&lt;=10,all_data!H146,0)</f>
        <v>0</v>
      </c>
      <c r="H147" s="67">
        <f>IF(all_data!C146&lt;=10,all_data!I146,0)</f>
        <v>0</v>
      </c>
    </row>
    <row r="148" spans="1:8" ht="15.75">
      <c r="A148" s="31">
        <v>145</v>
      </c>
      <c r="B148" s="106">
        <f>IF(all_data!C147&lt;=10,all_data!B147,0)</f>
        <v>0</v>
      </c>
      <c r="C148" s="57">
        <f>IF(all_data!C147&lt;=10,all_data!C147,0)</f>
        <v>0</v>
      </c>
      <c r="D148" s="50">
        <f>IF(all_data!C147&lt;=10,all_data!D147,0)</f>
        <v>0</v>
      </c>
      <c r="E148" s="52" t="str">
        <f>IF(all_data!C147&lt;=10,all_data!E147,0)</f>
        <v/>
      </c>
      <c r="F148" s="51">
        <f>IF(all_data!C147&lt;=10,all_data!F147,0)</f>
        <v>0</v>
      </c>
      <c r="G148" s="29">
        <f>IF(all_data!C147&lt;=10,all_data!H147,0)</f>
        <v>0</v>
      </c>
      <c r="H148" s="67">
        <f>IF(all_data!C147&lt;=10,all_data!I147,0)</f>
        <v>0</v>
      </c>
    </row>
    <row r="149" spans="1:8" ht="15.75">
      <c r="A149" s="31">
        <v>146</v>
      </c>
      <c r="B149" s="106">
        <f>IF(all_data!C148&lt;=10,all_data!B148,0)</f>
        <v>0</v>
      </c>
      <c r="C149" s="57">
        <f>IF(all_data!C148&lt;=10,all_data!C148,0)</f>
        <v>0</v>
      </c>
      <c r="D149" s="50">
        <f>IF(all_data!C148&lt;=10,all_data!D148,0)</f>
        <v>0</v>
      </c>
      <c r="E149" s="52" t="str">
        <f>IF(all_data!C148&lt;=10,all_data!E148,0)</f>
        <v/>
      </c>
      <c r="F149" s="51">
        <f>IF(all_data!C148&lt;=10,all_data!F148,0)</f>
        <v>0</v>
      </c>
      <c r="G149" s="29">
        <f>IF(all_data!C148&lt;=10,all_data!H148,0)</f>
        <v>0</v>
      </c>
      <c r="H149" s="67">
        <f>IF(all_data!C148&lt;=10,all_data!I148,0)</f>
        <v>0</v>
      </c>
    </row>
    <row r="150" spans="1:8" ht="15.75">
      <c r="A150" s="31">
        <v>147</v>
      </c>
      <c r="B150" s="106">
        <f>IF(all_data!C149&lt;=10,all_data!B149,0)</f>
        <v>0</v>
      </c>
      <c r="C150" s="57">
        <f>IF(all_data!C149&lt;=10,all_data!C149,0)</f>
        <v>0</v>
      </c>
      <c r="D150" s="50">
        <f>IF(all_data!C149&lt;=10,all_data!D149,0)</f>
        <v>0</v>
      </c>
      <c r="E150" s="52" t="str">
        <f>IF(all_data!C149&lt;=10,all_data!E149,0)</f>
        <v/>
      </c>
      <c r="F150" s="51">
        <f>IF(all_data!C149&lt;=10,all_data!F149,0)</f>
        <v>0</v>
      </c>
      <c r="G150" s="29">
        <f>IF(all_data!C149&lt;=10,all_data!H149,0)</f>
        <v>0</v>
      </c>
      <c r="H150" s="67">
        <f>IF(all_data!C149&lt;=10,all_data!I149,0)</f>
        <v>0</v>
      </c>
    </row>
    <row r="151" spans="1:8" ht="15.75">
      <c r="A151" s="31">
        <v>148</v>
      </c>
      <c r="B151" s="106">
        <f>IF(all_data!C150&lt;=10,all_data!B150,0)</f>
        <v>0</v>
      </c>
      <c r="C151" s="57">
        <f>IF(all_data!C150&lt;=10,all_data!C150,0)</f>
        <v>0</v>
      </c>
      <c r="D151" s="50">
        <f>IF(all_data!C150&lt;=10,all_data!D150,0)</f>
        <v>0</v>
      </c>
      <c r="E151" s="52" t="str">
        <f>IF(all_data!C150&lt;=10,all_data!E150,0)</f>
        <v/>
      </c>
      <c r="F151" s="51">
        <f>IF(all_data!C150&lt;=10,all_data!F150,0)</f>
        <v>0</v>
      </c>
      <c r="G151" s="29">
        <f>IF(all_data!C150&lt;=10,all_data!H150,0)</f>
        <v>0</v>
      </c>
      <c r="H151" s="67">
        <f>IF(all_data!C150&lt;=10,all_data!I150,0)</f>
        <v>0</v>
      </c>
    </row>
    <row r="152" spans="1:8" ht="15.75">
      <c r="A152" s="31">
        <v>149</v>
      </c>
      <c r="B152" s="106">
        <f>IF(all_data!C151&lt;=10,all_data!B151,0)</f>
        <v>0</v>
      </c>
      <c r="C152" s="57">
        <f>IF(all_data!C151&lt;=10,all_data!C151,0)</f>
        <v>0</v>
      </c>
      <c r="D152" s="50">
        <f>IF(all_data!C151&lt;=10,all_data!D151,0)</f>
        <v>0</v>
      </c>
      <c r="E152" s="52" t="str">
        <f>IF(all_data!C151&lt;=10,all_data!E151,0)</f>
        <v/>
      </c>
      <c r="F152" s="51">
        <f>IF(all_data!C151&lt;=10,all_data!F151,0)</f>
        <v>0</v>
      </c>
      <c r="G152" s="29">
        <f>IF(all_data!C151&lt;=10,all_data!H151,0)</f>
        <v>0</v>
      </c>
      <c r="H152" s="67">
        <f>IF(all_data!C151&lt;=10,all_data!I151,0)</f>
        <v>0</v>
      </c>
    </row>
    <row r="153" spans="1:8" ht="15.75">
      <c r="A153" s="31">
        <v>150</v>
      </c>
      <c r="B153" s="106">
        <f>IF(all_data!C152&lt;=10,all_data!B152,0)</f>
        <v>0</v>
      </c>
      <c r="C153" s="57">
        <f>IF(all_data!C152&lt;=10,all_data!C152,0)</f>
        <v>0</v>
      </c>
      <c r="D153" s="50">
        <f>IF(all_data!C152&lt;=10,all_data!D152,0)</f>
        <v>0</v>
      </c>
      <c r="E153" s="52" t="str">
        <f>IF(all_data!C152&lt;=10,all_data!E152,0)</f>
        <v/>
      </c>
      <c r="F153" s="51">
        <f>IF(all_data!C152&lt;=10,all_data!F152,0)</f>
        <v>0</v>
      </c>
      <c r="G153" s="29">
        <f>IF(all_data!C152&lt;=10,all_data!H152,0)</f>
        <v>0</v>
      </c>
      <c r="H153" s="67">
        <f>IF(all_data!C152&lt;=10,all_data!I152,0)</f>
        <v>0</v>
      </c>
    </row>
    <row r="154" spans="1:8" ht="15.75">
      <c r="A154" s="31">
        <v>151</v>
      </c>
      <c r="B154" s="106">
        <f>IF(all_data!C153&lt;=10,all_data!B153,0)</f>
        <v>0</v>
      </c>
      <c r="C154" s="57">
        <f>IF(all_data!C153&lt;=10,all_data!C153,0)</f>
        <v>0</v>
      </c>
      <c r="D154" s="50">
        <f>IF(all_data!C153&lt;=10,all_data!D153,0)</f>
        <v>0</v>
      </c>
      <c r="E154" s="52" t="str">
        <f>IF(all_data!C153&lt;=10,all_data!E153,0)</f>
        <v/>
      </c>
      <c r="F154" s="51">
        <f>IF(all_data!C153&lt;=10,all_data!F153,0)</f>
        <v>0</v>
      </c>
      <c r="G154" s="29">
        <f>IF(all_data!C153&lt;=10,all_data!H153,0)</f>
        <v>0</v>
      </c>
      <c r="H154" s="67">
        <f>IF(all_data!C153&lt;=10,all_data!I153,0)</f>
        <v>0</v>
      </c>
    </row>
    <row r="155" spans="1:8" ht="15.75">
      <c r="A155" s="31">
        <v>152</v>
      </c>
      <c r="B155" s="106">
        <f>IF(all_data!C154&lt;=10,all_data!B154,0)</f>
        <v>0</v>
      </c>
      <c r="C155" s="57">
        <f>IF(all_data!C154&lt;=10,all_data!C154,0)</f>
        <v>0</v>
      </c>
      <c r="D155" s="50">
        <f>IF(all_data!C154&lt;=10,all_data!D154,0)</f>
        <v>0</v>
      </c>
      <c r="E155" s="52" t="str">
        <f>IF(all_data!C154&lt;=10,all_data!E154,0)</f>
        <v/>
      </c>
      <c r="F155" s="51">
        <f>IF(all_data!C154&lt;=10,all_data!F154,0)</f>
        <v>0</v>
      </c>
      <c r="G155" s="29">
        <f>IF(all_data!C154&lt;=10,all_data!H154,0)</f>
        <v>0</v>
      </c>
      <c r="H155" s="67">
        <f>IF(all_data!C154&lt;=10,all_data!I154,0)</f>
        <v>0</v>
      </c>
    </row>
    <row r="156" spans="1:8" ht="15.75">
      <c r="A156" s="31">
        <v>153</v>
      </c>
      <c r="B156" s="106">
        <f>IF(all_data!C155&lt;=10,all_data!B155,0)</f>
        <v>0</v>
      </c>
      <c r="C156" s="57">
        <f>IF(all_data!C155&lt;=10,all_data!C155,0)</f>
        <v>0</v>
      </c>
      <c r="D156" s="50">
        <f>IF(all_data!C155&lt;=10,all_data!D155,0)</f>
        <v>0</v>
      </c>
      <c r="E156" s="52" t="str">
        <f>IF(all_data!C155&lt;=10,all_data!E155,0)</f>
        <v/>
      </c>
      <c r="F156" s="51">
        <f>IF(all_data!C155&lt;=10,all_data!F155,0)</f>
        <v>0</v>
      </c>
      <c r="G156" s="29">
        <f>IF(all_data!C155&lt;=10,all_data!H155,0)</f>
        <v>0</v>
      </c>
      <c r="H156" s="67">
        <f>IF(all_data!C155&lt;=10,all_data!I155,0)</f>
        <v>0</v>
      </c>
    </row>
    <row r="157" spans="1:8" ht="15.75">
      <c r="A157" s="31">
        <v>154</v>
      </c>
      <c r="B157" s="106">
        <f>IF(all_data!C156&lt;=10,all_data!B156,0)</f>
        <v>0</v>
      </c>
      <c r="C157" s="57">
        <f>IF(all_data!C156&lt;=10,all_data!C156,0)</f>
        <v>0</v>
      </c>
      <c r="D157" s="50">
        <f>IF(all_data!C156&lt;=10,all_data!D156,0)</f>
        <v>0</v>
      </c>
      <c r="E157" s="52" t="str">
        <f>IF(all_data!C156&lt;=10,all_data!E156,0)</f>
        <v/>
      </c>
      <c r="F157" s="51">
        <f>IF(all_data!C156&lt;=10,all_data!F156,0)</f>
        <v>0</v>
      </c>
      <c r="G157" s="29">
        <f>IF(all_data!C156&lt;=10,all_data!H156,0)</f>
        <v>0</v>
      </c>
      <c r="H157" s="67">
        <f>IF(all_data!C156&lt;=10,all_data!I156,0)</f>
        <v>0</v>
      </c>
    </row>
    <row r="158" spans="1:8" ht="15.75">
      <c r="A158" s="31">
        <v>155</v>
      </c>
      <c r="B158" s="106">
        <f>IF(all_data!C157&lt;=10,all_data!B157,0)</f>
        <v>0</v>
      </c>
      <c r="C158" s="57">
        <f>IF(all_data!C157&lt;=10,all_data!C157,0)</f>
        <v>0</v>
      </c>
      <c r="D158" s="50">
        <f>IF(all_data!C157&lt;=10,all_data!D157,0)</f>
        <v>0</v>
      </c>
      <c r="E158" s="52" t="str">
        <f>IF(all_data!C157&lt;=10,all_data!E157,0)</f>
        <v/>
      </c>
      <c r="F158" s="51">
        <f>IF(all_data!C157&lt;=10,all_data!F157,0)</f>
        <v>0</v>
      </c>
      <c r="G158" s="29">
        <f>IF(all_data!C157&lt;=10,all_data!H157,0)</f>
        <v>0</v>
      </c>
      <c r="H158" s="67">
        <f>IF(all_data!C157&lt;=10,all_data!I157,0)</f>
        <v>0</v>
      </c>
    </row>
    <row r="159" spans="1:8" ht="15.75">
      <c r="A159" s="31">
        <v>156</v>
      </c>
      <c r="B159" s="106">
        <f>IF(all_data!C158&lt;=10,all_data!B158,0)</f>
        <v>0</v>
      </c>
      <c r="C159" s="57">
        <f>IF(all_data!C158&lt;=10,all_data!C158,0)</f>
        <v>0</v>
      </c>
      <c r="D159" s="50">
        <f>IF(all_data!C158&lt;=10,all_data!D158,0)</f>
        <v>0</v>
      </c>
      <c r="E159" s="52" t="str">
        <f>IF(all_data!C158&lt;=10,all_data!E158,0)</f>
        <v/>
      </c>
      <c r="F159" s="51">
        <f>IF(all_data!C158&lt;=10,all_data!F158,0)</f>
        <v>0</v>
      </c>
      <c r="G159" s="29">
        <f>IF(all_data!C158&lt;=10,all_data!H158,0)</f>
        <v>0</v>
      </c>
      <c r="H159" s="67">
        <f>IF(all_data!C158&lt;=10,all_data!I158,0)</f>
        <v>0</v>
      </c>
    </row>
    <row r="160" spans="1:8" ht="15.75">
      <c r="A160" s="31">
        <v>157</v>
      </c>
      <c r="B160" s="106">
        <f>IF(all_data!C159&lt;=10,all_data!B159,0)</f>
        <v>0</v>
      </c>
      <c r="C160" s="57">
        <f>IF(all_data!C159&lt;=10,all_data!C159,0)</f>
        <v>0</v>
      </c>
      <c r="D160" s="50">
        <f>IF(all_data!C159&lt;=10,all_data!D159,0)</f>
        <v>0</v>
      </c>
      <c r="E160" s="52" t="str">
        <f>IF(all_data!C159&lt;=10,all_data!E159,0)</f>
        <v/>
      </c>
      <c r="F160" s="51">
        <f>IF(all_data!C159&lt;=10,all_data!F159,0)</f>
        <v>0</v>
      </c>
      <c r="G160" s="29">
        <f>IF(all_data!C159&lt;=10,all_data!H159,0)</f>
        <v>0</v>
      </c>
      <c r="H160" s="67">
        <f>IF(all_data!C159&lt;=10,all_data!I159,0)</f>
        <v>0</v>
      </c>
    </row>
    <row r="161" spans="1:8" ht="15.75">
      <c r="A161" s="31">
        <v>158</v>
      </c>
      <c r="B161" s="106">
        <f>IF(all_data!C160&lt;=10,all_data!B160,0)</f>
        <v>0</v>
      </c>
      <c r="C161" s="57">
        <f>IF(all_data!C160&lt;=10,all_data!C160,0)</f>
        <v>0</v>
      </c>
      <c r="D161" s="50">
        <f>IF(all_data!C160&lt;=10,all_data!D160,0)</f>
        <v>0</v>
      </c>
      <c r="E161" s="52" t="str">
        <f>IF(all_data!C160&lt;=10,all_data!E160,0)</f>
        <v/>
      </c>
      <c r="F161" s="51">
        <f>IF(all_data!C160&lt;=10,all_data!F160,0)</f>
        <v>0</v>
      </c>
      <c r="G161" s="29">
        <f>IF(all_data!C160&lt;=10,all_data!H160,0)</f>
        <v>0</v>
      </c>
      <c r="H161" s="67">
        <f>IF(all_data!C160&lt;=10,all_data!I160,0)</f>
        <v>0</v>
      </c>
    </row>
    <row r="162" spans="1:8" ht="15.75">
      <c r="A162" s="31">
        <v>159</v>
      </c>
      <c r="B162" s="106">
        <f>IF(all_data!C161&lt;=10,all_data!B161,0)</f>
        <v>0</v>
      </c>
      <c r="C162" s="57">
        <f>IF(all_data!C161&lt;=10,all_data!C161,0)</f>
        <v>0</v>
      </c>
      <c r="D162" s="50">
        <f>IF(all_data!C161&lt;=10,all_data!D161,0)</f>
        <v>0</v>
      </c>
      <c r="E162" s="52" t="str">
        <f>IF(all_data!C161&lt;=10,all_data!E161,0)</f>
        <v/>
      </c>
      <c r="F162" s="51">
        <f>IF(all_data!C161&lt;=10,all_data!F161,0)</f>
        <v>0</v>
      </c>
      <c r="G162" s="29">
        <f>IF(all_data!C161&lt;=10,all_data!H161,0)</f>
        <v>0</v>
      </c>
      <c r="H162" s="67">
        <f>IF(all_data!C161&lt;=10,all_data!I161,0)</f>
        <v>0</v>
      </c>
    </row>
    <row r="163" spans="1:8" ht="15.75">
      <c r="A163" s="31">
        <v>160</v>
      </c>
      <c r="B163" s="106">
        <f>IF(all_data!C162&lt;=10,all_data!B162,0)</f>
        <v>0</v>
      </c>
      <c r="C163" s="57">
        <f>IF(all_data!C162&lt;=10,all_data!C162,0)</f>
        <v>0</v>
      </c>
      <c r="D163" s="50">
        <f>IF(all_data!C162&lt;=10,all_data!D162,0)</f>
        <v>0</v>
      </c>
      <c r="E163" s="52" t="str">
        <f>IF(all_data!C162&lt;=10,all_data!E162,0)</f>
        <v/>
      </c>
      <c r="F163" s="51">
        <f>IF(all_data!C162&lt;=10,all_data!F162,0)</f>
        <v>0</v>
      </c>
      <c r="G163" s="29">
        <f>IF(all_data!C162&lt;=10,all_data!H162,0)</f>
        <v>0</v>
      </c>
      <c r="H163" s="67">
        <f>IF(all_data!C162&lt;=10,all_data!I162,0)</f>
        <v>0</v>
      </c>
    </row>
    <row r="164" spans="1:8" ht="15.75">
      <c r="A164" s="31">
        <v>161</v>
      </c>
      <c r="B164" s="106">
        <f>IF(all_data!C163&lt;=10,all_data!B163,0)</f>
        <v>0</v>
      </c>
      <c r="C164" s="57">
        <f>IF(all_data!C163&lt;=10,all_data!C163,0)</f>
        <v>0</v>
      </c>
      <c r="D164" s="50">
        <f>IF(all_data!C163&lt;=10,all_data!D163,0)</f>
        <v>0</v>
      </c>
      <c r="E164" s="52" t="str">
        <f>IF(all_data!C163&lt;=10,all_data!E163,0)</f>
        <v/>
      </c>
      <c r="F164" s="51">
        <f>IF(all_data!C163&lt;=10,all_data!F163,0)</f>
        <v>0</v>
      </c>
      <c r="G164" s="29">
        <f>IF(all_data!C163&lt;=10,all_data!H163,0)</f>
        <v>0</v>
      </c>
      <c r="H164" s="67">
        <f>IF(all_data!C163&lt;=10,all_data!I163,0)</f>
        <v>0</v>
      </c>
    </row>
    <row r="165" spans="1:8" ht="15.75">
      <c r="A165" s="31">
        <v>162</v>
      </c>
      <c r="B165" s="106">
        <f>IF(all_data!C164&lt;=10,all_data!B164,0)</f>
        <v>0</v>
      </c>
      <c r="C165" s="57">
        <f>IF(all_data!C164&lt;=10,all_data!C164,0)</f>
        <v>0</v>
      </c>
      <c r="D165" s="50">
        <f>IF(all_data!C164&lt;=10,all_data!D164,0)</f>
        <v>0</v>
      </c>
      <c r="E165" s="52" t="str">
        <f>IF(all_data!C164&lt;=10,all_data!E164,0)</f>
        <v/>
      </c>
      <c r="F165" s="51">
        <f>IF(all_data!C164&lt;=10,all_data!F164,0)</f>
        <v>0</v>
      </c>
      <c r="G165" s="29">
        <f>IF(all_data!C164&lt;=10,all_data!H164,0)</f>
        <v>0</v>
      </c>
      <c r="H165" s="67">
        <f>IF(all_data!C164&lt;=10,all_data!I164,0)</f>
        <v>0</v>
      </c>
    </row>
    <row r="166" spans="1:8" ht="15.75">
      <c r="A166" s="31">
        <v>163</v>
      </c>
      <c r="B166" s="106">
        <f>IF(all_data!C165&lt;=10,all_data!B165,0)</f>
        <v>0</v>
      </c>
      <c r="C166" s="57">
        <f>IF(all_data!C165&lt;=10,all_data!C165,0)</f>
        <v>0</v>
      </c>
      <c r="D166" s="50">
        <f>IF(all_data!C165&lt;=10,all_data!D165,0)</f>
        <v>0</v>
      </c>
      <c r="E166" s="52" t="str">
        <f>IF(all_data!C165&lt;=10,all_data!E165,0)</f>
        <v/>
      </c>
      <c r="F166" s="51">
        <f>IF(all_data!C165&lt;=10,all_data!F165,0)</f>
        <v>0</v>
      </c>
      <c r="G166" s="29">
        <f>IF(all_data!C165&lt;=10,all_data!H165,0)</f>
        <v>0</v>
      </c>
      <c r="H166" s="67">
        <f>IF(all_data!C165&lt;=10,all_data!I165,0)</f>
        <v>0</v>
      </c>
    </row>
    <row r="167" spans="1:8" ht="15.75">
      <c r="A167" s="31">
        <v>164</v>
      </c>
      <c r="B167" s="106">
        <f>IF(all_data!C166&lt;=10,all_data!B166,0)</f>
        <v>0</v>
      </c>
      <c r="C167" s="57">
        <f>IF(all_data!C166&lt;=10,all_data!C166,0)</f>
        <v>0</v>
      </c>
      <c r="D167" s="50">
        <f>IF(all_data!C166&lt;=10,all_data!D166,0)</f>
        <v>0</v>
      </c>
      <c r="E167" s="52" t="str">
        <f>IF(all_data!C166&lt;=10,all_data!E166,0)</f>
        <v/>
      </c>
      <c r="F167" s="51">
        <f>IF(all_data!C166&lt;=10,all_data!F166,0)</f>
        <v>0</v>
      </c>
      <c r="G167" s="29">
        <f>IF(all_data!C166&lt;=10,all_data!H166,0)</f>
        <v>0</v>
      </c>
      <c r="H167" s="67">
        <f>IF(all_data!C166&lt;=10,all_data!I166,0)</f>
        <v>0</v>
      </c>
    </row>
    <row r="168" spans="1:8" ht="15.75">
      <c r="A168" s="31">
        <v>165</v>
      </c>
      <c r="B168" s="106">
        <f>IF(all_data!C167&lt;=10,all_data!B167,0)</f>
        <v>0</v>
      </c>
      <c r="C168" s="57">
        <f>IF(all_data!C167&lt;=10,all_data!C167,0)</f>
        <v>0</v>
      </c>
      <c r="D168" s="50">
        <f>IF(all_data!C167&lt;=10,all_data!D167,0)</f>
        <v>0</v>
      </c>
      <c r="E168" s="52" t="str">
        <f>IF(all_data!C167&lt;=10,all_data!E167,0)</f>
        <v/>
      </c>
      <c r="F168" s="51">
        <f>IF(all_data!C167&lt;=10,all_data!F167,0)</f>
        <v>0</v>
      </c>
      <c r="G168" s="29">
        <f>IF(all_data!C167&lt;=10,all_data!H167,0)</f>
        <v>0</v>
      </c>
      <c r="H168" s="67">
        <f>IF(all_data!C167&lt;=10,all_data!I167,0)</f>
        <v>0</v>
      </c>
    </row>
    <row r="169" spans="1:8" ht="15.75">
      <c r="A169" s="31">
        <v>166</v>
      </c>
      <c r="B169" s="106">
        <f>IF(all_data!C168&lt;=10,all_data!B168,0)</f>
        <v>0</v>
      </c>
      <c r="C169" s="57">
        <f>IF(all_data!C168&lt;=10,all_data!C168,0)</f>
        <v>0</v>
      </c>
      <c r="D169" s="50">
        <f>IF(all_data!C168&lt;=10,all_data!D168,0)</f>
        <v>0</v>
      </c>
      <c r="E169" s="52" t="str">
        <f>IF(all_data!C168&lt;=10,all_data!E168,0)</f>
        <v/>
      </c>
      <c r="F169" s="51">
        <f>IF(all_data!C168&lt;=10,all_data!F168,0)</f>
        <v>0</v>
      </c>
      <c r="G169" s="29">
        <f>IF(all_data!C168&lt;=10,all_data!H168,0)</f>
        <v>0</v>
      </c>
      <c r="H169" s="67">
        <f>IF(all_data!C168&lt;=10,all_data!I168,0)</f>
        <v>0</v>
      </c>
    </row>
    <row r="170" spans="1:8" ht="15.75">
      <c r="A170" s="31">
        <v>167</v>
      </c>
      <c r="B170" s="106">
        <f>IF(all_data!C169&lt;=10,all_data!B169,0)</f>
        <v>0</v>
      </c>
      <c r="C170" s="57">
        <f>IF(all_data!C169&lt;=10,all_data!C169,0)</f>
        <v>0</v>
      </c>
      <c r="D170" s="50">
        <f>IF(all_data!C169&lt;=10,all_data!D169,0)</f>
        <v>0</v>
      </c>
      <c r="E170" s="52" t="str">
        <f>IF(all_data!C169&lt;=10,all_data!E169,0)</f>
        <v/>
      </c>
      <c r="F170" s="51">
        <f>IF(all_data!C169&lt;=10,all_data!F169,0)</f>
        <v>0</v>
      </c>
      <c r="G170" s="29">
        <f>IF(all_data!C169&lt;=10,all_data!H169,0)</f>
        <v>0</v>
      </c>
      <c r="H170" s="67">
        <f>IF(all_data!C169&lt;=10,all_data!I169,0)</f>
        <v>0</v>
      </c>
    </row>
    <row r="171" spans="1:8" ht="15.75">
      <c r="A171" s="31">
        <v>168</v>
      </c>
      <c r="B171" s="106">
        <f>IF(all_data!C170&lt;=10,all_data!B170,0)</f>
        <v>0</v>
      </c>
      <c r="C171" s="57">
        <f>IF(all_data!C170&lt;=10,all_data!C170,0)</f>
        <v>0</v>
      </c>
      <c r="D171" s="50">
        <f>IF(all_data!C170&lt;=10,all_data!D170,0)</f>
        <v>0</v>
      </c>
      <c r="E171" s="52" t="str">
        <f>IF(all_data!C170&lt;=10,all_data!E170,0)</f>
        <v/>
      </c>
      <c r="F171" s="51">
        <f>IF(all_data!C170&lt;=10,all_data!F170,0)</f>
        <v>0</v>
      </c>
      <c r="G171" s="29">
        <f>IF(all_data!C170&lt;=10,all_data!H170,0)</f>
        <v>0</v>
      </c>
      <c r="H171" s="67">
        <f>IF(all_data!C170&lt;=10,all_data!I170,0)</f>
        <v>0</v>
      </c>
    </row>
    <row r="172" spans="1:8" ht="15.75">
      <c r="A172" s="31">
        <v>169</v>
      </c>
      <c r="B172" s="106">
        <f>IF(all_data!C171&lt;=10,all_data!B171,0)</f>
        <v>0</v>
      </c>
      <c r="C172" s="57">
        <f>IF(all_data!C171&lt;=10,all_data!C171,0)</f>
        <v>0</v>
      </c>
      <c r="D172" s="50">
        <f>IF(all_data!C171&lt;=10,all_data!D171,0)</f>
        <v>0</v>
      </c>
      <c r="E172" s="52" t="str">
        <f>IF(all_data!C171&lt;=10,all_data!E171,0)</f>
        <v/>
      </c>
      <c r="F172" s="51">
        <f>IF(all_data!C171&lt;=10,all_data!F171,0)</f>
        <v>0</v>
      </c>
      <c r="G172" s="29">
        <f>IF(all_data!C171&lt;=10,all_data!H171,0)</f>
        <v>0</v>
      </c>
      <c r="H172" s="67">
        <f>IF(all_data!C171&lt;=10,all_data!I171,0)</f>
        <v>0</v>
      </c>
    </row>
    <row r="173" spans="1:8" ht="15.75">
      <c r="A173" s="31">
        <v>170</v>
      </c>
      <c r="B173" s="106">
        <f>IF(all_data!C172&lt;=10,all_data!B172,0)</f>
        <v>0</v>
      </c>
      <c r="C173" s="57">
        <f>IF(all_data!C172&lt;=10,all_data!C172,0)</f>
        <v>0</v>
      </c>
      <c r="D173" s="50">
        <f>IF(all_data!C172&lt;=10,all_data!D172,0)</f>
        <v>0</v>
      </c>
      <c r="E173" s="52" t="str">
        <f>IF(all_data!C172&lt;=10,all_data!E172,0)</f>
        <v/>
      </c>
      <c r="F173" s="51">
        <f>IF(all_data!C172&lt;=10,all_data!F172,0)</f>
        <v>0</v>
      </c>
      <c r="G173" s="29">
        <f>IF(all_data!C172&lt;=10,all_data!H172,0)</f>
        <v>0</v>
      </c>
      <c r="H173" s="67">
        <f>IF(all_data!C172&lt;=10,all_data!I172,0)</f>
        <v>0</v>
      </c>
    </row>
    <row r="174" spans="1:8" ht="15.75">
      <c r="A174" s="31">
        <v>171</v>
      </c>
      <c r="B174" s="106">
        <f>IF(all_data!C173&lt;=10,all_data!B173,0)</f>
        <v>0</v>
      </c>
      <c r="C174" s="57">
        <f>IF(all_data!C173&lt;=10,all_data!C173,0)</f>
        <v>0</v>
      </c>
      <c r="D174" s="50">
        <f>IF(all_data!C173&lt;=10,all_data!D173,0)</f>
        <v>0</v>
      </c>
      <c r="E174" s="52" t="str">
        <f>IF(all_data!C173&lt;=10,all_data!E173,0)</f>
        <v/>
      </c>
      <c r="F174" s="51">
        <f>IF(all_data!C173&lt;=10,all_data!F173,0)</f>
        <v>0</v>
      </c>
      <c r="G174" s="29">
        <f>IF(all_data!C173&lt;=10,all_data!H173,0)</f>
        <v>0</v>
      </c>
      <c r="H174" s="67">
        <f>IF(all_data!C173&lt;=10,all_data!I173,0)</f>
        <v>0</v>
      </c>
    </row>
    <row r="175" spans="1:8" ht="15.75">
      <c r="A175" s="31">
        <v>172</v>
      </c>
      <c r="B175" s="106">
        <f>IF(all_data!C174&lt;=10,all_data!B174,0)</f>
        <v>0</v>
      </c>
      <c r="C175" s="57">
        <f>IF(all_data!C174&lt;=10,all_data!C174,0)</f>
        <v>0</v>
      </c>
      <c r="D175" s="50">
        <f>IF(all_data!C174&lt;=10,all_data!D174,0)</f>
        <v>0</v>
      </c>
      <c r="E175" s="52" t="str">
        <f>IF(all_data!C174&lt;=10,all_data!E174,0)</f>
        <v/>
      </c>
      <c r="F175" s="51">
        <f>IF(all_data!C174&lt;=10,all_data!F174,0)</f>
        <v>0</v>
      </c>
      <c r="G175" s="29">
        <f>IF(all_data!C174&lt;=10,all_data!H174,0)</f>
        <v>0</v>
      </c>
      <c r="H175" s="67">
        <f>IF(all_data!C174&lt;=10,all_data!I174,0)</f>
        <v>0</v>
      </c>
    </row>
    <row r="176" spans="1:8" ht="15.75">
      <c r="A176" s="31">
        <v>173</v>
      </c>
      <c r="B176" s="106">
        <f>IF(all_data!C175&lt;=10,all_data!B175,0)</f>
        <v>0</v>
      </c>
      <c r="C176" s="57">
        <f>IF(all_data!C175&lt;=10,all_data!C175,0)</f>
        <v>0</v>
      </c>
      <c r="D176" s="50">
        <f>IF(all_data!C175&lt;=10,all_data!D175,0)</f>
        <v>0</v>
      </c>
      <c r="E176" s="52" t="str">
        <f>IF(all_data!C175&lt;=10,all_data!E175,0)</f>
        <v/>
      </c>
      <c r="F176" s="51">
        <f>IF(all_data!C175&lt;=10,all_data!F175,0)</f>
        <v>0</v>
      </c>
      <c r="G176" s="29">
        <f>IF(all_data!C175&lt;=10,all_data!H175,0)</f>
        <v>0</v>
      </c>
      <c r="H176" s="67">
        <f>IF(all_data!C175&lt;=10,all_data!I175,0)</f>
        <v>0</v>
      </c>
    </row>
    <row r="177" spans="1:8" ht="15.75">
      <c r="A177" s="31">
        <v>174</v>
      </c>
      <c r="B177" s="106">
        <f>IF(all_data!C176&lt;=10,all_data!B176,0)</f>
        <v>0</v>
      </c>
      <c r="C177" s="57">
        <f>IF(all_data!C176&lt;=10,all_data!C176,0)</f>
        <v>0</v>
      </c>
      <c r="D177" s="50">
        <f>IF(all_data!C176&lt;=10,all_data!D176,0)</f>
        <v>0</v>
      </c>
      <c r="E177" s="52" t="str">
        <f>IF(all_data!C176&lt;=10,all_data!E176,0)</f>
        <v/>
      </c>
      <c r="F177" s="51">
        <f>IF(all_data!C176&lt;=10,all_data!F176,0)</f>
        <v>0</v>
      </c>
      <c r="G177" s="29">
        <f>IF(all_data!C176&lt;=10,all_data!H176,0)</f>
        <v>0</v>
      </c>
      <c r="H177" s="67">
        <f>IF(all_data!C176&lt;=10,all_data!I176,0)</f>
        <v>0</v>
      </c>
    </row>
    <row r="178" spans="1:8" ht="15.75">
      <c r="A178" s="31">
        <v>175</v>
      </c>
      <c r="B178" s="106">
        <f>IF(all_data!C177&lt;=10,all_data!B177,0)</f>
        <v>0</v>
      </c>
      <c r="C178" s="57">
        <f>IF(all_data!C177&lt;=10,all_data!C177,0)</f>
        <v>0</v>
      </c>
      <c r="D178" s="50">
        <f>IF(all_data!C177&lt;=10,all_data!D177,0)</f>
        <v>0</v>
      </c>
      <c r="E178" s="52" t="str">
        <f>IF(all_data!C177&lt;=10,all_data!E177,0)</f>
        <v/>
      </c>
      <c r="F178" s="51">
        <f>IF(all_data!C177&lt;=10,all_data!F177,0)</f>
        <v>0</v>
      </c>
      <c r="G178" s="29">
        <f>IF(all_data!C177&lt;=10,all_data!H177,0)</f>
        <v>0</v>
      </c>
      <c r="H178" s="67">
        <f>IF(all_data!C177&lt;=10,all_data!I177,0)</f>
        <v>0</v>
      </c>
    </row>
    <row r="179" spans="1:8" ht="15.75">
      <c r="A179" s="31">
        <v>176</v>
      </c>
      <c r="B179" s="106">
        <f>IF(all_data!C178&lt;=10,all_data!B178,0)</f>
        <v>0</v>
      </c>
      <c r="C179" s="57">
        <f>IF(all_data!C178&lt;=10,all_data!C178,0)</f>
        <v>0</v>
      </c>
      <c r="D179" s="50">
        <f>IF(all_data!C178&lt;=10,all_data!D178,0)</f>
        <v>0</v>
      </c>
      <c r="E179" s="52" t="str">
        <f>IF(all_data!C178&lt;=10,all_data!E178,0)</f>
        <v/>
      </c>
      <c r="F179" s="51">
        <f>IF(all_data!C178&lt;=10,all_data!F178,0)</f>
        <v>0</v>
      </c>
      <c r="G179" s="29">
        <f>IF(all_data!C178&lt;=10,all_data!H178,0)</f>
        <v>0</v>
      </c>
      <c r="H179" s="67">
        <f>IF(all_data!C178&lt;=10,all_data!I178,0)</f>
        <v>0</v>
      </c>
    </row>
    <row r="180" spans="1:8" ht="15.75">
      <c r="A180" s="31">
        <v>177</v>
      </c>
      <c r="B180" s="106">
        <f>IF(all_data!C179&lt;=10,all_data!B179,0)</f>
        <v>0</v>
      </c>
      <c r="C180" s="57">
        <f>IF(all_data!C179&lt;=10,all_data!C179,0)</f>
        <v>0</v>
      </c>
      <c r="D180" s="50">
        <f>IF(all_data!C179&lt;=10,all_data!D179,0)</f>
        <v>0</v>
      </c>
      <c r="E180" s="52" t="str">
        <f>IF(all_data!C179&lt;=10,all_data!E179,0)</f>
        <v/>
      </c>
      <c r="F180" s="51">
        <f>IF(all_data!C179&lt;=10,all_data!F179,0)</f>
        <v>0</v>
      </c>
      <c r="G180" s="29">
        <f>IF(all_data!C179&lt;=10,all_data!H179,0)</f>
        <v>0</v>
      </c>
      <c r="H180" s="67">
        <f>IF(all_data!C179&lt;=10,all_data!I179,0)</f>
        <v>0</v>
      </c>
    </row>
    <row r="181" spans="1:8" ht="15.75">
      <c r="A181" s="31">
        <v>178</v>
      </c>
      <c r="B181" s="106">
        <f>IF(all_data!C180&lt;=10,all_data!B180,0)</f>
        <v>0</v>
      </c>
      <c r="C181" s="57">
        <f>IF(all_data!C180&lt;=10,all_data!C180,0)</f>
        <v>0</v>
      </c>
      <c r="D181" s="50">
        <f>IF(all_data!C180&lt;=10,all_data!D180,0)</f>
        <v>0</v>
      </c>
      <c r="E181" s="52" t="str">
        <f>IF(all_data!C180&lt;=10,all_data!E180,0)</f>
        <v/>
      </c>
      <c r="F181" s="51">
        <f>IF(all_data!C180&lt;=10,all_data!F180,0)</f>
        <v>0</v>
      </c>
      <c r="G181" s="29">
        <f>IF(all_data!C180&lt;=10,all_data!H180,0)</f>
        <v>0</v>
      </c>
      <c r="H181" s="67">
        <f>IF(all_data!C180&lt;=10,all_data!I180,0)</f>
        <v>0</v>
      </c>
    </row>
    <row r="182" spans="1:8" ht="15.75">
      <c r="A182" s="31">
        <v>179</v>
      </c>
      <c r="B182" s="106">
        <f>IF(all_data!C181&lt;=10,all_data!B181,0)</f>
        <v>0</v>
      </c>
      <c r="C182" s="57">
        <f>IF(all_data!C181&lt;=10,all_data!C181,0)</f>
        <v>0</v>
      </c>
      <c r="D182" s="50">
        <f>IF(all_data!C181&lt;=10,all_data!D181,0)</f>
        <v>0</v>
      </c>
      <c r="E182" s="52" t="str">
        <f>IF(all_data!C181&lt;=10,all_data!E181,0)</f>
        <v/>
      </c>
      <c r="F182" s="51">
        <f>IF(all_data!C181&lt;=10,all_data!F181,0)</f>
        <v>0</v>
      </c>
      <c r="G182" s="29">
        <f>IF(all_data!C181&lt;=10,all_data!H181,0)</f>
        <v>0</v>
      </c>
      <c r="H182" s="67">
        <f>IF(all_data!C181&lt;=10,all_data!I181,0)</f>
        <v>0</v>
      </c>
    </row>
    <row r="183" spans="1:8" ht="15.75">
      <c r="A183" s="31">
        <v>180</v>
      </c>
      <c r="B183" s="106">
        <f>IF(all_data!C182&lt;=10,all_data!B182,0)</f>
        <v>0</v>
      </c>
      <c r="C183" s="57">
        <f>IF(all_data!C182&lt;=10,all_data!C182,0)</f>
        <v>0</v>
      </c>
      <c r="D183" s="50">
        <f>IF(all_data!C182&lt;=10,all_data!D182,0)</f>
        <v>0</v>
      </c>
      <c r="E183" s="52" t="str">
        <f>IF(all_data!C182&lt;=10,all_data!E182,0)</f>
        <v/>
      </c>
      <c r="F183" s="51">
        <f>IF(all_data!C182&lt;=10,all_data!F182,0)</f>
        <v>0</v>
      </c>
      <c r="G183" s="29">
        <f>IF(all_data!C182&lt;=10,all_data!H182,0)</f>
        <v>0</v>
      </c>
      <c r="H183" s="67">
        <f>IF(all_data!C182&lt;=10,all_data!I182,0)</f>
        <v>0</v>
      </c>
    </row>
    <row r="184" spans="1:8" ht="15.75">
      <c r="A184" s="31">
        <v>181</v>
      </c>
      <c r="B184" s="106">
        <f>IF(all_data!C183&lt;=10,all_data!B183,0)</f>
        <v>0</v>
      </c>
      <c r="C184" s="57">
        <f>IF(all_data!C183&lt;=10,all_data!C183,0)</f>
        <v>0</v>
      </c>
      <c r="D184" s="50">
        <f>IF(all_data!C183&lt;=10,all_data!D183,0)</f>
        <v>0</v>
      </c>
      <c r="E184" s="52" t="str">
        <f>IF(all_data!C183&lt;=10,all_data!E183,0)</f>
        <v/>
      </c>
      <c r="F184" s="51">
        <f>IF(all_data!C183&lt;=10,all_data!F183,0)</f>
        <v>0</v>
      </c>
      <c r="G184" s="29">
        <f>IF(all_data!C183&lt;=10,all_data!H183,0)</f>
        <v>0</v>
      </c>
      <c r="H184" s="67">
        <f>IF(all_data!C183&lt;=10,all_data!I183,0)</f>
        <v>0</v>
      </c>
    </row>
    <row r="185" spans="1:8" ht="15.75">
      <c r="A185" s="31">
        <v>182</v>
      </c>
      <c r="B185" s="106">
        <f>IF(all_data!C184&lt;=10,all_data!B184,0)</f>
        <v>0</v>
      </c>
      <c r="C185" s="57">
        <f>IF(all_data!C184&lt;=10,all_data!C184,0)</f>
        <v>0</v>
      </c>
      <c r="D185" s="50">
        <f>IF(all_data!C184&lt;=10,all_data!D184,0)</f>
        <v>0</v>
      </c>
      <c r="E185" s="52" t="str">
        <f>IF(all_data!C184&lt;=10,all_data!E184,0)</f>
        <v/>
      </c>
      <c r="F185" s="51">
        <f>IF(all_data!C184&lt;=10,all_data!F184,0)</f>
        <v>0</v>
      </c>
      <c r="G185" s="29">
        <f>IF(all_data!C184&lt;=10,all_data!H184,0)</f>
        <v>0</v>
      </c>
      <c r="H185" s="67">
        <f>IF(all_data!C184&lt;=10,all_data!I184,0)</f>
        <v>0</v>
      </c>
    </row>
    <row r="186" spans="1:8" ht="15.75">
      <c r="A186" s="31">
        <v>183</v>
      </c>
      <c r="B186" s="106">
        <f>IF(all_data!C185&lt;=10,all_data!B185,0)</f>
        <v>0</v>
      </c>
      <c r="C186" s="57">
        <f>IF(all_data!C185&lt;=10,all_data!C185,0)</f>
        <v>0</v>
      </c>
      <c r="D186" s="50">
        <f>IF(all_data!C185&lt;=10,all_data!D185,0)</f>
        <v>0</v>
      </c>
      <c r="E186" s="52" t="str">
        <f>IF(all_data!C185&lt;=10,all_data!E185,0)</f>
        <v/>
      </c>
      <c r="F186" s="51">
        <f>IF(all_data!C185&lt;=10,all_data!F185,0)</f>
        <v>0</v>
      </c>
      <c r="G186" s="29">
        <f>IF(all_data!C185&lt;=10,all_data!H185,0)</f>
        <v>0</v>
      </c>
      <c r="H186" s="67">
        <f>IF(all_data!C185&lt;=10,all_data!I185,0)</f>
        <v>0</v>
      </c>
    </row>
    <row r="187" spans="1:8" ht="15.75">
      <c r="A187" s="31">
        <v>184</v>
      </c>
      <c r="B187" s="106">
        <f>IF(all_data!C186&lt;=10,all_data!B186,0)</f>
        <v>0</v>
      </c>
      <c r="C187" s="57">
        <f>IF(all_data!C186&lt;=10,all_data!C186,0)</f>
        <v>0</v>
      </c>
      <c r="D187" s="50">
        <f>IF(all_data!C186&lt;=10,all_data!D186,0)</f>
        <v>0</v>
      </c>
      <c r="E187" s="52" t="str">
        <f>IF(all_data!C186&lt;=10,all_data!E186,0)</f>
        <v/>
      </c>
      <c r="F187" s="51">
        <f>IF(all_data!C186&lt;=10,all_data!F186,0)</f>
        <v>0</v>
      </c>
      <c r="G187" s="29">
        <f>IF(all_data!C186&lt;=10,all_data!H186,0)</f>
        <v>0</v>
      </c>
      <c r="H187" s="67">
        <f>IF(all_data!C186&lt;=10,all_data!I186,0)</f>
        <v>0</v>
      </c>
    </row>
    <row r="188" spans="1:8" ht="15.75">
      <c r="A188" s="31">
        <v>185</v>
      </c>
      <c r="B188" s="106">
        <f>IF(all_data!C187&lt;=10,all_data!B187,0)</f>
        <v>0</v>
      </c>
      <c r="C188" s="57">
        <f>IF(all_data!C187&lt;=10,all_data!C187,0)</f>
        <v>0</v>
      </c>
      <c r="D188" s="50">
        <f>IF(all_data!C187&lt;=10,all_data!D187,0)</f>
        <v>0</v>
      </c>
      <c r="E188" s="52" t="str">
        <f>IF(all_data!C187&lt;=10,all_data!E187,0)</f>
        <v/>
      </c>
      <c r="F188" s="51">
        <f>IF(all_data!C187&lt;=10,all_data!F187,0)</f>
        <v>0</v>
      </c>
      <c r="G188" s="29">
        <f>IF(all_data!C187&lt;=10,all_data!H187,0)</f>
        <v>0</v>
      </c>
      <c r="H188" s="67">
        <f>IF(all_data!C187&lt;=10,all_data!I187,0)</f>
        <v>0</v>
      </c>
    </row>
    <row r="189" spans="1:8" ht="15.75">
      <c r="A189" s="31">
        <v>186</v>
      </c>
      <c r="B189" s="106">
        <f>IF(all_data!C188&lt;=10,all_data!B188,0)</f>
        <v>0</v>
      </c>
      <c r="C189" s="57">
        <f>IF(all_data!C188&lt;=10,all_data!C188,0)</f>
        <v>0</v>
      </c>
      <c r="D189" s="50">
        <f>IF(all_data!C188&lt;=10,all_data!D188,0)</f>
        <v>0</v>
      </c>
      <c r="E189" s="52" t="str">
        <f>IF(all_data!C188&lt;=10,all_data!E188,0)</f>
        <v/>
      </c>
      <c r="F189" s="51">
        <f>IF(all_data!C188&lt;=10,all_data!F188,0)</f>
        <v>0</v>
      </c>
      <c r="G189" s="29">
        <f>IF(all_data!C188&lt;=10,all_data!H188,0)</f>
        <v>0</v>
      </c>
      <c r="H189" s="67">
        <f>IF(all_data!C188&lt;=10,all_data!I188,0)</f>
        <v>0</v>
      </c>
    </row>
    <row r="190" spans="1:8" ht="15.75">
      <c r="A190" s="31">
        <v>187</v>
      </c>
      <c r="B190" s="106">
        <f>IF(all_data!C189&lt;=10,all_data!B189,0)</f>
        <v>0</v>
      </c>
      <c r="C190" s="57">
        <f>IF(all_data!C189&lt;=10,all_data!C189,0)</f>
        <v>0</v>
      </c>
      <c r="D190" s="50">
        <f>IF(all_data!C189&lt;=10,all_data!D189,0)</f>
        <v>0</v>
      </c>
      <c r="E190" s="52" t="str">
        <f>IF(all_data!C189&lt;=10,all_data!E189,0)</f>
        <v/>
      </c>
      <c r="F190" s="51">
        <f>IF(all_data!C189&lt;=10,all_data!F189,0)</f>
        <v>0</v>
      </c>
      <c r="G190" s="29">
        <f>IF(all_data!C189&lt;=10,all_data!H189,0)</f>
        <v>0</v>
      </c>
      <c r="H190" s="67">
        <f>IF(all_data!C189&lt;=10,all_data!I189,0)</f>
        <v>0</v>
      </c>
    </row>
    <row r="191" spans="1:8" ht="15.75">
      <c r="A191" s="31">
        <v>188</v>
      </c>
      <c r="B191" s="106">
        <f>IF(all_data!C190&lt;=10,all_data!B190,0)</f>
        <v>0</v>
      </c>
      <c r="C191" s="57">
        <f>IF(all_data!C190&lt;=10,all_data!C190,0)</f>
        <v>0</v>
      </c>
      <c r="D191" s="50">
        <f>IF(all_data!C190&lt;=10,all_data!D190,0)</f>
        <v>0</v>
      </c>
      <c r="E191" s="52" t="str">
        <f>IF(all_data!C190&lt;=10,all_data!E190,0)</f>
        <v/>
      </c>
      <c r="F191" s="51">
        <f>IF(all_data!C190&lt;=10,all_data!F190,0)</f>
        <v>0</v>
      </c>
      <c r="G191" s="29">
        <f>IF(all_data!C190&lt;=10,all_data!H190,0)</f>
        <v>0</v>
      </c>
      <c r="H191" s="67">
        <f>IF(all_data!C190&lt;=10,all_data!I190,0)</f>
        <v>0</v>
      </c>
    </row>
    <row r="192" spans="1:8" ht="15.75">
      <c r="A192" s="31">
        <v>189</v>
      </c>
      <c r="B192" s="106">
        <f>IF(all_data!C191&lt;=10,all_data!B191,0)</f>
        <v>0</v>
      </c>
      <c r="C192" s="57">
        <f>IF(all_data!C191&lt;=10,all_data!C191,0)</f>
        <v>0</v>
      </c>
      <c r="D192" s="50">
        <f>IF(all_data!C191&lt;=10,all_data!D191,0)</f>
        <v>0</v>
      </c>
      <c r="E192" s="52" t="str">
        <f>IF(all_data!C191&lt;=10,all_data!E191,0)</f>
        <v/>
      </c>
      <c r="F192" s="51">
        <f>IF(all_data!C191&lt;=10,all_data!F191,0)</f>
        <v>0</v>
      </c>
      <c r="G192" s="29">
        <f>IF(all_data!C191&lt;=10,all_data!H191,0)</f>
        <v>0</v>
      </c>
      <c r="H192" s="67">
        <f>IF(all_data!C191&lt;=10,all_data!I191,0)</f>
        <v>0</v>
      </c>
    </row>
    <row r="193" spans="1:8" ht="15.75">
      <c r="A193" s="31">
        <v>190</v>
      </c>
      <c r="B193" s="106">
        <f>IF(all_data!C192&lt;=10,all_data!B192,0)</f>
        <v>0</v>
      </c>
      <c r="C193" s="57">
        <f>IF(all_data!C192&lt;=10,all_data!C192,0)</f>
        <v>0</v>
      </c>
      <c r="D193" s="50">
        <f>IF(all_data!C192&lt;=10,all_data!D192,0)</f>
        <v>0</v>
      </c>
      <c r="E193" s="52" t="str">
        <f>IF(all_data!C192&lt;=10,all_data!E192,0)</f>
        <v/>
      </c>
      <c r="F193" s="51">
        <f>IF(all_data!C192&lt;=10,all_data!F192,0)</f>
        <v>0</v>
      </c>
      <c r="G193" s="29">
        <f>IF(all_data!C192&lt;=10,all_data!H192,0)</f>
        <v>0</v>
      </c>
      <c r="H193" s="67">
        <f>IF(all_data!C192&lt;=10,all_data!I192,0)</f>
        <v>0</v>
      </c>
    </row>
    <row r="194" spans="1:8" ht="15.75">
      <c r="A194" s="31">
        <v>191</v>
      </c>
      <c r="B194" s="106">
        <f>IF(all_data!C193&lt;=10,all_data!B193,0)</f>
        <v>0</v>
      </c>
      <c r="C194" s="57">
        <f>IF(all_data!C193&lt;=10,all_data!C193,0)</f>
        <v>0</v>
      </c>
      <c r="D194" s="50">
        <f>IF(all_data!C193&lt;=10,all_data!D193,0)</f>
        <v>0</v>
      </c>
      <c r="E194" s="52" t="str">
        <f>IF(all_data!C193&lt;=10,all_data!E193,0)</f>
        <v/>
      </c>
      <c r="F194" s="51">
        <f>IF(all_data!C193&lt;=10,all_data!F193,0)</f>
        <v>0</v>
      </c>
      <c r="G194" s="29">
        <f>IF(all_data!C193&lt;=10,all_data!H193,0)</f>
        <v>0</v>
      </c>
      <c r="H194" s="67">
        <f>IF(all_data!C193&lt;=10,all_data!I193,0)</f>
        <v>0</v>
      </c>
    </row>
    <row r="195" spans="1:8" ht="15.75">
      <c r="A195" s="31">
        <v>192</v>
      </c>
      <c r="B195" s="106">
        <f>IF(all_data!C194&lt;=10,all_data!B194,0)</f>
        <v>0</v>
      </c>
      <c r="C195" s="57">
        <f>IF(all_data!C194&lt;=10,all_data!C194,0)</f>
        <v>0</v>
      </c>
      <c r="D195" s="50">
        <f>IF(all_data!C194&lt;=10,all_data!D194,0)</f>
        <v>0</v>
      </c>
      <c r="E195" s="52" t="str">
        <f>IF(all_data!C194&lt;=10,all_data!E194,0)</f>
        <v/>
      </c>
      <c r="F195" s="51">
        <f>IF(all_data!C194&lt;=10,all_data!F194,0)</f>
        <v>0</v>
      </c>
      <c r="G195" s="29">
        <f>IF(all_data!C194&lt;=10,all_data!H194,0)</f>
        <v>0</v>
      </c>
      <c r="H195" s="67">
        <f>IF(all_data!C194&lt;=10,all_data!I194,0)</f>
        <v>0</v>
      </c>
    </row>
    <row r="196" spans="1:8" ht="15.75">
      <c r="A196" s="31">
        <v>193</v>
      </c>
      <c r="B196" s="106">
        <f>IF(all_data!C195&lt;=10,all_data!B195,0)</f>
        <v>0</v>
      </c>
      <c r="C196" s="57">
        <f>IF(all_data!C195&lt;=10,all_data!C195,0)</f>
        <v>0</v>
      </c>
      <c r="D196" s="50">
        <f>IF(all_data!C195&lt;=10,all_data!D195,0)</f>
        <v>0</v>
      </c>
      <c r="E196" s="52" t="str">
        <f>IF(all_data!C195&lt;=10,all_data!E195,0)</f>
        <v/>
      </c>
      <c r="F196" s="51">
        <f>IF(all_data!C195&lt;=10,all_data!F195,0)</f>
        <v>0</v>
      </c>
      <c r="G196" s="29">
        <f>IF(all_data!C195&lt;=10,all_data!H195,0)</f>
        <v>0</v>
      </c>
      <c r="H196" s="67">
        <f>IF(all_data!C195&lt;=10,all_data!I195,0)</f>
        <v>0</v>
      </c>
    </row>
    <row r="197" spans="1:8" ht="15.75">
      <c r="A197" s="31">
        <v>194</v>
      </c>
      <c r="B197" s="106">
        <f>IF(all_data!C196&lt;=10,all_data!B196,0)</f>
        <v>0</v>
      </c>
      <c r="C197" s="57">
        <f>IF(all_data!C196&lt;=10,all_data!C196,0)</f>
        <v>0</v>
      </c>
      <c r="D197" s="50">
        <f>IF(all_data!C196&lt;=10,all_data!D196,0)</f>
        <v>0</v>
      </c>
      <c r="E197" s="52" t="str">
        <f>IF(all_data!C196&lt;=10,all_data!E196,0)</f>
        <v/>
      </c>
      <c r="F197" s="51">
        <f>IF(all_data!C196&lt;=10,all_data!F196,0)</f>
        <v>0</v>
      </c>
      <c r="G197" s="29">
        <f>IF(all_data!C196&lt;=10,all_data!H196,0)</f>
        <v>0</v>
      </c>
      <c r="H197" s="67">
        <f>IF(all_data!C196&lt;=10,all_data!I196,0)</f>
        <v>0</v>
      </c>
    </row>
    <row r="198" spans="1:8" ht="15.75">
      <c r="A198" s="31">
        <v>195</v>
      </c>
      <c r="B198" s="106">
        <f>IF(all_data!C197&lt;=10,all_data!B197,0)</f>
        <v>0</v>
      </c>
      <c r="C198" s="57">
        <f>IF(all_data!C197&lt;=10,all_data!C197,0)</f>
        <v>0</v>
      </c>
      <c r="D198" s="50">
        <f>IF(all_data!C197&lt;=10,all_data!D197,0)</f>
        <v>0</v>
      </c>
      <c r="E198" s="52" t="str">
        <f>IF(all_data!C197&lt;=10,all_data!E197,0)</f>
        <v/>
      </c>
      <c r="F198" s="51">
        <f>IF(all_data!C197&lt;=10,all_data!F197,0)</f>
        <v>0</v>
      </c>
      <c r="G198" s="29">
        <f>IF(all_data!C197&lt;=10,all_data!H197,0)</f>
        <v>0</v>
      </c>
      <c r="H198" s="67">
        <f>IF(all_data!C197&lt;=10,all_data!I197,0)</f>
        <v>0</v>
      </c>
    </row>
    <row r="199" spans="1:8" ht="15.75">
      <c r="A199" s="31">
        <v>196</v>
      </c>
      <c r="B199" s="106">
        <f>IF(all_data!C198&lt;=10,all_data!B198,0)</f>
        <v>0</v>
      </c>
      <c r="C199" s="57">
        <f>IF(all_data!C198&lt;=10,all_data!C198,0)</f>
        <v>0</v>
      </c>
      <c r="D199" s="50">
        <f>IF(all_data!C198&lt;=10,all_data!D198,0)</f>
        <v>0</v>
      </c>
      <c r="E199" s="52" t="str">
        <f>IF(all_data!C198&lt;=10,all_data!E198,0)</f>
        <v/>
      </c>
      <c r="F199" s="51">
        <f>IF(all_data!C198&lt;=10,all_data!F198,0)</f>
        <v>0</v>
      </c>
      <c r="G199" s="29">
        <f>IF(all_data!C198&lt;=10,all_data!H198,0)</f>
        <v>0</v>
      </c>
      <c r="H199" s="67">
        <f>IF(all_data!C198&lt;=10,all_data!I198,0)</f>
        <v>0</v>
      </c>
    </row>
    <row r="200" spans="1:8" ht="15.75">
      <c r="A200" s="31">
        <v>197</v>
      </c>
      <c r="B200" s="106">
        <f>IF(all_data!C199&lt;=10,all_data!B199,0)</f>
        <v>0</v>
      </c>
      <c r="C200" s="57">
        <f>IF(all_data!C199&lt;=10,all_data!C199,0)</f>
        <v>0</v>
      </c>
      <c r="D200" s="50">
        <f>IF(all_data!C199&lt;=10,all_data!D199,0)</f>
        <v>0</v>
      </c>
      <c r="E200" s="52" t="str">
        <f>IF(all_data!C199&lt;=10,all_data!E199,0)</f>
        <v/>
      </c>
      <c r="F200" s="51">
        <f>IF(all_data!C199&lt;=10,all_data!F199,0)</f>
        <v>0</v>
      </c>
      <c r="G200" s="29">
        <f>IF(all_data!C199&lt;=10,all_data!H199,0)</f>
        <v>0</v>
      </c>
      <c r="H200" s="67">
        <f>IF(all_data!C199&lt;=10,all_data!I199,0)</f>
        <v>0</v>
      </c>
    </row>
    <row r="201" spans="1:8" ht="15.75">
      <c r="A201" s="31">
        <v>198</v>
      </c>
      <c r="B201" s="106">
        <f>IF(all_data!C200&lt;=10,all_data!B200,0)</f>
        <v>0</v>
      </c>
      <c r="C201" s="57">
        <f>IF(all_data!C200&lt;=10,all_data!C200,0)</f>
        <v>0</v>
      </c>
      <c r="D201" s="50">
        <f>IF(all_data!C200&lt;=10,all_data!D200,0)</f>
        <v>0</v>
      </c>
      <c r="E201" s="52" t="str">
        <f>IF(all_data!C200&lt;=10,all_data!E200,0)</f>
        <v/>
      </c>
      <c r="F201" s="51">
        <f>IF(all_data!C200&lt;=10,all_data!F200,0)</f>
        <v>0</v>
      </c>
      <c r="G201" s="29">
        <f>IF(all_data!C200&lt;=10,all_data!H200,0)</f>
        <v>0</v>
      </c>
      <c r="H201" s="67">
        <f>IF(all_data!C200&lt;=10,all_data!I200,0)</f>
        <v>0</v>
      </c>
    </row>
    <row r="202" spans="1:8" ht="15.75">
      <c r="A202" s="31">
        <v>199</v>
      </c>
      <c r="B202" s="106">
        <f>IF(all_data!C201&lt;=10,all_data!B201,0)</f>
        <v>0</v>
      </c>
      <c r="C202" s="57">
        <f>IF(all_data!C201&lt;=10,all_data!C201,0)</f>
        <v>0</v>
      </c>
      <c r="D202" s="50">
        <f>IF(all_data!C201&lt;=10,all_data!D201,0)</f>
        <v>0</v>
      </c>
      <c r="E202" s="52" t="str">
        <f>IF(all_data!C201&lt;=10,all_data!E201,0)</f>
        <v/>
      </c>
      <c r="F202" s="51">
        <f>IF(all_data!C201&lt;=10,all_data!F201,0)</f>
        <v>0</v>
      </c>
      <c r="G202" s="29">
        <f>IF(all_data!C201&lt;=10,all_data!H201,0)</f>
        <v>0</v>
      </c>
      <c r="H202" s="67">
        <f>IF(all_data!C201&lt;=10,all_data!I201,0)</f>
        <v>0</v>
      </c>
    </row>
    <row r="203" spans="1:8" ht="15.75">
      <c r="A203" s="31">
        <v>200</v>
      </c>
      <c r="B203" s="106">
        <f>IF(all_data!C202&lt;=10,all_data!B202,0)</f>
        <v>0</v>
      </c>
      <c r="C203" s="57">
        <f>IF(all_data!C202&lt;=10,all_data!C202,0)</f>
        <v>0</v>
      </c>
      <c r="D203" s="50">
        <f>IF(all_data!C202&lt;=10,all_data!D202,0)</f>
        <v>0</v>
      </c>
      <c r="E203" s="52" t="str">
        <f>IF(all_data!C202&lt;=10,all_data!E202,0)</f>
        <v/>
      </c>
      <c r="F203" s="51">
        <f>IF(all_data!C202&lt;=10,all_data!F202,0)</f>
        <v>0</v>
      </c>
      <c r="G203" s="29">
        <f>IF(all_data!C202&lt;=10,all_data!H202,0)</f>
        <v>0</v>
      </c>
      <c r="H203" s="67">
        <f>IF(all_data!C202&lt;=10,all_data!I202,0)</f>
        <v>0</v>
      </c>
    </row>
    <row r="204" spans="1:8" ht="15.75">
      <c r="A204" s="31">
        <v>201</v>
      </c>
      <c r="B204" s="106">
        <f>IF(all_data!C203&lt;=10,all_data!B203,0)</f>
        <v>0</v>
      </c>
      <c r="C204" s="57">
        <f>IF(all_data!C203&lt;=10,all_data!C203,0)</f>
        <v>0</v>
      </c>
      <c r="D204" s="50">
        <f>IF(all_data!C203&lt;=10,all_data!D203,0)</f>
        <v>0</v>
      </c>
      <c r="E204" s="52" t="str">
        <f>IF(all_data!C203&lt;=10,all_data!E203,0)</f>
        <v/>
      </c>
      <c r="F204" s="51">
        <f>IF(all_data!C203&lt;=10,all_data!F203,0)</f>
        <v>0</v>
      </c>
      <c r="G204" s="29">
        <f>IF(all_data!C203&lt;=10,all_data!H203,0)</f>
        <v>0</v>
      </c>
      <c r="H204" s="67">
        <f>IF(all_data!C203&lt;=10,all_data!I203,0)</f>
        <v>0</v>
      </c>
    </row>
    <row r="205" spans="1:8" ht="15.75">
      <c r="A205" s="31">
        <v>202</v>
      </c>
      <c r="B205" s="106">
        <f>IF(all_data!C204&lt;=10,all_data!B204,0)</f>
        <v>0</v>
      </c>
      <c r="C205" s="57">
        <f>IF(all_data!C204&lt;=10,all_data!C204,0)</f>
        <v>0</v>
      </c>
      <c r="D205" s="50">
        <f>IF(all_data!C204&lt;=10,all_data!D204,0)</f>
        <v>0</v>
      </c>
      <c r="E205" s="52" t="str">
        <f>IF(all_data!C204&lt;=10,all_data!E204,0)</f>
        <v/>
      </c>
      <c r="F205" s="51">
        <f>IF(all_data!C204&lt;=10,all_data!F204,0)</f>
        <v>0</v>
      </c>
      <c r="G205" s="29">
        <f>IF(all_data!C204&lt;=10,all_data!H204,0)</f>
        <v>0</v>
      </c>
      <c r="H205" s="67">
        <f>IF(all_data!C204&lt;=10,all_data!I204,0)</f>
        <v>0</v>
      </c>
    </row>
    <row r="206" spans="1:8" ht="15.75">
      <c r="A206" s="31">
        <v>203</v>
      </c>
      <c r="B206" s="106">
        <f>IF(all_data!C205&lt;=10,all_data!B205,0)</f>
        <v>0</v>
      </c>
      <c r="C206" s="57">
        <f>IF(all_data!C205&lt;=10,all_data!C205,0)</f>
        <v>0</v>
      </c>
      <c r="D206" s="50">
        <f>IF(all_data!C205&lt;=10,all_data!D205,0)</f>
        <v>0</v>
      </c>
      <c r="E206" s="52" t="str">
        <f>IF(all_data!C205&lt;=10,all_data!E205,0)</f>
        <v/>
      </c>
      <c r="F206" s="51">
        <f>IF(all_data!C205&lt;=10,all_data!F205,0)</f>
        <v>0</v>
      </c>
      <c r="G206" s="29">
        <f>IF(all_data!C205&lt;=10,all_data!H205,0)</f>
        <v>0</v>
      </c>
      <c r="H206" s="67">
        <f>IF(all_data!C205&lt;=10,all_data!I205,0)</f>
        <v>0</v>
      </c>
    </row>
    <row r="207" spans="1:8" ht="15.75">
      <c r="A207" s="31">
        <v>204</v>
      </c>
      <c r="B207" s="106">
        <f>IF(all_data!C206&lt;=10,all_data!B206,0)</f>
        <v>0</v>
      </c>
      <c r="C207" s="57">
        <f>IF(all_data!C206&lt;=10,all_data!C206,0)</f>
        <v>0</v>
      </c>
      <c r="D207" s="50">
        <f>IF(all_data!C206&lt;=10,all_data!D206,0)</f>
        <v>0</v>
      </c>
      <c r="E207" s="52" t="str">
        <f>IF(all_data!C206&lt;=10,all_data!E206,0)</f>
        <v/>
      </c>
      <c r="F207" s="51">
        <f>IF(all_data!C206&lt;=10,all_data!F206,0)</f>
        <v>0</v>
      </c>
      <c r="G207" s="29">
        <f>IF(all_data!C206&lt;=10,all_data!H206,0)</f>
        <v>0</v>
      </c>
      <c r="H207" s="67">
        <f>IF(all_data!C206&lt;=10,all_data!I206,0)</f>
        <v>0</v>
      </c>
    </row>
    <row r="208" spans="1:8" ht="15.75">
      <c r="A208" s="31">
        <v>205</v>
      </c>
      <c r="B208" s="106">
        <f>IF(all_data!C207&lt;=10,all_data!B207,0)</f>
        <v>0</v>
      </c>
      <c r="C208" s="57">
        <f>IF(all_data!C207&lt;=10,all_data!C207,0)</f>
        <v>0</v>
      </c>
      <c r="D208" s="50">
        <f>IF(all_data!C207&lt;=10,all_data!D207,0)</f>
        <v>0</v>
      </c>
      <c r="E208" s="52" t="str">
        <f>IF(all_data!C207&lt;=10,all_data!E207,0)</f>
        <v/>
      </c>
      <c r="F208" s="51">
        <f>IF(all_data!C207&lt;=10,all_data!F207,0)</f>
        <v>0</v>
      </c>
      <c r="G208" s="29">
        <f>IF(all_data!C207&lt;=10,all_data!H207,0)</f>
        <v>0</v>
      </c>
      <c r="H208" s="67">
        <f>IF(all_data!C207&lt;=10,all_data!I207,0)</f>
        <v>0</v>
      </c>
    </row>
    <row r="209" spans="1:8" ht="15.75">
      <c r="A209" s="31">
        <v>206</v>
      </c>
      <c r="B209" s="106">
        <f>IF(all_data!C208&lt;=10,all_data!B208,0)</f>
        <v>0</v>
      </c>
      <c r="C209" s="57">
        <f>IF(all_data!C208&lt;=10,all_data!C208,0)</f>
        <v>0</v>
      </c>
      <c r="D209" s="50">
        <f>IF(all_data!C208&lt;=10,all_data!D208,0)</f>
        <v>0</v>
      </c>
      <c r="E209" s="52" t="str">
        <f>IF(all_data!C208&lt;=10,all_data!E208,0)</f>
        <v/>
      </c>
      <c r="F209" s="51">
        <f>IF(all_data!C208&lt;=10,all_data!F208,0)</f>
        <v>0</v>
      </c>
      <c r="G209" s="29">
        <f>IF(all_data!C208&lt;=10,all_data!H208,0)</f>
        <v>0</v>
      </c>
      <c r="H209" s="67">
        <f>IF(all_data!C208&lt;=10,all_data!I208,0)</f>
        <v>0</v>
      </c>
    </row>
    <row r="210" spans="1:8" ht="15.75">
      <c r="A210" s="31">
        <v>207</v>
      </c>
      <c r="B210" s="106">
        <f>IF(all_data!C209&lt;=10,all_data!B209,0)</f>
        <v>0</v>
      </c>
      <c r="C210" s="57">
        <f>IF(all_data!C209&lt;=10,all_data!C209,0)</f>
        <v>0</v>
      </c>
      <c r="D210" s="50">
        <f>IF(all_data!C209&lt;=10,all_data!D209,0)</f>
        <v>0</v>
      </c>
      <c r="E210" s="52" t="str">
        <f>IF(all_data!C209&lt;=10,all_data!E209,0)</f>
        <v/>
      </c>
      <c r="F210" s="51">
        <f>IF(all_data!C209&lt;=10,all_data!F209,0)</f>
        <v>0</v>
      </c>
      <c r="G210" s="29">
        <f>IF(all_data!C209&lt;=10,all_data!H209,0)</f>
        <v>0</v>
      </c>
      <c r="H210" s="67">
        <f>IF(all_data!C209&lt;=10,all_data!I209,0)</f>
        <v>0</v>
      </c>
    </row>
    <row r="211" spans="1:8" ht="15.75">
      <c r="A211" s="31">
        <v>208</v>
      </c>
      <c r="B211" s="106">
        <f>IF(all_data!C210&lt;=10,all_data!B210,0)</f>
        <v>0</v>
      </c>
      <c r="C211" s="57">
        <f>IF(all_data!C210&lt;=10,all_data!C210,0)</f>
        <v>0</v>
      </c>
      <c r="D211" s="50">
        <f>IF(all_data!C210&lt;=10,all_data!D210,0)</f>
        <v>0</v>
      </c>
      <c r="E211" s="52" t="str">
        <f>IF(all_data!C210&lt;=10,all_data!E210,0)</f>
        <v/>
      </c>
      <c r="F211" s="51">
        <f>IF(all_data!C210&lt;=10,all_data!F210,0)</f>
        <v>0</v>
      </c>
      <c r="G211" s="29">
        <f>IF(all_data!C210&lt;=10,all_data!H210,0)</f>
        <v>0</v>
      </c>
      <c r="H211" s="67">
        <f>IF(all_data!C210&lt;=10,all_data!I210,0)</f>
        <v>0</v>
      </c>
    </row>
    <row r="212" spans="1:8" ht="15.75">
      <c r="A212" s="31">
        <v>209</v>
      </c>
      <c r="B212" s="106">
        <f>IF(all_data!C211&lt;=10,all_data!B211,0)</f>
        <v>0</v>
      </c>
      <c r="C212" s="57">
        <f>IF(all_data!C211&lt;=10,all_data!C211,0)</f>
        <v>0</v>
      </c>
      <c r="D212" s="50">
        <f>IF(all_data!C211&lt;=10,all_data!D211,0)</f>
        <v>0</v>
      </c>
      <c r="E212" s="52" t="str">
        <f>IF(all_data!C211&lt;=10,all_data!E211,0)</f>
        <v/>
      </c>
      <c r="F212" s="51">
        <f>IF(all_data!C211&lt;=10,all_data!F211,0)</f>
        <v>0</v>
      </c>
      <c r="G212" s="29">
        <f>IF(all_data!C211&lt;=10,all_data!H211,0)</f>
        <v>0</v>
      </c>
      <c r="H212" s="67">
        <f>IF(all_data!C211&lt;=10,all_data!I211,0)</f>
        <v>0</v>
      </c>
    </row>
    <row r="213" spans="1:8" ht="15.75">
      <c r="A213" s="31">
        <v>210</v>
      </c>
      <c r="B213" s="106">
        <f>IF(all_data!C212&lt;=10,all_data!B212,0)</f>
        <v>0</v>
      </c>
      <c r="C213" s="57">
        <f>IF(all_data!C212&lt;=10,all_data!C212,0)</f>
        <v>0</v>
      </c>
      <c r="D213" s="50">
        <f>IF(all_data!C212&lt;=10,all_data!D212,0)</f>
        <v>0</v>
      </c>
      <c r="E213" s="52" t="str">
        <f>IF(all_data!C212&lt;=10,all_data!E212,0)</f>
        <v/>
      </c>
      <c r="F213" s="51">
        <f>IF(all_data!C212&lt;=10,all_data!F212,0)</f>
        <v>0</v>
      </c>
      <c r="G213" s="29">
        <f>IF(all_data!C212&lt;=10,all_data!H212,0)</f>
        <v>0</v>
      </c>
      <c r="H213" s="67">
        <f>IF(all_data!C212&lt;=10,all_data!I212,0)</f>
        <v>0</v>
      </c>
    </row>
    <row r="214" spans="1:8" ht="15.75">
      <c r="A214" s="31">
        <v>211</v>
      </c>
      <c r="B214" s="106">
        <f>IF(all_data!C213&lt;=10,all_data!B213,0)</f>
        <v>0</v>
      </c>
      <c r="C214" s="57">
        <f>IF(all_data!C213&lt;=10,all_data!C213,0)</f>
        <v>0</v>
      </c>
      <c r="D214" s="50">
        <f>IF(all_data!C213&lt;=10,all_data!D213,0)</f>
        <v>0</v>
      </c>
      <c r="E214" s="52" t="str">
        <f>IF(all_data!C213&lt;=10,all_data!E213,0)</f>
        <v/>
      </c>
      <c r="F214" s="51">
        <f>IF(all_data!C213&lt;=10,all_data!F213,0)</f>
        <v>0</v>
      </c>
      <c r="G214" s="29">
        <f>IF(all_data!C213&lt;=10,all_data!H213,0)</f>
        <v>0</v>
      </c>
      <c r="H214" s="67">
        <f>IF(all_data!C213&lt;=10,all_data!I213,0)</f>
        <v>0</v>
      </c>
    </row>
    <row r="215" spans="1:8" ht="15.75">
      <c r="A215" s="31">
        <v>212</v>
      </c>
      <c r="B215" s="106">
        <f>IF(all_data!C214&lt;=10,all_data!B214,0)</f>
        <v>0</v>
      </c>
      <c r="C215" s="57">
        <f>IF(all_data!C214&lt;=10,all_data!C214,0)</f>
        <v>0</v>
      </c>
      <c r="D215" s="50">
        <f>IF(all_data!C214&lt;=10,all_data!D214,0)</f>
        <v>0</v>
      </c>
      <c r="E215" s="52" t="str">
        <f>IF(all_data!C214&lt;=10,all_data!E214,0)</f>
        <v/>
      </c>
      <c r="F215" s="51">
        <f>IF(all_data!C214&lt;=10,all_data!F214,0)</f>
        <v>0</v>
      </c>
      <c r="G215" s="29">
        <f>IF(all_data!C214&lt;=10,all_data!H214,0)</f>
        <v>0</v>
      </c>
      <c r="H215" s="67">
        <f>IF(all_data!C214&lt;=10,all_data!I214,0)</f>
        <v>0</v>
      </c>
    </row>
    <row r="216" spans="1:8" ht="15.75">
      <c r="A216" s="31">
        <v>213</v>
      </c>
      <c r="B216" s="106">
        <f>IF(all_data!C215&lt;=10,all_data!B215,0)</f>
        <v>0</v>
      </c>
      <c r="C216" s="57">
        <f>IF(all_data!C215&lt;=10,all_data!C215,0)</f>
        <v>0</v>
      </c>
      <c r="D216" s="50">
        <f>IF(all_data!C215&lt;=10,all_data!D215,0)</f>
        <v>0</v>
      </c>
      <c r="E216" s="52" t="str">
        <f>IF(all_data!C215&lt;=10,all_data!E215,0)</f>
        <v/>
      </c>
      <c r="F216" s="51">
        <f>IF(all_data!C215&lt;=10,all_data!F215,0)</f>
        <v>0</v>
      </c>
      <c r="G216" s="29">
        <f>IF(all_data!C215&lt;=10,all_data!H215,0)</f>
        <v>0</v>
      </c>
      <c r="H216" s="67">
        <f>IF(all_data!C215&lt;=10,all_data!I215,0)</f>
        <v>0</v>
      </c>
    </row>
    <row r="217" spans="1:8" ht="15.75">
      <c r="A217" s="31">
        <v>214</v>
      </c>
      <c r="B217" s="106">
        <f>IF(all_data!C216&lt;=10,all_data!B216,0)</f>
        <v>0</v>
      </c>
      <c r="C217" s="57">
        <f>IF(all_data!C216&lt;=10,all_data!C216,0)</f>
        <v>0</v>
      </c>
      <c r="D217" s="50">
        <f>IF(all_data!C216&lt;=10,all_data!D216,0)</f>
        <v>0</v>
      </c>
      <c r="E217" s="52" t="str">
        <f>IF(all_data!C216&lt;=10,all_data!E216,0)</f>
        <v/>
      </c>
      <c r="F217" s="51">
        <f>IF(all_data!C216&lt;=10,all_data!F216,0)</f>
        <v>0</v>
      </c>
      <c r="G217" s="29">
        <f>IF(all_data!C216&lt;=10,all_data!H216,0)</f>
        <v>0</v>
      </c>
      <c r="H217" s="67">
        <f>IF(all_data!C216&lt;=10,all_data!I216,0)</f>
        <v>0</v>
      </c>
    </row>
    <row r="218" spans="1:8" ht="15.75">
      <c r="A218" s="31">
        <v>215</v>
      </c>
      <c r="B218" s="106">
        <f>IF(all_data!C217&lt;=10,all_data!B217,0)</f>
        <v>0</v>
      </c>
      <c r="C218" s="57">
        <f>IF(all_data!C217&lt;=10,all_data!C217,0)</f>
        <v>0</v>
      </c>
      <c r="D218" s="50">
        <f>IF(all_data!C217&lt;=10,all_data!D217,0)</f>
        <v>0</v>
      </c>
      <c r="E218" s="52" t="str">
        <f>IF(all_data!C217&lt;=10,all_data!E217,0)</f>
        <v/>
      </c>
      <c r="F218" s="51">
        <f>IF(all_data!C217&lt;=10,all_data!F217,0)</f>
        <v>0</v>
      </c>
      <c r="G218" s="29">
        <f>IF(all_data!C217&lt;=10,all_data!H217,0)</f>
        <v>0</v>
      </c>
      <c r="H218" s="67">
        <f>IF(all_data!C217&lt;=10,all_data!I217,0)</f>
        <v>0</v>
      </c>
    </row>
    <row r="219" spans="1:8" ht="15.75">
      <c r="A219" s="31">
        <v>216</v>
      </c>
      <c r="B219" s="106">
        <f>IF(all_data!C218&lt;=10,all_data!B218,0)</f>
        <v>0</v>
      </c>
      <c r="C219" s="57">
        <f>IF(all_data!C218&lt;=10,all_data!C218,0)</f>
        <v>0</v>
      </c>
      <c r="D219" s="50">
        <f>IF(all_data!C218&lt;=10,all_data!D218,0)</f>
        <v>0</v>
      </c>
      <c r="E219" s="52" t="str">
        <f>IF(all_data!C218&lt;=10,all_data!E218,0)</f>
        <v/>
      </c>
      <c r="F219" s="51">
        <f>IF(all_data!C218&lt;=10,all_data!F218,0)</f>
        <v>0</v>
      </c>
      <c r="G219" s="29">
        <f>IF(all_data!C218&lt;=10,all_data!H218,0)</f>
        <v>0</v>
      </c>
      <c r="H219" s="67">
        <f>IF(all_data!C218&lt;=10,all_data!I218,0)</f>
        <v>0</v>
      </c>
    </row>
    <row r="220" spans="1:8" ht="15.75">
      <c r="A220" s="31">
        <v>217</v>
      </c>
      <c r="B220" s="106">
        <f>IF(all_data!C219&lt;=10,all_data!B219,0)</f>
        <v>0</v>
      </c>
      <c r="C220" s="57">
        <f>IF(all_data!C219&lt;=10,all_data!C219,0)</f>
        <v>0</v>
      </c>
      <c r="D220" s="50">
        <f>IF(all_data!C219&lt;=10,all_data!D219,0)</f>
        <v>0</v>
      </c>
      <c r="E220" s="52" t="str">
        <f>IF(all_data!C219&lt;=10,all_data!E219,0)</f>
        <v/>
      </c>
      <c r="F220" s="51">
        <f>IF(all_data!C219&lt;=10,all_data!F219,0)</f>
        <v>0</v>
      </c>
      <c r="G220" s="29">
        <f>IF(all_data!C219&lt;=10,all_data!H219,0)</f>
        <v>0</v>
      </c>
      <c r="H220" s="67">
        <f>IF(all_data!C219&lt;=10,all_data!I219,0)</f>
        <v>0</v>
      </c>
    </row>
    <row r="221" spans="1:8" ht="15.75">
      <c r="A221" s="31">
        <v>218</v>
      </c>
      <c r="B221" s="106">
        <f>IF(all_data!C220&lt;=10,all_data!B220,0)</f>
        <v>0</v>
      </c>
      <c r="C221" s="57">
        <f>IF(all_data!C220&lt;=10,all_data!C220,0)</f>
        <v>0</v>
      </c>
      <c r="D221" s="50">
        <f>IF(all_data!C220&lt;=10,all_data!D220,0)</f>
        <v>0</v>
      </c>
      <c r="E221" s="52" t="str">
        <f>IF(all_data!C220&lt;=10,all_data!E220,0)</f>
        <v/>
      </c>
      <c r="F221" s="51">
        <f>IF(all_data!C220&lt;=10,all_data!F220,0)</f>
        <v>0</v>
      </c>
      <c r="G221" s="29">
        <f>IF(all_data!C220&lt;=10,all_data!H220,0)</f>
        <v>0</v>
      </c>
      <c r="H221" s="67">
        <f>IF(all_data!C220&lt;=10,all_data!I220,0)</f>
        <v>0</v>
      </c>
    </row>
    <row r="222" spans="1:8" ht="15.75">
      <c r="A222" s="31">
        <v>219</v>
      </c>
      <c r="B222" s="106">
        <f>IF(all_data!C221&lt;=10,all_data!B221,0)</f>
        <v>0</v>
      </c>
      <c r="C222" s="57">
        <f>IF(all_data!C221&lt;=10,all_data!C221,0)</f>
        <v>0</v>
      </c>
      <c r="D222" s="50">
        <f>IF(all_data!C221&lt;=10,all_data!D221,0)</f>
        <v>0</v>
      </c>
      <c r="E222" s="52" t="str">
        <f>IF(all_data!C221&lt;=10,all_data!E221,0)</f>
        <v/>
      </c>
      <c r="F222" s="51">
        <f>IF(all_data!C221&lt;=10,all_data!F221,0)</f>
        <v>0</v>
      </c>
      <c r="G222" s="29">
        <f>IF(all_data!C221&lt;=10,all_data!H221,0)</f>
        <v>0</v>
      </c>
      <c r="H222" s="67">
        <f>IF(all_data!C221&lt;=10,all_data!I221,0)</f>
        <v>0</v>
      </c>
    </row>
    <row r="223" spans="1:8" ht="15.75">
      <c r="A223" s="31">
        <v>220</v>
      </c>
      <c r="B223" s="106">
        <f>IF(all_data!C222&lt;=10,all_data!B222,0)</f>
        <v>0</v>
      </c>
      <c r="C223" s="57">
        <f>IF(all_data!C222&lt;=10,all_data!C222,0)</f>
        <v>0</v>
      </c>
      <c r="D223" s="50">
        <f>IF(all_data!C222&lt;=10,all_data!D222,0)</f>
        <v>0</v>
      </c>
      <c r="E223" s="52" t="str">
        <f>IF(all_data!C222&lt;=10,all_data!E222,0)</f>
        <v/>
      </c>
      <c r="F223" s="51">
        <f>IF(all_data!C222&lt;=10,all_data!F222,0)</f>
        <v>0</v>
      </c>
      <c r="G223" s="29">
        <f>IF(all_data!C222&lt;=10,all_data!H222,0)</f>
        <v>0</v>
      </c>
      <c r="H223" s="67">
        <f>IF(all_data!C222&lt;=10,all_data!I222,0)</f>
        <v>0</v>
      </c>
    </row>
    <row r="224" spans="1:8" ht="15.75">
      <c r="A224" s="31">
        <v>221</v>
      </c>
      <c r="B224" s="106">
        <f>IF(all_data!C223&lt;=10,all_data!B223,0)</f>
        <v>0</v>
      </c>
      <c r="C224" s="57">
        <f>IF(all_data!C223&lt;=10,all_data!C223,0)</f>
        <v>0</v>
      </c>
      <c r="D224" s="50">
        <f>IF(all_data!C223&lt;=10,all_data!D223,0)</f>
        <v>0</v>
      </c>
      <c r="E224" s="52" t="str">
        <f>IF(all_data!C223&lt;=10,all_data!E223,0)</f>
        <v/>
      </c>
      <c r="F224" s="51">
        <f>IF(all_data!C223&lt;=10,all_data!F223,0)</f>
        <v>0</v>
      </c>
      <c r="G224" s="29">
        <f>IF(all_data!C223&lt;=10,all_data!H223,0)</f>
        <v>0</v>
      </c>
      <c r="H224" s="67">
        <f>IF(all_data!C223&lt;=10,all_data!I223,0)</f>
        <v>0</v>
      </c>
    </row>
    <row r="225" spans="1:8" ht="15.75">
      <c r="A225" s="31">
        <v>222</v>
      </c>
      <c r="B225" s="106">
        <f>IF(all_data!C224&lt;=10,all_data!B224,0)</f>
        <v>0</v>
      </c>
      <c r="C225" s="57">
        <f>IF(all_data!C224&lt;=10,all_data!C224,0)</f>
        <v>0</v>
      </c>
      <c r="D225" s="50">
        <f>IF(all_data!C224&lt;=10,all_data!D224,0)</f>
        <v>0</v>
      </c>
      <c r="E225" s="52" t="str">
        <f>IF(all_data!C224&lt;=10,all_data!E224,0)</f>
        <v/>
      </c>
      <c r="F225" s="51">
        <f>IF(all_data!C224&lt;=10,all_data!F224,0)</f>
        <v>0</v>
      </c>
      <c r="G225" s="29">
        <f>IF(all_data!C224&lt;=10,all_data!H224,0)</f>
        <v>0</v>
      </c>
      <c r="H225" s="67">
        <f>IF(all_data!C224&lt;=10,all_data!I224,0)</f>
        <v>0</v>
      </c>
    </row>
    <row r="226" spans="1:8" ht="15.75">
      <c r="A226" s="31">
        <v>223</v>
      </c>
      <c r="B226" s="106">
        <f>IF(all_data!C225&lt;=10,all_data!B225,0)</f>
        <v>0</v>
      </c>
      <c r="C226" s="57">
        <f>IF(all_data!C225&lt;=10,all_data!C225,0)</f>
        <v>0</v>
      </c>
      <c r="D226" s="50">
        <f>IF(all_data!C225&lt;=10,all_data!D225,0)</f>
        <v>0</v>
      </c>
      <c r="E226" s="52" t="str">
        <f>IF(all_data!C225&lt;=10,all_data!E225,0)</f>
        <v/>
      </c>
      <c r="F226" s="51">
        <f>IF(all_data!C225&lt;=10,all_data!F225,0)</f>
        <v>0</v>
      </c>
      <c r="G226" s="29">
        <f>IF(all_data!C225&lt;=10,all_data!H225,0)</f>
        <v>0</v>
      </c>
      <c r="H226" s="67">
        <f>IF(all_data!C225&lt;=10,all_data!I225,0)</f>
        <v>0</v>
      </c>
    </row>
    <row r="227" spans="1:8" ht="15.75">
      <c r="A227" s="31">
        <v>224</v>
      </c>
      <c r="B227" s="106">
        <f>IF(all_data!C226&lt;=10,all_data!B226,0)</f>
        <v>0</v>
      </c>
      <c r="C227" s="57">
        <f>IF(all_data!C226&lt;=10,all_data!C226,0)</f>
        <v>0</v>
      </c>
      <c r="D227" s="50">
        <f>IF(all_data!C226&lt;=10,all_data!D226,0)</f>
        <v>0</v>
      </c>
      <c r="E227" s="52" t="str">
        <f>IF(all_data!C226&lt;=10,all_data!E226,0)</f>
        <v/>
      </c>
      <c r="F227" s="51">
        <f>IF(all_data!C226&lt;=10,all_data!F226,0)</f>
        <v>0</v>
      </c>
      <c r="G227" s="29">
        <f>IF(all_data!C226&lt;=10,all_data!H226,0)</f>
        <v>0</v>
      </c>
      <c r="H227" s="67">
        <f>IF(all_data!C226&lt;=10,all_data!I226,0)</f>
        <v>0</v>
      </c>
    </row>
    <row r="228" spans="1:8" ht="15.75">
      <c r="A228" s="31">
        <v>225</v>
      </c>
      <c r="B228" s="106">
        <f>IF(all_data!C227&lt;=10,all_data!B227,0)</f>
        <v>0</v>
      </c>
      <c r="C228" s="57">
        <f>IF(all_data!C227&lt;=10,all_data!C227,0)</f>
        <v>0</v>
      </c>
      <c r="D228" s="50">
        <f>IF(all_data!C227&lt;=10,all_data!D227,0)</f>
        <v>0</v>
      </c>
      <c r="E228" s="52" t="str">
        <f>IF(all_data!C227&lt;=10,all_data!E227,0)</f>
        <v/>
      </c>
      <c r="F228" s="51">
        <f>IF(all_data!C227&lt;=10,all_data!F227,0)</f>
        <v>0</v>
      </c>
      <c r="G228" s="29">
        <f>IF(all_data!C227&lt;=10,all_data!H227,0)</f>
        <v>0</v>
      </c>
      <c r="H228" s="67">
        <f>IF(all_data!C227&lt;=10,all_data!I227,0)</f>
        <v>0</v>
      </c>
    </row>
    <row r="229" spans="1:8" ht="15.75">
      <c r="A229" s="31">
        <v>226</v>
      </c>
      <c r="B229" s="106">
        <f>IF(all_data!C228&lt;=10,all_data!B228,0)</f>
        <v>0</v>
      </c>
      <c r="C229" s="57">
        <f>IF(all_data!C228&lt;=10,all_data!C228,0)</f>
        <v>0</v>
      </c>
      <c r="D229" s="50">
        <f>IF(all_data!C228&lt;=10,all_data!D228,0)</f>
        <v>0</v>
      </c>
      <c r="E229" s="52" t="str">
        <f>IF(all_data!C228&lt;=10,all_data!E228,0)</f>
        <v/>
      </c>
      <c r="F229" s="51">
        <f>IF(all_data!C228&lt;=10,all_data!F228,0)</f>
        <v>0</v>
      </c>
      <c r="G229" s="29">
        <f>IF(all_data!C228&lt;=10,all_data!H228,0)</f>
        <v>0</v>
      </c>
      <c r="H229" s="67">
        <f>IF(all_data!C228&lt;=10,all_data!I228,0)</f>
        <v>0</v>
      </c>
    </row>
    <row r="230" spans="1:8" ht="15.75">
      <c r="A230" s="31">
        <v>227</v>
      </c>
      <c r="B230" s="106">
        <f>IF(all_data!C229&lt;=10,all_data!B229,0)</f>
        <v>0</v>
      </c>
      <c r="C230" s="57">
        <f>IF(all_data!C229&lt;=10,all_data!C229,0)</f>
        <v>0</v>
      </c>
      <c r="D230" s="50">
        <f>IF(all_data!C229&lt;=10,all_data!D229,0)</f>
        <v>0</v>
      </c>
      <c r="E230" s="52" t="str">
        <f>IF(all_data!C229&lt;=10,all_data!E229,0)</f>
        <v/>
      </c>
      <c r="F230" s="51">
        <f>IF(all_data!C229&lt;=10,all_data!F229,0)</f>
        <v>0</v>
      </c>
      <c r="G230" s="29">
        <f>IF(all_data!C229&lt;=10,all_data!H229,0)</f>
        <v>0</v>
      </c>
      <c r="H230" s="67">
        <f>IF(all_data!C229&lt;=10,all_data!I229,0)</f>
        <v>0</v>
      </c>
    </row>
    <row r="231" spans="1:8" ht="15.75">
      <c r="A231" s="31">
        <v>228</v>
      </c>
      <c r="B231" s="106">
        <f>IF(all_data!C230&lt;=10,all_data!B230,0)</f>
        <v>0</v>
      </c>
      <c r="C231" s="57">
        <f>IF(all_data!C230&lt;=10,all_data!C230,0)</f>
        <v>0</v>
      </c>
      <c r="D231" s="50">
        <f>IF(all_data!C230&lt;=10,all_data!D230,0)</f>
        <v>0</v>
      </c>
      <c r="E231" s="52" t="str">
        <f>IF(all_data!C230&lt;=10,all_data!E230,0)</f>
        <v/>
      </c>
      <c r="F231" s="51">
        <f>IF(all_data!C230&lt;=10,all_data!F230,0)</f>
        <v>0</v>
      </c>
      <c r="G231" s="29">
        <f>IF(all_data!C230&lt;=10,all_data!H230,0)</f>
        <v>0</v>
      </c>
      <c r="H231" s="67">
        <f>IF(all_data!C230&lt;=10,all_data!I230,0)</f>
        <v>0</v>
      </c>
    </row>
    <row r="232" spans="1:8" ht="15.75">
      <c r="A232" s="31">
        <v>229</v>
      </c>
      <c r="B232" s="106">
        <f>IF(all_data!C231&lt;=10,all_data!B231,0)</f>
        <v>0</v>
      </c>
      <c r="C232" s="57">
        <f>IF(all_data!C231&lt;=10,all_data!C231,0)</f>
        <v>0</v>
      </c>
      <c r="D232" s="50">
        <f>IF(all_data!C231&lt;=10,all_data!D231,0)</f>
        <v>0</v>
      </c>
      <c r="E232" s="52" t="str">
        <f>IF(all_data!C231&lt;=10,all_data!E231,0)</f>
        <v/>
      </c>
      <c r="F232" s="51">
        <f>IF(all_data!C231&lt;=10,all_data!F231,0)</f>
        <v>0</v>
      </c>
      <c r="G232" s="29">
        <f>IF(all_data!C231&lt;=10,all_data!H231,0)</f>
        <v>0</v>
      </c>
      <c r="H232" s="67">
        <f>IF(all_data!C231&lt;=10,all_data!I231,0)</f>
        <v>0</v>
      </c>
    </row>
    <row r="233" spans="1:8" ht="15.75">
      <c r="A233" s="31">
        <v>230</v>
      </c>
      <c r="B233" s="106">
        <f>IF(all_data!C232&lt;=10,all_data!B232,0)</f>
        <v>0</v>
      </c>
      <c r="C233" s="57">
        <f>IF(all_data!C232&lt;=10,all_data!C232,0)</f>
        <v>0</v>
      </c>
      <c r="D233" s="50">
        <f>IF(all_data!C232&lt;=10,all_data!D232,0)</f>
        <v>0</v>
      </c>
      <c r="E233" s="52" t="str">
        <f>IF(all_data!C232&lt;=10,all_data!E232,0)</f>
        <v/>
      </c>
      <c r="F233" s="51">
        <f>IF(all_data!C232&lt;=10,all_data!F232,0)</f>
        <v>0</v>
      </c>
      <c r="G233" s="29">
        <f>IF(all_data!C232&lt;=10,all_data!H232,0)</f>
        <v>0</v>
      </c>
      <c r="H233" s="67">
        <f>IF(all_data!C232&lt;=10,all_data!I232,0)</f>
        <v>0</v>
      </c>
    </row>
    <row r="234" spans="1:8" ht="15.75">
      <c r="A234" s="31">
        <v>231</v>
      </c>
      <c r="B234" s="106">
        <f>IF(all_data!C233&lt;=10,all_data!B233,0)</f>
        <v>0</v>
      </c>
      <c r="C234" s="57">
        <f>IF(all_data!C233&lt;=10,all_data!C233,0)</f>
        <v>0</v>
      </c>
      <c r="D234" s="50">
        <f>IF(all_data!C233&lt;=10,all_data!D233,0)</f>
        <v>0</v>
      </c>
      <c r="E234" s="52" t="str">
        <f>IF(all_data!C233&lt;=10,all_data!E233,0)</f>
        <v/>
      </c>
      <c r="F234" s="51">
        <f>IF(all_data!C233&lt;=10,all_data!F233,0)</f>
        <v>0</v>
      </c>
      <c r="G234" s="29">
        <f>IF(all_data!C233&lt;=10,all_data!H233,0)</f>
        <v>0</v>
      </c>
      <c r="H234" s="67">
        <f>IF(all_data!C233&lt;=10,all_data!I233,0)</f>
        <v>0</v>
      </c>
    </row>
    <row r="235" spans="1:8" ht="15.75">
      <c r="A235" s="31">
        <v>232</v>
      </c>
      <c r="B235" s="106">
        <f>IF(all_data!C234&lt;=10,all_data!B234,0)</f>
        <v>0</v>
      </c>
      <c r="C235" s="57">
        <f>IF(all_data!C234&lt;=10,all_data!C234,0)</f>
        <v>0</v>
      </c>
      <c r="D235" s="50">
        <f>IF(all_data!C234&lt;=10,all_data!D234,0)</f>
        <v>0</v>
      </c>
      <c r="E235" s="52" t="str">
        <f>IF(all_data!C234&lt;=10,all_data!E234,0)</f>
        <v/>
      </c>
      <c r="F235" s="51">
        <f>IF(all_data!C234&lt;=10,all_data!F234,0)</f>
        <v>0</v>
      </c>
      <c r="G235" s="29">
        <f>IF(all_data!C234&lt;=10,all_data!H234,0)</f>
        <v>0</v>
      </c>
      <c r="H235" s="67">
        <f>IF(all_data!C234&lt;=10,all_data!I234,0)</f>
        <v>0</v>
      </c>
    </row>
    <row r="236" spans="1:8" ht="15.75">
      <c r="A236" s="31">
        <v>233</v>
      </c>
      <c r="B236" s="106">
        <f>IF(all_data!C235&lt;=10,all_data!B235,0)</f>
        <v>0</v>
      </c>
      <c r="C236" s="57">
        <f>IF(all_data!C235&lt;=10,all_data!C235,0)</f>
        <v>0</v>
      </c>
      <c r="D236" s="50">
        <f>IF(all_data!C235&lt;=10,all_data!D235,0)</f>
        <v>0</v>
      </c>
      <c r="E236" s="52" t="str">
        <f>IF(all_data!C235&lt;=10,all_data!E235,0)</f>
        <v/>
      </c>
      <c r="F236" s="51">
        <f>IF(all_data!C235&lt;=10,all_data!F235,0)</f>
        <v>0</v>
      </c>
      <c r="G236" s="29">
        <f>IF(all_data!C235&lt;=10,all_data!H235,0)</f>
        <v>0</v>
      </c>
      <c r="H236" s="67">
        <f>IF(all_data!C235&lt;=10,all_data!I235,0)</f>
        <v>0</v>
      </c>
    </row>
    <row r="237" spans="1:8" ht="15.75">
      <c r="A237" s="31">
        <v>234</v>
      </c>
      <c r="B237" s="106">
        <f>IF(all_data!C236&lt;=10,all_data!B236,0)</f>
        <v>0</v>
      </c>
      <c r="C237" s="57">
        <f>IF(all_data!C236&lt;=10,all_data!C236,0)</f>
        <v>0</v>
      </c>
      <c r="D237" s="50">
        <f>IF(all_data!C236&lt;=10,all_data!D236,0)</f>
        <v>0</v>
      </c>
      <c r="E237" s="52" t="str">
        <f>IF(all_data!C236&lt;=10,all_data!E236,0)</f>
        <v/>
      </c>
      <c r="F237" s="51">
        <f>IF(all_data!C236&lt;=10,all_data!F236,0)</f>
        <v>0</v>
      </c>
      <c r="G237" s="29">
        <f>IF(all_data!C236&lt;=10,all_data!H236,0)</f>
        <v>0</v>
      </c>
      <c r="H237" s="67">
        <f>IF(all_data!C236&lt;=10,all_data!I236,0)</f>
        <v>0</v>
      </c>
    </row>
    <row r="238" spans="1:8" ht="15.75">
      <c r="A238" s="31">
        <v>235</v>
      </c>
      <c r="B238" s="106">
        <f>IF(all_data!C237&lt;=10,all_data!B237,0)</f>
        <v>0</v>
      </c>
      <c r="C238" s="57">
        <f>IF(all_data!C237&lt;=10,all_data!C237,0)</f>
        <v>0</v>
      </c>
      <c r="D238" s="50">
        <f>IF(all_data!C237&lt;=10,all_data!D237,0)</f>
        <v>0</v>
      </c>
      <c r="E238" s="52" t="str">
        <f>IF(all_data!C237&lt;=10,all_data!E237,0)</f>
        <v/>
      </c>
      <c r="F238" s="51">
        <f>IF(all_data!C237&lt;=10,all_data!F237,0)</f>
        <v>0</v>
      </c>
      <c r="G238" s="29">
        <f>IF(all_data!C237&lt;=10,all_data!H237,0)</f>
        <v>0</v>
      </c>
      <c r="H238" s="67">
        <f>IF(all_data!C237&lt;=10,all_data!I237,0)</f>
        <v>0</v>
      </c>
    </row>
    <row r="239" spans="1:8" ht="15.75">
      <c r="A239" s="31">
        <v>236</v>
      </c>
      <c r="B239" s="106">
        <f>IF(all_data!C238&lt;=10,all_data!B238,0)</f>
        <v>0</v>
      </c>
      <c r="C239" s="57">
        <f>IF(all_data!C238&lt;=10,all_data!C238,0)</f>
        <v>0</v>
      </c>
      <c r="D239" s="50">
        <f>IF(all_data!C238&lt;=10,all_data!D238,0)</f>
        <v>0</v>
      </c>
      <c r="E239" s="52" t="str">
        <f>IF(all_data!C238&lt;=10,all_data!E238,0)</f>
        <v/>
      </c>
      <c r="F239" s="51">
        <f>IF(all_data!C238&lt;=10,all_data!F238,0)</f>
        <v>0</v>
      </c>
      <c r="G239" s="29">
        <f>IF(all_data!C238&lt;=10,all_data!H238,0)</f>
        <v>0</v>
      </c>
      <c r="H239" s="67">
        <f>IF(all_data!C238&lt;=10,all_data!I238,0)</f>
        <v>0</v>
      </c>
    </row>
    <row r="240" spans="1:8" ht="15.75">
      <c r="A240" s="31">
        <v>237</v>
      </c>
      <c r="B240" s="106">
        <f>IF(all_data!C239&lt;=10,all_data!B239,0)</f>
        <v>0</v>
      </c>
      <c r="C240" s="57">
        <f>IF(all_data!C239&lt;=10,all_data!C239,0)</f>
        <v>0</v>
      </c>
      <c r="D240" s="50">
        <f>IF(all_data!C239&lt;=10,all_data!D239,0)</f>
        <v>0</v>
      </c>
      <c r="E240" s="52" t="str">
        <f>IF(all_data!C239&lt;=10,all_data!E239,0)</f>
        <v/>
      </c>
      <c r="F240" s="51">
        <f>IF(all_data!C239&lt;=10,all_data!F239,0)</f>
        <v>0</v>
      </c>
      <c r="G240" s="29">
        <f>IF(all_data!C239&lt;=10,all_data!H239,0)</f>
        <v>0</v>
      </c>
      <c r="H240" s="67">
        <f>IF(all_data!C239&lt;=10,all_data!I239,0)</f>
        <v>0</v>
      </c>
    </row>
    <row r="241" spans="1:8" ht="15.75">
      <c r="A241" s="31">
        <v>238</v>
      </c>
      <c r="B241" s="106">
        <f>IF(all_data!C240&lt;=10,all_data!B240,0)</f>
        <v>0</v>
      </c>
      <c r="C241" s="57">
        <f>IF(all_data!C240&lt;=10,all_data!C240,0)</f>
        <v>0</v>
      </c>
      <c r="D241" s="50">
        <f>IF(all_data!C240&lt;=10,all_data!D240,0)</f>
        <v>0</v>
      </c>
      <c r="E241" s="52" t="str">
        <f>IF(all_data!C240&lt;=10,all_data!E240,0)</f>
        <v/>
      </c>
      <c r="F241" s="51">
        <f>IF(all_data!C240&lt;=10,all_data!F240,0)</f>
        <v>0</v>
      </c>
      <c r="G241" s="29">
        <f>IF(all_data!C240&lt;=10,all_data!H240,0)</f>
        <v>0</v>
      </c>
      <c r="H241" s="67">
        <f>IF(all_data!C240&lt;=10,all_data!I240,0)</f>
        <v>0</v>
      </c>
    </row>
    <row r="242" spans="1:8" ht="15.75">
      <c r="A242" s="31">
        <v>239</v>
      </c>
      <c r="B242" s="106">
        <f>IF(all_data!C241&lt;=10,all_data!B241,0)</f>
        <v>0</v>
      </c>
      <c r="C242" s="57">
        <f>IF(all_data!C241&lt;=10,all_data!C241,0)</f>
        <v>0</v>
      </c>
      <c r="D242" s="50">
        <f>IF(all_data!C241&lt;=10,all_data!D241,0)</f>
        <v>0</v>
      </c>
      <c r="E242" s="52" t="str">
        <f>IF(all_data!C241&lt;=10,all_data!E241,0)</f>
        <v/>
      </c>
      <c r="F242" s="51">
        <f>IF(all_data!C241&lt;=10,all_data!F241,0)</f>
        <v>0</v>
      </c>
      <c r="G242" s="29">
        <f>IF(all_data!C241&lt;=10,all_data!H241,0)</f>
        <v>0</v>
      </c>
      <c r="H242" s="67">
        <f>IF(all_data!C241&lt;=10,all_data!I241,0)</f>
        <v>0</v>
      </c>
    </row>
    <row r="243" spans="1:8" ht="15.75">
      <c r="A243" s="31">
        <v>240</v>
      </c>
      <c r="B243" s="106">
        <f>IF(all_data!C242&lt;=10,all_data!B242,0)</f>
        <v>0</v>
      </c>
      <c r="C243" s="57">
        <f>IF(all_data!C242&lt;=10,all_data!C242,0)</f>
        <v>0</v>
      </c>
      <c r="D243" s="50">
        <f>IF(all_data!C242&lt;=10,all_data!D242,0)</f>
        <v>0</v>
      </c>
      <c r="E243" s="52" t="str">
        <f>IF(all_data!C242&lt;=10,all_data!E242,0)</f>
        <v/>
      </c>
      <c r="F243" s="51">
        <f>IF(all_data!C242&lt;=10,all_data!F242,0)</f>
        <v>0</v>
      </c>
      <c r="G243" s="29">
        <f>IF(all_data!C242&lt;=10,all_data!H242,0)</f>
        <v>0</v>
      </c>
      <c r="H243" s="67">
        <f>IF(all_data!C242&lt;=10,all_data!I242,0)</f>
        <v>0</v>
      </c>
    </row>
    <row r="244" spans="1:8" ht="15.75">
      <c r="A244" s="31">
        <v>241</v>
      </c>
      <c r="B244" s="106">
        <f>IF(all_data!C243&lt;=10,all_data!B243,0)</f>
        <v>0</v>
      </c>
      <c r="C244" s="57">
        <f>IF(all_data!C243&lt;=10,all_data!C243,0)</f>
        <v>0</v>
      </c>
      <c r="D244" s="50">
        <f>IF(all_data!C243&lt;=10,all_data!D243,0)</f>
        <v>0</v>
      </c>
      <c r="E244" s="52" t="str">
        <f>IF(all_data!C243&lt;=10,all_data!E243,0)</f>
        <v/>
      </c>
      <c r="F244" s="51">
        <f>IF(all_data!C243&lt;=10,all_data!F243,0)</f>
        <v>0</v>
      </c>
      <c r="G244" s="29">
        <f>IF(all_data!C243&lt;=10,all_data!H243,0)</f>
        <v>0</v>
      </c>
      <c r="H244" s="67">
        <f>IF(all_data!C243&lt;=10,all_data!I243,0)</f>
        <v>0</v>
      </c>
    </row>
    <row r="245" spans="1:8" ht="15.75">
      <c r="A245" s="31">
        <v>242</v>
      </c>
      <c r="B245" s="106">
        <f>IF(all_data!C244&lt;=10,all_data!B244,0)</f>
        <v>0</v>
      </c>
      <c r="C245" s="57">
        <f>IF(all_data!C244&lt;=10,all_data!C244,0)</f>
        <v>0</v>
      </c>
      <c r="D245" s="50">
        <f>IF(all_data!C244&lt;=10,all_data!D244,0)</f>
        <v>0</v>
      </c>
      <c r="E245" s="52" t="str">
        <f>IF(all_data!C244&lt;=10,all_data!E244,0)</f>
        <v/>
      </c>
      <c r="F245" s="51">
        <f>IF(all_data!C244&lt;=10,all_data!F244,0)</f>
        <v>0</v>
      </c>
      <c r="G245" s="29">
        <f>IF(all_data!C244&lt;=10,all_data!H244,0)</f>
        <v>0</v>
      </c>
      <c r="H245" s="67">
        <f>IF(all_data!C244&lt;=10,all_data!I244,0)</f>
        <v>0</v>
      </c>
    </row>
    <row r="246" spans="1:8" ht="15.75">
      <c r="A246" s="31">
        <v>243</v>
      </c>
      <c r="B246" s="106">
        <f>IF(all_data!C245&lt;=10,all_data!B245,0)</f>
        <v>0</v>
      </c>
      <c r="C246" s="57">
        <f>IF(all_data!C245&lt;=10,all_data!C245,0)</f>
        <v>0</v>
      </c>
      <c r="D246" s="50">
        <f>IF(all_data!C245&lt;=10,all_data!D245,0)</f>
        <v>0</v>
      </c>
      <c r="E246" s="52" t="str">
        <f>IF(all_data!C245&lt;=10,all_data!E245,0)</f>
        <v/>
      </c>
      <c r="F246" s="51">
        <f>IF(all_data!C245&lt;=10,all_data!F245,0)</f>
        <v>0</v>
      </c>
      <c r="G246" s="29">
        <f>IF(all_data!C245&lt;=10,all_data!H245,0)</f>
        <v>0</v>
      </c>
      <c r="H246" s="67">
        <f>IF(all_data!C245&lt;=10,all_data!I245,0)</f>
        <v>0</v>
      </c>
    </row>
    <row r="247" spans="1:8" ht="15.75">
      <c r="A247" s="31">
        <v>244</v>
      </c>
      <c r="B247" s="106">
        <f>IF(all_data!C246&lt;=10,all_data!B246,0)</f>
        <v>0</v>
      </c>
      <c r="C247" s="57">
        <f>IF(all_data!C246&lt;=10,all_data!C246,0)</f>
        <v>0</v>
      </c>
      <c r="D247" s="50">
        <f>IF(all_data!C246&lt;=10,all_data!D246,0)</f>
        <v>0</v>
      </c>
      <c r="E247" s="52" t="str">
        <f>IF(all_data!C246&lt;=10,all_data!E246,0)</f>
        <v/>
      </c>
      <c r="F247" s="51">
        <f>IF(all_data!C246&lt;=10,all_data!F246,0)</f>
        <v>0</v>
      </c>
      <c r="G247" s="29">
        <f>IF(all_data!C246&lt;=10,all_data!H246,0)</f>
        <v>0</v>
      </c>
      <c r="H247" s="67">
        <f>IF(all_data!C246&lt;=10,all_data!I246,0)</f>
        <v>0</v>
      </c>
    </row>
    <row r="248" spans="1:8" ht="15.75">
      <c r="A248" s="31">
        <v>245</v>
      </c>
      <c r="B248" s="106">
        <f>IF(all_data!C247&lt;=10,all_data!B247,0)</f>
        <v>0</v>
      </c>
      <c r="C248" s="57">
        <f>IF(all_data!C247&lt;=10,all_data!C247,0)</f>
        <v>0</v>
      </c>
      <c r="D248" s="50">
        <f>IF(all_data!C247&lt;=10,all_data!D247,0)</f>
        <v>0</v>
      </c>
      <c r="E248" s="52" t="str">
        <f>IF(all_data!C247&lt;=10,all_data!E247,0)</f>
        <v/>
      </c>
      <c r="F248" s="51">
        <f>IF(all_data!C247&lt;=10,all_data!F247,0)</f>
        <v>0</v>
      </c>
      <c r="G248" s="29">
        <f>IF(all_data!C247&lt;=10,all_data!H247,0)</f>
        <v>0</v>
      </c>
      <c r="H248" s="67">
        <f>IF(all_data!C247&lt;=10,all_data!I247,0)</f>
        <v>0</v>
      </c>
    </row>
    <row r="249" spans="1:8" ht="15.75">
      <c r="A249" s="31">
        <v>246</v>
      </c>
      <c r="B249" s="106">
        <f>IF(all_data!C248&lt;=10,all_data!B248,0)</f>
        <v>0</v>
      </c>
      <c r="C249" s="57">
        <f>IF(all_data!C248&lt;=10,all_data!C248,0)</f>
        <v>0</v>
      </c>
      <c r="D249" s="50">
        <f>IF(all_data!C248&lt;=10,all_data!D248,0)</f>
        <v>0</v>
      </c>
      <c r="E249" s="52" t="str">
        <f>IF(all_data!C248&lt;=10,all_data!E248,0)</f>
        <v/>
      </c>
      <c r="F249" s="51">
        <f>IF(all_data!C248&lt;=10,all_data!F248,0)</f>
        <v>0</v>
      </c>
      <c r="G249" s="29">
        <f>IF(all_data!C248&lt;=10,all_data!H248,0)</f>
        <v>0</v>
      </c>
      <c r="H249" s="67">
        <f>IF(all_data!C248&lt;=10,all_data!I248,0)</f>
        <v>0</v>
      </c>
    </row>
    <row r="250" spans="1:8" ht="15.75">
      <c r="A250" s="31">
        <v>247</v>
      </c>
      <c r="B250" s="106">
        <f>IF(all_data!C249&lt;=10,all_data!B249,0)</f>
        <v>0</v>
      </c>
      <c r="C250" s="57">
        <f>IF(all_data!C249&lt;=10,all_data!C249,0)</f>
        <v>0</v>
      </c>
      <c r="D250" s="50">
        <f>IF(all_data!C249&lt;=10,all_data!D249,0)</f>
        <v>0</v>
      </c>
      <c r="E250" s="52" t="str">
        <f>IF(all_data!C249&lt;=10,all_data!E249,0)</f>
        <v/>
      </c>
      <c r="F250" s="51">
        <f>IF(all_data!C249&lt;=10,all_data!F249,0)</f>
        <v>0</v>
      </c>
      <c r="G250" s="29">
        <f>IF(all_data!C249&lt;=10,all_data!H249,0)</f>
        <v>0</v>
      </c>
      <c r="H250" s="67">
        <f>IF(all_data!C249&lt;=10,all_data!I249,0)</f>
        <v>0</v>
      </c>
    </row>
    <row r="251" spans="1:8" ht="15.75">
      <c r="A251" s="31">
        <v>248</v>
      </c>
      <c r="B251" s="106">
        <f>IF(all_data!C250&lt;=10,all_data!B250,0)</f>
        <v>0</v>
      </c>
      <c r="C251" s="57">
        <f>IF(all_data!C250&lt;=10,all_data!C250,0)</f>
        <v>0</v>
      </c>
      <c r="D251" s="50">
        <f>IF(all_data!C250&lt;=10,all_data!D250,0)</f>
        <v>0</v>
      </c>
      <c r="E251" s="52" t="str">
        <f>IF(all_data!C250&lt;=10,all_data!E250,0)</f>
        <v/>
      </c>
      <c r="F251" s="51">
        <f>IF(all_data!C250&lt;=10,all_data!F250,0)</f>
        <v>0</v>
      </c>
      <c r="G251" s="29">
        <f>IF(all_data!C250&lt;=10,all_data!H250,0)</f>
        <v>0</v>
      </c>
      <c r="H251" s="67">
        <f>IF(all_data!C250&lt;=10,all_data!I250,0)</f>
        <v>0</v>
      </c>
    </row>
    <row r="252" spans="1:8" ht="15.75">
      <c r="A252" s="31">
        <v>249</v>
      </c>
      <c r="B252" s="106">
        <f>IF(all_data!C251&lt;=10,all_data!B251,0)</f>
        <v>0</v>
      </c>
      <c r="C252" s="57">
        <f>IF(all_data!C251&lt;=10,all_data!C251,0)</f>
        <v>0</v>
      </c>
      <c r="D252" s="50">
        <f>IF(all_data!C251&lt;=10,all_data!D251,0)</f>
        <v>0</v>
      </c>
      <c r="E252" s="52" t="str">
        <f>IF(all_data!C251&lt;=10,all_data!E251,0)</f>
        <v/>
      </c>
      <c r="F252" s="51">
        <f>IF(all_data!C251&lt;=10,all_data!F251,0)</f>
        <v>0</v>
      </c>
      <c r="G252" s="29">
        <f>IF(all_data!C251&lt;=10,all_data!H251,0)</f>
        <v>0</v>
      </c>
      <c r="H252" s="67">
        <f>IF(all_data!C251&lt;=10,all_data!I251,0)</f>
        <v>0</v>
      </c>
    </row>
    <row r="253" spans="1:8" ht="15.75">
      <c r="A253" s="31">
        <v>250</v>
      </c>
      <c r="B253" s="106">
        <f>IF(all_data!C252&lt;=10,all_data!B252,0)</f>
        <v>0</v>
      </c>
      <c r="C253" s="57">
        <f>IF(all_data!C252&lt;=10,all_data!C252,0)</f>
        <v>0</v>
      </c>
      <c r="D253" s="50">
        <f>IF(all_data!C252&lt;=10,all_data!D252,0)</f>
        <v>0</v>
      </c>
      <c r="E253" s="52" t="str">
        <f>IF(all_data!C252&lt;=10,all_data!E252,0)</f>
        <v/>
      </c>
      <c r="F253" s="51">
        <f>IF(all_data!C252&lt;=10,all_data!F252,0)</f>
        <v>0</v>
      </c>
      <c r="G253" s="29">
        <f>IF(all_data!C252&lt;=10,all_data!H252,0)</f>
        <v>0</v>
      </c>
      <c r="H253" s="67">
        <f>IF(all_data!C252&lt;=10,all_data!I252,0)</f>
        <v>0</v>
      </c>
    </row>
    <row r="254" spans="1:8" ht="15.75">
      <c r="A254" s="31">
        <v>251</v>
      </c>
      <c r="B254" s="106">
        <f>IF(all_data!C253&lt;=10,all_data!B253,0)</f>
        <v>0</v>
      </c>
      <c r="C254" s="57">
        <f>IF(all_data!C253&lt;=10,all_data!C253,0)</f>
        <v>0</v>
      </c>
      <c r="D254" s="50">
        <f>IF(all_data!C253&lt;=10,all_data!D253,0)</f>
        <v>0</v>
      </c>
      <c r="E254" s="52" t="str">
        <f>IF(all_data!C253&lt;=10,all_data!E253,0)</f>
        <v/>
      </c>
      <c r="F254" s="51">
        <f>IF(all_data!C253&lt;=10,all_data!F253,0)</f>
        <v>0</v>
      </c>
      <c r="G254" s="29">
        <f>IF(all_data!C253&lt;=10,all_data!H253,0)</f>
        <v>0</v>
      </c>
      <c r="H254" s="67">
        <f>IF(all_data!C253&lt;=10,all_data!I253,0)</f>
        <v>0</v>
      </c>
    </row>
    <row r="255" spans="1:8" ht="15.75">
      <c r="A255" s="31">
        <v>252</v>
      </c>
      <c r="B255" s="106">
        <f>IF(all_data!C254&lt;=10,all_data!B254,0)</f>
        <v>0</v>
      </c>
      <c r="C255" s="57">
        <f>IF(all_data!C254&lt;=10,all_data!C254,0)</f>
        <v>0</v>
      </c>
      <c r="D255" s="50">
        <f>IF(all_data!C254&lt;=10,all_data!D254,0)</f>
        <v>0</v>
      </c>
      <c r="E255" s="52" t="str">
        <f>IF(all_data!C254&lt;=10,all_data!E254,0)</f>
        <v/>
      </c>
      <c r="F255" s="51">
        <f>IF(all_data!C254&lt;=10,all_data!F254,0)</f>
        <v>0</v>
      </c>
      <c r="G255" s="29">
        <f>IF(all_data!C254&lt;=10,all_data!H254,0)</f>
        <v>0</v>
      </c>
      <c r="H255" s="67">
        <f>IF(all_data!C254&lt;=10,all_data!I254,0)</f>
        <v>0</v>
      </c>
    </row>
    <row r="256" spans="1:8" ht="15.75">
      <c r="A256" s="31">
        <v>253</v>
      </c>
      <c r="B256" s="106">
        <f>IF(all_data!C255&lt;=10,all_data!B255,0)</f>
        <v>0</v>
      </c>
      <c r="C256" s="57">
        <f>IF(all_data!C255&lt;=10,all_data!C255,0)</f>
        <v>0</v>
      </c>
      <c r="D256" s="50">
        <f>IF(all_data!C255&lt;=10,all_data!D255,0)</f>
        <v>0</v>
      </c>
      <c r="E256" s="52" t="str">
        <f>IF(all_data!C255&lt;=10,all_data!E255,0)</f>
        <v/>
      </c>
      <c r="F256" s="51">
        <f>IF(all_data!C255&lt;=10,all_data!F255,0)</f>
        <v>0</v>
      </c>
      <c r="G256" s="29">
        <f>IF(all_data!C255&lt;=10,all_data!H255,0)</f>
        <v>0</v>
      </c>
      <c r="H256" s="67">
        <f>IF(all_data!C255&lt;=10,all_data!I255,0)</f>
        <v>0</v>
      </c>
    </row>
    <row r="257" spans="1:8" ht="15.75">
      <c r="A257" s="31">
        <v>254</v>
      </c>
      <c r="B257" s="106">
        <f>IF(all_data!C256&lt;=10,all_data!B256,0)</f>
        <v>0</v>
      </c>
      <c r="C257" s="57">
        <f>IF(all_data!C256&lt;=10,all_data!C256,0)</f>
        <v>0</v>
      </c>
      <c r="D257" s="50">
        <f>IF(all_data!C256&lt;=10,all_data!D256,0)</f>
        <v>0</v>
      </c>
      <c r="E257" s="52" t="str">
        <f>IF(all_data!C256&lt;=10,all_data!E256,0)</f>
        <v/>
      </c>
      <c r="F257" s="51">
        <f>IF(all_data!C256&lt;=10,all_data!F256,0)</f>
        <v>0</v>
      </c>
      <c r="G257" s="29">
        <f>IF(all_data!C256&lt;=10,all_data!H256,0)</f>
        <v>0</v>
      </c>
      <c r="H257" s="67">
        <f>IF(all_data!C256&lt;=10,all_data!I256,0)</f>
        <v>0</v>
      </c>
    </row>
    <row r="258" spans="1:8" ht="15.75">
      <c r="A258" s="31">
        <v>255</v>
      </c>
      <c r="B258" s="106">
        <f>IF(all_data!C257&lt;=10,all_data!B257,0)</f>
        <v>0</v>
      </c>
      <c r="C258" s="57">
        <f>IF(all_data!C257&lt;=10,all_data!C257,0)</f>
        <v>0</v>
      </c>
      <c r="D258" s="50">
        <f>IF(all_data!C257&lt;=10,all_data!D257,0)</f>
        <v>0</v>
      </c>
      <c r="E258" s="52" t="str">
        <f>IF(all_data!C257&lt;=10,all_data!E257,0)</f>
        <v/>
      </c>
      <c r="F258" s="51">
        <f>IF(all_data!C257&lt;=10,all_data!F257,0)</f>
        <v>0</v>
      </c>
      <c r="G258" s="29">
        <f>IF(all_data!C257&lt;=10,all_data!H257,0)</f>
        <v>0</v>
      </c>
      <c r="H258" s="67">
        <f>IF(all_data!C257&lt;=10,all_data!I257,0)</f>
        <v>0</v>
      </c>
    </row>
    <row r="259" spans="1:8" ht="15.75">
      <c r="A259" s="31">
        <v>256</v>
      </c>
      <c r="B259" s="106">
        <f>IF(all_data!C258&lt;=10,all_data!B258,0)</f>
        <v>0</v>
      </c>
      <c r="C259" s="57">
        <f>IF(all_data!C258&lt;=10,all_data!C258,0)</f>
        <v>0</v>
      </c>
      <c r="D259" s="50">
        <f>IF(all_data!C258&lt;=10,all_data!D258,0)</f>
        <v>0</v>
      </c>
      <c r="E259" s="52" t="str">
        <f>IF(all_data!C258&lt;=10,all_data!E258,0)</f>
        <v/>
      </c>
      <c r="F259" s="51">
        <f>IF(all_data!C258&lt;=10,all_data!F258,0)</f>
        <v>0</v>
      </c>
      <c r="G259" s="29">
        <f>IF(all_data!C258&lt;=10,all_data!H258,0)</f>
        <v>0</v>
      </c>
      <c r="H259" s="67">
        <f>IF(all_data!C258&lt;=10,all_data!I258,0)</f>
        <v>0</v>
      </c>
    </row>
    <row r="260" spans="1:8" ht="15.75">
      <c r="A260" s="31">
        <v>257</v>
      </c>
      <c r="B260" s="106">
        <f>IF(all_data!C259&lt;=10,all_data!B259,0)</f>
        <v>0</v>
      </c>
      <c r="C260" s="57">
        <f>IF(all_data!C259&lt;=10,all_data!C259,0)</f>
        <v>0</v>
      </c>
      <c r="D260" s="50">
        <f>IF(all_data!C259&lt;=10,all_data!D259,0)</f>
        <v>0</v>
      </c>
      <c r="E260" s="52" t="str">
        <f>IF(all_data!C259&lt;=10,all_data!E259,0)</f>
        <v/>
      </c>
      <c r="F260" s="51">
        <f>IF(all_data!C259&lt;=10,all_data!F259,0)</f>
        <v>0</v>
      </c>
      <c r="G260" s="29">
        <f>IF(all_data!C259&lt;=10,all_data!H259,0)</f>
        <v>0</v>
      </c>
      <c r="H260" s="67">
        <f>IF(all_data!C259&lt;=10,all_data!I259,0)</f>
        <v>0</v>
      </c>
    </row>
    <row r="261" spans="1:8" ht="15.75">
      <c r="A261" s="31">
        <v>258</v>
      </c>
      <c r="B261" s="106">
        <f>IF(all_data!C260&lt;=10,all_data!B260,0)</f>
        <v>0</v>
      </c>
      <c r="C261" s="57">
        <f>IF(all_data!C260&lt;=10,all_data!C260,0)</f>
        <v>0</v>
      </c>
      <c r="D261" s="50">
        <f>IF(all_data!C260&lt;=10,all_data!D260,0)</f>
        <v>0</v>
      </c>
      <c r="E261" s="52" t="str">
        <f>IF(all_data!C260&lt;=10,all_data!E260,0)</f>
        <v/>
      </c>
      <c r="F261" s="51">
        <f>IF(all_data!C260&lt;=10,all_data!F260,0)</f>
        <v>0</v>
      </c>
      <c r="G261" s="29">
        <f>IF(all_data!C260&lt;=10,all_data!H260,0)</f>
        <v>0</v>
      </c>
      <c r="H261" s="67">
        <f>IF(all_data!C260&lt;=10,all_data!I260,0)</f>
        <v>0</v>
      </c>
    </row>
    <row r="262" spans="1:8" ht="15.75">
      <c r="A262" s="31">
        <v>259</v>
      </c>
      <c r="B262" s="106">
        <f>IF(all_data!C261&lt;=10,all_data!B261,0)</f>
        <v>0</v>
      </c>
      <c r="C262" s="57">
        <f>IF(all_data!C261&lt;=10,all_data!C261,0)</f>
        <v>0</v>
      </c>
      <c r="D262" s="50">
        <f>IF(all_data!C261&lt;=10,all_data!D261,0)</f>
        <v>0</v>
      </c>
      <c r="E262" s="52" t="str">
        <f>IF(all_data!C261&lt;=10,all_data!E261,0)</f>
        <v/>
      </c>
      <c r="F262" s="51">
        <f>IF(all_data!C261&lt;=10,all_data!F261,0)</f>
        <v>0</v>
      </c>
      <c r="G262" s="29">
        <f>IF(all_data!C261&lt;=10,all_data!H261,0)</f>
        <v>0</v>
      </c>
      <c r="H262" s="67">
        <f>IF(all_data!C261&lt;=10,all_data!I261,0)</f>
        <v>0</v>
      </c>
    </row>
    <row r="263" spans="1:8" ht="15.75">
      <c r="A263" s="31">
        <v>260</v>
      </c>
      <c r="B263" s="106">
        <f>IF(all_data!C262&lt;=10,all_data!B262,0)</f>
        <v>0</v>
      </c>
      <c r="C263" s="57">
        <f>IF(all_data!C262&lt;=10,all_data!C262,0)</f>
        <v>0</v>
      </c>
      <c r="D263" s="50">
        <f>IF(all_data!C262&lt;=10,all_data!D262,0)</f>
        <v>0</v>
      </c>
      <c r="E263" s="52" t="str">
        <f>IF(all_data!C262&lt;=10,all_data!E262,0)</f>
        <v/>
      </c>
      <c r="F263" s="51">
        <f>IF(all_data!C262&lt;=10,all_data!F262,0)</f>
        <v>0</v>
      </c>
      <c r="G263" s="29">
        <f>IF(all_data!C262&lt;=10,all_data!H262,0)</f>
        <v>0</v>
      </c>
      <c r="H263" s="67">
        <f>IF(all_data!C262&lt;=10,all_data!I262,0)</f>
        <v>0</v>
      </c>
    </row>
    <row r="264" spans="1:8" ht="15.75">
      <c r="A264" s="31">
        <v>261</v>
      </c>
      <c r="B264" s="106">
        <f>IF(all_data!C263&lt;=10,all_data!B263,0)</f>
        <v>0</v>
      </c>
      <c r="C264" s="57">
        <f>IF(all_data!C263&lt;=10,all_data!C263,0)</f>
        <v>0</v>
      </c>
      <c r="D264" s="50">
        <f>IF(all_data!C263&lt;=10,all_data!D263,0)</f>
        <v>0</v>
      </c>
      <c r="E264" s="52" t="str">
        <f>IF(all_data!C263&lt;=10,all_data!E263,0)</f>
        <v/>
      </c>
      <c r="F264" s="51">
        <f>IF(all_data!C263&lt;=10,all_data!F263,0)</f>
        <v>0</v>
      </c>
      <c r="G264" s="29">
        <f>IF(all_data!C263&lt;=10,all_data!H263,0)</f>
        <v>0</v>
      </c>
      <c r="H264" s="67">
        <f>IF(all_data!C263&lt;=10,all_data!I263,0)</f>
        <v>0</v>
      </c>
    </row>
    <row r="265" spans="1:8" ht="15.75">
      <c r="A265" s="31">
        <v>262</v>
      </c>
      <c r="B265" s="106">
        <f>IF(all_data!C264&lt;=10,all_data!B264,0)</f>
        <v>0</v>
      </c>
      <c r="C265" s="57">
        <f>IF(all_data!C264&lt;=10,all_data!C264,0)</f>
        <v>0</v>
      </c>
      <c r="D265" s="50">
        <f>IF(all_data!C264&lt;=10,all_data!D264,0)</f>
        <v>0</v>
      </c>
      <c r="E265" s="52" t="str">
        <f>IF(all_data!C264&lt;=10,all_data!E264,0)</f>
        <v/>
      </c>
      <c r="F265" s="51">
        <f>IF(all_data!C264&lt;=10,all_data!F264,0)</f>
        <v>0</v>
      </c>
      <c r="G265" s="29">
        <f>IF(all_data!C264&lt;=10,all_data!H264,0)</f>
        <v>0</v>
      </c>
      <c r="H265" s="67">
        <f>IF(all_data!C264&lt;=10,all_data!I264,0)</f>
        <v>0</v>
      </c>
    </row>
    <row r="266" spans="1:8" ht="15.75">
      <c r="A266" s="31">
        <v>263</v>
      </c>
      <c r="B266" s="106">
        <f>IF(all_data!C265&lt;=10,all_data!B265,0)</f>
        <v>0</v>
      </c>
      <c r="C266" s="57">
        <f>IF(all_data!C265&lt;=10,all_data!C265,0)</f>
        <v>0</v>
      </c>
      <c r="D266" s="50">
        <f>IF(all_data!C265&lt;=10,all_data!D265,0)</f>
        <v>0</v>
      </c>
      <c r="E266" s="52" t="str">
        <f>IF(all_data!C265&lt;=10,all_data!E265,0)</f>
        <v/>
      </c>
      <c r="F266" s="51">
        <f>IF(all_data!C265&lt;=10,all_data!F265,0)</f>
        <v>0</v>
      </c>
      <c r="G266" s="29">
        <f>IF(all_data!C265&lt;=10,all_data!H265,0)</f>
        <v>0</v>
      </c>
      <c r="H266" s="67">
        <f>IF(all_data!C265&lt;=10,all_data!I265,0)</f>
        <v>0</v>
      </c>
    </row>
    <row r="267" spans="1:8" ht="15.75">
      <c r="A267" s="31">
        <v>264</v>
      </c>
      <c r="B267" s="106">
        <f>IF(all_data!C266&lt;=10,all_data!B266,0)</f>
        <v>0</v>
      </c>
      <c r="C267" s="57">
        <f>IF(all_data!C266&lt;=10,all_data!C266,0)</f>
        <v>0</v>
      </c>
      <c r="D267" s="50">
        <f>IF(all_data!C266&lt;=10,all_data!D266,0)</f>
        <v>0</v>
      </c>
      <c r="E267" s="52" t="str">
        <f>IF(all_data!C266&lt;=10,all_data!E266,0)</f>
        <v/>
      </c>
      <c r="F267" s="51">
        <f>IF(all_data!C266&lt;=10,all_data!F266,0)</f>
        <v>0</v>
      </c>
      <c r="G267" s="29">
        <f>IF(all_data!C266&lt;=10,all_data!H266,0)</f>
        <v>0</v>
      </c>
      <c r="H267" s="67">
        <f>IF(all_data!C266&lt;=10,all_data!I266,0)</f>
        <v>0</v>
      </c>
    </row>
    <row r="268" spans="1:8" ht="15.75">
      <c r="A268" s="31">
        <v>265</v>
      </c>
      <c r="B268" s="106">
        <f>IF(all_data!C267&lt;=10,all_data!B267,0)</f>
        <v>0</v>
      </c>
      <c r="C268" s="57">
        <f>IF(all_data!C267&lt;=10,all_data!C267,0)</f>
        <v>0</v>
      </c>
      <c r="D268" s="50">
        <f>IF(all_data!C267&lt;=10,all_data!D267,0)</f>
        <v>0</v>
      </c>
      <c r="E268" s="52" t="str">
        <f>IF(all_data!C267&lt;=10,all_data!E267,0)</f>
        <v/>
      </c>
      <c r="F268" s="51">
        <f>IF(all_data!C267&lt;=10,all_data!F267,0)</f>
        <v>0</v>
      </c>
      <c r="G268" s="29">
        <f>IF(all_data!C267&lt;=10,all_data!H267,0)</f>
        <v>0</v>
      </c>
      <c r="H268" s="67">
        <f>IF(all_data!C267&lt;=10,all_data!I267,0)</f>
        <v>0</v>
      </c>
    </row>
    <row r="269" spans="1:8" ht="15.75">
      <c r="A269" s="31">
        <v>266</v>
      </c>
      <c r="B269" s="106">
        <f>IF(all_data!C268&lt;=10,all_data!B268,0)</f>
        <v>0</v>
      </c>
      <c r="C269" s="57">
        <f>IF(all_data!C268&lt;=10,all_data!C268,0)</f>
        <v>0</v>
      </c>
      <c r="D269" s="50">
        <f>IF(all_data!C268&lt;=10,all_data!D268,0)</f>
        <v>0</v>
      </c>
      <c r="E269" s="52" t="str">
        <f>IF(all_data!C268&lt;=10,all_data!E268,0)</f>
        <v/>
      </c>
      <c r="F269" s="51">
        <f>IF(all_data!C268&lt;=10,all_data!F268,0)</f>
        <v>0</v>
      </c>
      <c r="G269" s="29">
        <f>IF(all_data!C268&lt;=10,all_data!H268,0)</f>
        <v>0</v>
      </c>
      <c r="H269" s="67">
        <f>IF(all_data!C268&lt;=10,all_data!I268,0)</f>
        <v>0</v>
      </c>
    </row>
    <row r="270" spans="1:8" ht="15.75">
      <c r="A270" s="31">
        <v>267</v>
      </c>
      <c r="B270" s="106">
        <f>IF(all_data!C269&lt;=10,all_data!B269,0)</f>
        <v>0</v>
      </c>
      <c r="C270" s="57">
        <f>IF(all_data!C269&lt;=10,all_data!C269,0)</f>
        <v>0</v>
      </c>
      <c r="D270" s="50">
        <f>IF(all_data!C269&lt;=10,all_data!D269,0)</f>
        <v>0</v>
      </c>
      <c r="E270" s="52" t="str">
        <f>IF(all_data!C269&lt;=10,all_data!E269,0)</f>
        <v/>
      </c>
      <c r="F270" s="51">
        <f>IF(all_data!C269&lt;=10,all_data!F269,0)</f>
        <v>0</v>
      </c>
      <c r="G270" s="29">
        <f>IF(all_data!C269&lt;=10,all_data!H269,0)</f>
        <v>0</v>
      </c>
      <c r="H270" s="67">
        <f>IF(all_data!C269&lt;=10,all_data!I269,0)</f>
        <v>0</v>
      </c>
    </row>
    <row r="271" spans="1:8" ht="15.75">
      <c r="A271" s="31">
        <v>268</v>
      </c>
      <c r="B271" s="106">
        <f>IF(all_data!C270&lt;=10,all_data!B270,0)</f>
        <v>0</v>
      </c>
      <c r="C271" s="57">
        <f>IF(all_data!C270&lt;=10,all_data!C270,0)</f>
        <v>0</v>
      </c>
      <c r="D271" s="50">
        <f>IF(all_data!C270&lt;=10,all_data!D270,0)</f>
        <v>0</v>
      </c>
      <c r="E271" s="52" t="str">
        <f>IF(all_data!C270&lt;=10,all_data!E270,0)</f>
        <v/>
      </c>
      <c r="F271" s="51">
        <f>IF(all_data!C270&lt;=10,all_data!F270,0)</f>
        <v>0</v>
      </c>
      <c r="G271" s="29">
        <f>IF(all_data!C270&lt;=10,all_data!H270,0)</f>
        <v>0</v>
      </c>
      <c r="H271" s="67">
        <f>IF(all_data!C270&lt;=10,all_data!I270,0)</f>
        <v>0</v>
      </c>
    </row>
    <row r="272" spans="1:8" ht="15.75">
      <c r="A272" s="31">
        <v>269</v>
      </c>
      <c r="B272" s="106">
        <f>IF(all_data!C271&lt;=10,all_data!B271,0)</f>
        <v>0</v>
      </c>
      <c r="C272" s="57">
        <f>IF(all_data!C271&lt;=10,all_data!C271,0)</f>
        <v>0</v>
      </c>
      <c r="D272" s="50">
        <f>IF(all_data!C271&lt;=10,all_data!D271,0)</f>
        <v>0</v>
      </c>
      <c r="E272" s="52" t="str">
        <f>IF(all_data!C271&lt;=10,all_data!E271,0)</f>
        <v/>
      </c>
      <c r="F272" s="51">
        <f>IF(all_data!C271&lt;=10,all_data!F271,0)</f>
        <v>0</v>
      </c>
      <c r="G272" s="29">
        <f>IF(all_data!C271&lt;=10,all_data!H271,0)</f>
        <v>0</v>
      </c>
      <c r="H272" s="67">
        <f>IF(all_data!C271&lt;=10,all_data!I271,0)</f>
        <v>0</v>
      </c>
    </row>
    <row r="273" spans="1:8" ht="15.75">
      <c r="A273" s="31">
        <v>270</v>
      </c>
      <c r="B273" s="106">
        <f>IF(all_data!C272&lt;=10,all_data!B272,0)</f>
        <v>0</v>
      </c>
      <c r="C273" s="57">
        <f>IF(all_data!C272&lt;=10,all_data!C272,0)</f>
        <v>0</v>
      </c>
      <c r="D273" s="50">
        <f>IF(all_data!C272&lt;=10,all_data!D272,0)</f>
        <v>0</v>
      </c>
      <c r="E273" s="52" t="str">
        <f>IF(all_data!C272&lt;=10,all_data!E272,0)</f>
        <v/>
      </c>
      <c r="F273" s="51">
        <f>IF(all_data!C272&lt;=10,all_data!F272,0)</f>
        <v>0</v>
      </c>
      <c r="G273" s="29">
        <f>IF(all_data!C272&lt;=10,all_data!H272,0)</f>
        <v>0</v>
      </c>
      <c r="H273" s="67">
        <f>IF(all_data!C272&lt;=10,all_data!I272,0)</f>
        <v>0</v>
      </c>
    </row>
    <row r="274" spans="1:8" ht="15.75">
      <c r="A274" s="31">
        <v>271</v>
      </c>
      <c r="B274" s="106">
        <f>IF(all_data!C273&lt;=10,all_data!B273,0)</f>
        <v>0</v>
      </c>
      <c r="C274" s="57">
        <f>IF(all_data!C273&lt;=10,all_data!C273,0)</f>
        <v>0</v>
      </c>
      <c r="D274" s="50">
        <f>IF(all_data!C273&lt;=10,all_data!D273,0)</f>
        <v>0</v>
      </c>
      <c r="E274" s="52" t="str">
        <f>IF(all_data!C273&lt;=10,all_data!E273,0)</f>
        <v/>
      </c>
      <c r="F274" s="51">
        <f>IF(all_data!C273&lt;=10,all_data!F273,0)</f>
        <v>0</v>
      </c>
      <c r="G274" s="29">
        <f>IF(all_data!C273&lt;=10,all_data!H273,0)</f>
        <v>0</v>
      </c>
      <c r="H274" s="67">
        <f>IF(all_data!C273&lt;=10,all_data!I273,0)</f>
        <v>0</v>
      </c>
    </row>
    <row r="275" spans="1:8" ht="15.75">
      <c r="A275" s="31">
        <v>272</v>
      </c>
      <c r="B275" s="106">
        <f>IF(all_data!C274&lt;=10,all_data!B274,0)</f>
        <v>0</v>
      </c>
      <c r="C275" s="57">
        <f>IF(all_data!C274&lt;=10,all_data!C274,0)</f>
        <v>0</v>
      </c>
      <c r="D275" s="50">
        <f>IF(all_data!C274&lt;=10,all_data!D274,0)</f>
        <v>0</v>
      </c>
      <c r="E275" s="52" t="str">
        <f>IF(all_data!C274&lt;=10,all_data!E274,0)</f>
        <v/>
      </c>
      <c r="F275" s="51">
        <f>IF(all_data!C274&lt;=10,all_data!F274,0)</f>
        <v>0</v>
      </c>
      <c r="G275" s="29">
        <f>IF(all_data!C274&lt;=10,all_data!H274,0)</f>
        <v>0</v>
      </c>
      <c r="H275" s="67">
        <f>IF(all_data!C274&lt;=10,all_data!I274,0)</f>
        <v>0</v>
      </c>
    </row>
    <row r="276" spans="1:8" ht="15.75">
      <c r="A276" s="31">
        <v>273</v>
      </c>
      <c r="B276" s="106">
        <f>IF(all_data!C275&lt;=10,all_data!B275,0)</f>
        <v>0</v>
      </c>
      <c r="C276" s="57">
        <f>IF(all_data!C275&lt;=10,all_data!C275,0)</f>
        <v>0</v>
      </c>
      <c r="D276" s="50">
        <f>IF(all_data!C275&lt;=10,all_data!D275,0)</f>
        <v>0</v>
      </c>
      <c r="E276" s="52" t="str">
        <f>IF(all_data!C275&lt;=10,all_data!E275,0)</f>
        <v/>
      </c>
      <c r="F276" s="51">
        <f>IF(all_data!C275&lt;=10,all_data!F275,0)</f>
        <v>0</v>
      </c>
      <c r="G276" s="29">
        <f>IF(all_data!C275&lt;=10,all_data!H275,0)</f>
        <v>0</v>
      </c>
      <c r="H276" s="67">
        <f>IF(all_data!C275&lt;=10,all_data!I275,0)</f>
        <v>0</v>
      </c>
    </row>
    <row r="277" spans="1:8" ht="15.75">
      <c r="A277" s="31">
        <v>274</v>
      </c>
      <c r="B277" s="106">
        <f>IF(all_data!C276&lt;=10,all_data!B276,0)</f>
        <v>0</v>
      </c>
      <c r="C277" s="57">
        <f>IF(all_data!C276&lt;=10,all_data!C276,0)</f>
        <v>0</v>
      </c>
      <c r="D277" s="50">
        <f>IF(all_data!C276&lt;=10,all_data!D276,0)</f>
        <v>0</v>
      </c>
      <c r="E277" s="52" t="str">
        <f>IF(all_data!C276&lt;=10,all_data!E276,0)</f>
        <v/>
      </c>
      <c r="F277" s="51">
        <f>IF(all_data!C276&lt;=10,all_data!F276,0)</f>
        <v>0</v>
      </c>
      <c r="G277" s="29">
        <f>IF(all_data!C276&lt;=10,all_data!H276,0)</f>
        <v>0</v>
      </c>
      <c r="H277" s="67">
        <f>IF(all_data!C276&lt;=10,all_data!I276,0)</f>
        <v>0</v>
      </c>
    </row>
    <row r="278" spans="1:8" ht="15.75">
      <c r="A278" s="31">
        <v>275</v>
      </c>
      <c r="B278" s="106">
        <f>IF(all_data!C277&lt;=10,all_data!B277,0)</f>
        <v>0</v>
      </c>
      <c r="C278" s="57">
        <f>IF(all_data!C277&lt;=10,all_data!C277,0)</f>
        <v>0</v>
      </c>
      <c r="D278" s="50">
        <f>IF(all_data!C277&lt;=10,all_data!D277,0)</f>
        <v>0</v>
      </c>
      <c r="E278" s="52" t="str">
        <f>IF(all_data!C277&lt;=10,all_data!E277,0)</f>
        <v/>
      </c>
      <c r="F278" s="51">
        <f>IF(all_data!C277&lt;=10,all_data!F277,0)</f>
        <v>0</v>
      </c>
      <c r="G278" s="29">
        <f>IF(all_data!C277&lt;=10,all_data!H277,0)</f>
        <v>0</v>
      </c>
      <c r="H278" s="67">
        <f>IF(all_data!C277&lt;=10,all_data!I277,0)</f>
        <v>0</v>
      </c>
    </row>
    <row r="279" spans="1:8" ht="15.75">
      <c r="A279" s="31">
        <v>276</v>
      </c>
      <c r="B279" s="106">
        <f>IF(all_data!C278&lt;=10,all_data!B278,0)</f>
        <v>0</v>
      </c>
      <c r="C279" s="57">
        <f>IF(all_data!C278&lt;=10,all_data!C278,0)</f>
        <v>0</v>
      </c>
      <c r="D279" s="50">
        <f>IF(all_data!C278&lt;=10,all_data!D278,0)</f>
        <v>0</v>
      </c>
      <c r="E279" s="52" t="str">
        <f>IF(all_data!C278&lt;=10,all_data!E278,0)</f>
        <v/>
      </c>
      <c r="F279" s="51">
        <f>IF(all_data!C278&lt;=10,all_data!F278,0)</f>
        <v>0</v>
      </c>
      <c r="G279" s="29">
        <f>IF(all_data!C278&lt;=10,all_data!H278,0)</f>
        <v>0</v>
      </c>
      <c r="H279" s="67">
        <f>IF(all_data!C278&lt;=10,all_data!I278,0)</f>
        <v>0</v>
      </c>
    </row>
    <row r="280" spans="1:8" ht="15.75">
      <c r="A280" s="31">
        <v>277</v>
      </c>
      <c r="B280" s="106">
        <f>IF(all_data!C279&lt;=10,all_data!B279,0)</f>
        <v>0</v>
      </c>
      <c r="C280" s="57">
        <f>IF(all_data!C279&lt;=10,all_data!C279,0)</f>
        <v>0</v>
      </c>
      <c r="D280" s="50">
        <f>IF(all_data!C279&lt;=10,all_data!D279,0)</f>
        <v>0</v>
      </c>
      <c r="E280" s="52" t="str">
        <f>IF(all_data!C279&lt;=10,all_data!E279,0)</f>
        <v/>
      </c>
      <c r="F280" s="51">
        <f>IF(all_data!C279&lt;=10,all_data!F279,0)</f>
        <v>0</v>
      </c>
      <c r="G280" s="29">
        <f>IF(all_data!C279&lt;=10,all_data!H279,0)</f>
        <v>0</v>
      </c>
      <c r="H280" s="67">
        <f>IF(all_data!C279&lt;=10,all_data!I279,0)</f>
        <v>0</v>
      </c>
    </row>
    <row r="281" spans="1:8" ht="15.75">
      <c r="A281" s="31">
        <v>278</v>
      </c>
      <c r="B281" s="106">
        <f>IF(all_data!C280&lt;=10,all_data!B280,0)</f>
        <v>0</v>
      </c>
      <c r="C281" s="57">
        <f>IF(all_data!C280&lt;=10,all_data!C280,0)</f>
        <v>0</v>
      </c>
      <c r="D281" s="50">
        <f>IF(all_data!C280&lt;=10,all_data!D280,0)</f>
        <v>0</v>
      </c>
      <c r="E281" s="52" t="str">
        <f>IF(all_data!C280&lt;=10,all_data!E280,0)</f>
        <v/>
      </c>
      <c r="F281" s="51">
        <f>IF(all_data!C280&lt;=10,all_data!F280,0)</f>
        <v>0</v>
      </c>
      <c r="G281" s="29">
        <f>IF(all_data!C280&lt;=10,all_data!H280,0)</f>
        <v>0</v>
      </c>
      <c r="H281" s="67">
        <f>IF(all_data!C280&lt;=10,all_data!I280,0)</f>
        <v>0</v>
      </c>
    </row>
    <row r="282" spans="1:8" ht="15.75">
      <c r="A282" s="31">
        <v>279</v>
      </c>
      <c r="B282" s="106">
        <f>IF(all_data!C281&lt;=10,all_data!B281,0)</f>
        <v>0</v>
      </c>
      <c r="C282" s="57">
        <f>IF(all_data!C281&lt;=10,all_data!C281,0)</f>
        <v>0</v>
      </c>
      <c r="D282" s="50">
        <f>IF(all_data!C281&lt;=10,all_data!D281,0)</f>
        <v>0</v>
      </c>
      <c r="E282" s="52" t="str">
        <f>IF(all_data!C281&lt;=10,all_data!E281,0)</f>
        <v/>
      </c>
      <c r="F282" s="51">
        <f>IF(all_data!C281&lt;=10,all_data!F281,0)</f>
        <v>0</v>
      </c>
      <c r="G282" s="29">
        <f>IF(all_data!C281&lt;=10,all_data!H281,0)</f>
        <v>0</v>
      </c>
      <c r="H282" s="67">
        <f>IF(all_data!C281&lt;=10,all_data!I281,0)</f>
        <v>0</v>
      </c>
    </row>
    <row r="283" spans="1:8" ht="15.75">
      <c r="A283" s="31">
        <v>280</v>
      </c>
      <c r="B283" s="106">
        <f>IF(all_data!C282&lt;=10,all_data!B282,0)</f>
        <v>0</v>
      </c>
      <c r="C283" s="57">
        <f>IF(all_data!C282&lt;=10,all_data!C282,0)</f>
        <v>0</v>
      </c>
      <c r="D283" s="50">
        <f>IF(all_data!C282&lt;=10,all_data!D282,0)</f>
        <v>0</v>
      </c>
      <c r="E283" s="52" t="str">
        <f>IF(all_data!C282&lt;=10,all_data!E282,0)</f>
        <v/>
      </c>
      <c r="F283" s="51">
        <f>IF(all_data!C282&lt;=10,all_data!F282,0)</f>
        <v>0</v>
      </c>
      <c r="G283" s="29">
        <f>IF(all_data!C282&lt;=10,all_data!H282,0)</f>
        <v>0</v>
      </c>
      <c r="H283" s="67">
        <f>IF(all_data!C282&lt;=10,all_data!I282,0)</f>
        <v>0</v>
      </c>
    </row>
    <row r="284" spans="1:8" ht="15.75">
      <c r="A284" s="31">
        <v>281</v>
      </c>
      <c r="B284" s="106">
        <f>IF(all_data!C283&lt;=10,all_data!B283,0)</f>
        <v>0</v>
      </c>
      <c r="C284" s="57">
        <f>IF(all_data!C283&lt;=10,all_data!C283,0)</f>
        <v>0</v>
      </c>
      <c r="D284" s="50">
        <f>IF(all_data!C283&lt;=10,all_data!D283,0)</f>
        <v>0</v>
      </c>
      <c r="E284" s="52" t="str">
        <f>IF(all_data!C283&lt;=10,all_data!E283,0)</f>
        <v/>
      </c>
      <c r="F284" s="51">
        <f>IF(all_data!C283&lt;=10,all_data!F283,0)</f>
        <v>0</v>
      </c>
      <c r="G284" s="29">
        <f>IF(all_data!C283&lt;=10,all_data!H283,0)</f>
        <v>0</v>
      </c>
      <c r="H284" s="67">
        <f>IF(all_data!C283&lt;=10,all_data!I283,0)</f>
        <v>0</v>
      </c>
    </row>
    <row r="285" spans="1:8" ht="15.75">
      <c r="A285" s="31">
        <v>282</v>
      </c>
      <c r="B285" s="106">
        <f>IF(all_data!C284&lt;=10,all_data!B284,0)</f>
        <v>0</v>
      </c>
      <c r="C285" s="57">
        <f>IF(all_data!C284&lt;=10,all_data!C284,0)</f>
        <v>0</v>
      </c>
      <c r="D285" s="50">
        <f>IF(all_data!C284&lt;=10,all_data!D284,0)</f>
        <v>0</v>
      </c>
      <c r="E285" s="52" t="str">
        <f>IF(all_data!C284&lt;=10,all_data!E284,0)</f>
        <v/>
      </c>
      <c r="F285" s="51">
        <f>IF(all_data!C284&lt;=10,all_data!F284,0)</f>
        <v>0</v>
      </c>
      <c r="G285" s="29">
        <f>IF(all_data!C284&lt;=10,all_data!H284,0)</f>
        <v>0</v>
      </c>
      <c r="H285" s="67">
        <f>IF(all_data!C284&lt;=10,all_data!I284,0)</f>
        <v>0</v>
      </c>
    </row>
    <row r="286" spans="1:8" ht="15.75">
      <c r="A286" s="31">
        <v>283</v>
      </c>
      <c r="B286" s="106">
        <f>IF(all_data!C285&lt;=10,all_data!B285,0)</f>
        <v>0</v>
      </c>
      <c r="C286" s="57">
        <f>IF(all_data!C285&lt;=10,all_data!C285,0)</f>
        <v>0</v>
      </c>
      <c r="D286" s="50">
        <f>IF(all_data!C285&lt;=10,all_data!D285,0)</f>
        <v>0</v>
      </c>
      <c r="E286" s="52" t="str">
        <f>IF(all_data!C285&lt;=10,all_data!E285,0)</f>
        <v/>
      </c>
      <c r="F286" s="51">
        <f>IF(all_data!C285&lt;=10,all_data!F285,0)</f>
        <v>0</v>
      </c>
      <c r="G286" s="29">
        <f>IF(all_data!C285&lt;=10,all_data!H285,0)</f>
        <v>0</v>
      </c>
      <c r="H286" s="67">
        <f>IF(all_data!C285&lt;=10,all_data!I285,0)</f>
        <v>0</v>
      </c>
    </row>
    <row r="287" spans="1:8" ht="15.75">
      <c r="A287" s="31">
        <v>284</v>
      </c>
      <c r="B287" s="106">
        <f>IF(all_data!C286&lt;=10,all_data!B286,0)</f>
        <v>0</v>
      </c>
      <c r="C287" s="57">
        <f>IF(all_data!C286&lt;=10,all_data!C286,0)</f>
        <v>0</v>
      </c>
      <c r="D287" s="50">
        <f>IF(all_data!C286&lt;=10,all_data!D286,0)</f>
        <v>0</v>
      </c>
      <c r="E287" s="52" t="str">
        <f>IF(all_data!C286&lt;=10,all_data!E286,0)</f>
        <v/>
      </c>
      <c r="F287" s="51">
        <f>IF(all_data!C286&lt;=10,all_data!F286,0)</f>
        <v>0</v>
      </c>
      <c r="G287" s="29">
        <f>IF(all_data!C286&lt;=10,all_data!H286,0)</f>
        <v>0</v>
      </c>
      <c r="H287" s="67">
        <f>IF(all_data!C286&lt;=10,all_data!I286,0)</f>
        <v>0</v>
      </c>
    </row>
    <row r="288" spans="1:8" ht="15.75">
      <c r="A288" s="31">
        <v>285</v>
      </c>
      <c r="B288" s="106">
        <f>IF(all_data!C287&lt;=10,all_data!B287,0)</f>
        <v>0</v>
      </c>
      <c r="C288" s="57">
        <f>IF(all_data!C287&lt;=10,all_data!C287,0)</f>
        <v>0</v>
      </c>
      <c r="D288" s="50">
        <f>IF(all_data!C287&lt;=10,all_data!D287,0)</f>
        <v>0</v>
      </c>
      <c r="E288" s="52" t="str">
        <f>IF(all_data!C287&lt;=10,all_data!E287,0)</f>
        <v/>
      </c>
      <c r="F288" s="51">
        <f>IF(all_data!C287&lt;=10,all_data!F287,0)</f>
        <v>0</v>
      </c>
      <c r="G288" s="29">
        <f>IF(all_data!C287&lt;=10,all_data!H287,0)</f>
        <v>0</v>
      </c>
      <c r="H288" s="67">
        <f>IF(all_data!C287&lt;=10,all_data!I287,0)</f>
        <v>0</v>
      </c>
    </row>
    <row r="289" spans="1:8" ht="15.75">
      <c r="A289" s="31">
        <v>286</v>
      </c>
      <c r="B289" s="106">
        <f>IF(all_data!C288&lt;=10,all_data!B288,0)</f>
        <v>0</v>
      </c>
      <c r="C289" s="57">
        <f>IF(all_data!C288&lt;=10,all_data!C288,0)</f>
        <v>0</v>
      </c>
      <c r="D289" s="50">
        <f>IF(all_data!C288&lt;=10,all_data!D288,0)</f>
        <v>0</v>
      </c>
      <c r="E289" s="52" t="str">
        <f>IF(all_data!C288&lt;=10,all_data!E288,0)</f>
        <v/>
      </c>
      <c r="F289" s="51">
        <f>IF(all_data!C288&lt;=10,all_data!F288,0)</f>
        <v>0</v>
      </c>
      <c r="G289" s="29">
        <f>IF(all_data!C288&lt;=10,all_data!H288,0)</f>
        <v>0</v>
      </c>
      <c r="H289" s="67">
        <f>IF(all_data!C288&lt;=10,all_data!I288,0)</f>
        <v>0</v>
      </c>
    </row>
    <row r="290" spans="1:8" ht="15.75">
      <c r="A290" s="31">
        <v>287</v>
      </c>
      <c r="B290" s="106">
        <f>IF(all_data!C289&lt;=10,all_data!B289,0)</f>
        <v>0</v>
      </c>
      <c r="C290" s="57">
        <f>IF(all_data!C289&lt;=10,all_data!C289,0)</f>
        <v>0</v>
      </c>
      <c r="D290" s="50">
        <f>IF(all_data!C289&lt;=10,all_data!D289,0)</f>
        <v>0</v>
      </c>
      <c r="E290" s="52" t="str">
        <f>IF(all_data!C289&lt;=10,all_data!E289,0)</f>
        <v/>
      </c>
      <c r="F290" s="51">
        <f>IF(all_data!C289&lt;=10,all_data!F289,0)</f>
        <v>0</v>
      </c>
      <c r="G290" s="29">
        <f>IF(all_data!C289&lt;=10,all_data!H289,0)</f>
        <v>0</v>
      </c>
      <c r="H290" s="67">
        <f>IF(all_data!C289&lt;=10,all_data!I289,0)</f>
        <v>0</v>
      </c>
    </row>
    <row r="291" spans="1:8" ht="15.75">
      <c r="A291" s="31">
        <v>288</v>
      </c>
      <c r="B291" s="106">
        <f>IF(all_data!C290&lt;=10,all_data!B290,0)</f>
        <v>0</v>
      </c>
      <c r="C291" s="57">
        <f>IF(all_data!C290&lt;=10,all_data!C290,0)</f>
        <v>0</v>
      </c>
      <c r="D291" s="50">
        <f>IF(all_data!C290&lt;=10,all_data!D290,0)</f>
        <v>0</v>
      </c>
      <c r="E291" s="52" t="str">
        <f>IF(all_data!C290&lt;=10,all_data!E290,0)</f>
        <v/>
      </c>
      <c r="F291" s="51">
        <f>IF(all_data!C290&lt;=10,all_data!F290,0)</f>
        <v>0</v>
      </c>
      <c r="G291" s="29">
        <f>IF(all_data!C290&lt;=10,all_data!H290,0)</f>
        <v>0</v>
      </c>
      <c r="H291" s="67">
        <f>IF(all_data!C290&lt;=10,all_data!I290,0)</f>
        <v>0</v>
      </c>
    </row>
    <row r="292" spans="1:8" ht="15.75">
      <c r="A292" s="31">
        <v>289</v>
      </c>
      <c r="B292" s="106">
        <f>IF(all_data!C291&lt;=10,all_data!B291,0)</f>
        <v>0</v>
      </c>
      <c r="C292" s="57">
        <f>IF(all_data!C291&lt;=10,all_data!C291,0)</f>
        <v>0</v>
      </c>
      <c r="D292" s="50">
        <f>IF(all_data!C291&lt;=10,all_data!D291,0)</f>
        <v>0</v>
      </c>
      <c r="E292" s="52" t="str">
        <f>IF(all_data!C291&lt;=10,all_data!E291,0)</f>
        <v/>
      </c>
      <c r="F292" s="51">
        <f>IF(all_data!C291&lt;=10,all_data!F291,0)</f>
        <v>0</v>
      </c>
      <c r="G292" s="29">
        <f>IF(all_data!C291&lt;=10,all_data!H291,0)</f>
        <v>0</v>
      </c>
      <c r="H292" s="67">
        <f>IF(all_data!C291&lt;=10,all_data!I291,0)</f>
        <v>0</v>
      </c>
    </row>
    <row r="293" spans="1:8" ht="15.75">
      <c r="A293" s="31">
        <v>290</v>
      </c>
      <c r="B293" s="106">
        <f>IF(all_data!C292&lt;=10,all_data!B292,0)</f>
        <v>0</v>
      </c>
      <c r="C293" s="57">
        <f>IF(all_data!C292&lt;=10,all_data!C292,0)</f>
        <v>0</v>
      </c>
      <c r="D293" s="50">
        <f>IF(all_data!C292&lt;=10,all_data!D292,0)</f>
        <v>0</v>
      </c>
      <c r="E293" s="52" t="str">
        <f>IF(all_data!C292&lt;=10,all_data!E292,0)</f>
        <v/>
      </c>
      <c r="F293" s="51">
        <f>IF(all_data!C292&lt;=10,all_data!F292,0)</f>
        <v>0</v>
      </c>
      <c r="G293" s="29">
        <f>IF(all_data!C292&lt;=10,all_data!H292,0)</f>
        <v>0</v>
      </c>
      <c r="H293" s="67">
        <f>IF(all_data!C292&lt;=10,all_data!I292,0)</f>
        <v>0</v>
      </c>
    </row>
    <row r="294" spans="1:8" ht="15.75">
      <c r="A294" s="31">
        <v>291</v>
      </c>
      <c r="B294" s="106">
        <f>IF(all_data!C293&lt;=10,all_data!B293,0)</f>
        <v>0</v>
      </c>
      <c r="C294" s="57">
        <f>IF(all_data!C293&lt;=10,all_data!C293,0)</f>
        <v>0</v>
      </c>
      <c r="D294" s="50">
        <f>IF(all_data!C293&lt;=10,all_data!D293,0)</f>
        <v>0</v>
      </c>
      <c r="E294" s="52" t="str">
        <f>IF(all_data!C293&lt;=10,all_data!E293,0)</f>
        <v/>
      </c>
      <c r="F294" s="51">
        <f>IF(all_data!C293&lt;=10,all_data!F293,0)</f>
        <v>0</v>
      </c>
      <c r="G294" s="29">
        <f>IF(all_data!C293&lt;=10,all_data!H293,0)</f>
        <v>0</v>
      </c>
      <c r="H294" s="67">
        <f>IF(all_data!C293&lt;=10,all_data!I293,0)</f>
        <v>0</v>
      </c>
    </row>
    <row r="295" spans="1:8" ht="15.75">
      <c r="A295" s="31">
        <v>292</v>
      </c>
      <c r="B295" s="106">
        <f>IF(all_data!C294&lt;=10,all_data!B294,0)</f>
        <v>0</v>
      </c>
      <c r="C295" s="57">
        <f>IF(all_data!C294&lt;=10,all_data!C294,0)</f>
        <v>0</v>
      </c>
      <c r="D295" s="50">
        <f>IF(all_data!C294&lt;=10,all_data!D294,0)</f>
        <v>0</v>
      </c>
      <c r="E295" s="52" t="str">
        <f>IF(all_data!C294&lt;=10,all_data!E294,0)</f>
        <v/>
      </c>
      <c r="F295" s="51">
        <f>IF(all_data!C294&lt;=10,all_data!F294,0)</f>
        <v>0</v>
      </c>
      <c r="G295" s="29">
        <f>IF(all_data!C294&lt;=10,all_data!H294,0)</f>
        <v>0</v>
      </c>
      <c r="H295" s="67">
        <f>IF(all_data!C294&lt;=10,all_data!I294,0)</f>
        <v>0</v>
      </c>
    </row>
    <row r="296" spans="1:8" ht="15.75">
      <c r="A296" s="31">
        <v>293</v>
      </c>
      <c r="B296" s="106">
        <f>IF(all_data!C295&lt;=10,all_data!B295,0)</f>
        <v>0</v>
      </c>
      <c r="C296" s="57">
        <f>IF(all_data!C295&lt;=10,all_data!C295,0)</f>
        <v>0</v>
      </c>
      <c r="D296" s="50">
        <f>IF(all_data!C295&lt;=10,all_data!D295,0)</f>
        <v>0</v>
      </c>
      <c r="E296" s="52" t="str">
        <f>IF(all_data!C295&lt;=10,all_data!E295,0)</f>
        <v/>
      </c>
      <c r="F296" s="51">
        <f>IF(all_data!C295&lt;=10,all_data!F295,0)</f>
        <v>0</v>
      </c>
      <c r="G296" s="29">
        <f>IF(all_data!C295&lt;=10,all_data!H295,0)</f>
        <v>0</v>
      </c>
      <c r="H296" s="67">
        <f>IF(all_data!C295&lt;=10,all_data!I295,0)</f>
        <v>0</v>
      </c>
    </row>
    <row r="297" spans="1:8" ht="15.75">
      <c r="A297" s="31">
        <v>294</v>
      </c>
      <c r="B297" s="106">
        <f>IF(all_data!C296&lt;=10,all_data!B296,0)</f>
        <v>0</v>
      </c>
      <c r="C297" s="57">
        <f>IF(all_data!C296&lt;=10,all_data!C296,0)</f>
        <v>0</v>
      </c>
      <c r="D297" s="50">
        <f>IF(all_data!C296&lt;=10,all_data!D296,0)</f>
        <v>0</v>
      </c>
      <c r="E297" s="52" t="str">
        <f>IF(all_data!C296&lt;=10,all_data!E296,0)</f>
        <v/>
      </c>
      <c r="F297" s="51">
        <f>IF(all_data!C296&lt;=10,all_data!F296,0)</f>
        <v>0</v>
      </c>
      <c r="G297" s="29">
        <f>IF(all_data!C296&lt;=10,all_data!H296,0)</f>
        <v>0</v>
      </c>
      <c r="H297" s="67">
        <f>IF(all_data!C296&lt;=10,all_data!I296,0)</f>
        <v>0</v>
      </c>
    </row>
    <row r="298" spans="1:8" ht="15.75">
      <c r="A298" s="31">
        <v>295</v>
      </c>
      <c r="B298" s="106">
        <f>IF(all_data!C297&lt;=10,all_data!B297,0)</f>
        <v>0</v>
      </c>
      <c r="C298" s="57">
        <f>IF(all_data!C297&lt;=10,all_data!C297,0)</f>
        <v>0</v>
      </c>
      <c r="D298" s="50">
        <f>IF(all_data!C297&lt;=10,all_data!D297,0)</f>
        <v>0</v>
      </c>
      <c r="E298" s="52" t="str">
        <f>IF(all_data!C297&lt;=10,all_data!E297,0)</f>
        <v/>
      </c>
      <c r="F298" s="51">
        <f>IF(all_data!C297&lt;=10,all_data!F297,0)</f>
        <v>0</v>
      </c>
      <c r="G298" s="29">
        <f>IF(all_data!C297&lt;=10,all_data!H297,0)</f>
        <v>0</v>
      </c>
      <c r="H298" s="67">
        <f>IF(all_data!C297&lt;=10,all_data!I297,0)</f>
        <v>0</v>
      </c>
    </row>
    <row r="299" spans="1:8" ht="15.75">
      <c r="A299" s="31">
        <v>296</v>
      </c>
      <c r="B299" s="106">
        <f>IF(all_data!C298&lt;=10,all_data!B298,0)</f>
        <v>0</v>
      </c>
      <c r="C299" s="57">
        <f>IF(all_data!C298&lt;=10,all_data!C298,0)</f>
        <v>0</v>
      </c>
      <c r="D299" s="50">
        <f>IF(all_data!C298&lt;=10,all_data!D298,0)</f>
        <v>0</v>
      </c>
      <c r="E299" s="52" t="str">
        <f>IF(all_data!C298&lt;=10,all_data!E298,0)</f>
        <v/>
      </c>
      <c r="F299" s="51">
        <f>IF(all_data!C298&lt;=10,all_data!F298,0)</f>
        <v>0</v>
      </c>
      <c r="G299" s="29">
        <f>IF(all_data!C298&lt;=10,all_data!H298,0)</f>
        <v>0</v>
      </c>
      <c r="H299" s="67">
        <f>IF(all_data!C298&lt;=10,all_data!I298,0)</f>
        <v>0</v>
      </c>
    </row>
    <row r="300" spans="1:8" ht="15.75">
      <c r="A300" s="31">
        <v>297</v>
      </c>
      <c r="B300" s="106">
        <f>IF(all_data!C299&lt;=10,all_data!B299,0)</f>
        <v>0</v>
      </c>
      <c r="C300" s="57">
        <f>IF(all_data!C299&lt;=10,all_data!C299,0)</f>
        <v>0</v>
      </c>
      <c r="D300" s="50">
        <f>IF(all_data!C299&lt;=10,all_data!D299,0)</f>
        <v>0</v>
      </c>
      <c r="E300" s="52" t="str">
        <f>IF(all_data!C299&lt;=10,all_data!E299,0)</f>
        <v/>
      </c>
      <c r="F300" s="51">
        <f>IF(all_data!C299&lt;=10,all_data!F299,0)</f>
        <v>0</v>
      </c>
      <c r="G300" s="29">
        <f>IF(all_data!C299&lt;=10,all_data!H299,0)</f>
        <v>0</v>
      </c>
      <c r="H300" s="67">
        <f>IF(all_data!C299&lt;=10,all_data!I299,0)</f>
        <v>0</v>
      </c>
    </row>
    <row r="301" spans="1:8" ht="15.75">
      <c r="A301" s="31">
        <v>298</v>
      </c>
      <c r="B301" s="106">
        <f>IF(all_data!C300&lt;=10,all_data!B300,0)</f>
        <v>0</v>
      </c>
      <c r="C301" s="57">
        <f>IF(all_data!C300&lt;=10,all_data!C300,0)</f>
        <v>0</v>
      </c>
      <c r="D301" s="50">
        <f>IF(all_data!C300&lt;=10,all_data!D300,0)</f>
        <v>0</v>
      </c>
      <c r="E301" s="52" t="str">
        <f>IF(all_data!C300&lt;=10,all_data!E300,0)</f>
        <v/>
      </c>
      <c r="F301" s="51">
        <f>IF(all_data!C300&lt;=10,all_data!F300,0)</f>
        <v>0</v>
      </c>
      <c r="G301" s="29">
        <f>IF(all_data!C300&lt;=10,all_data!H300,0)</f>
        <v>0</v>
      </c>
      <c r="H301" s="67">
        <f>IF(all_data!C300&lt;=10,all_data!I300,0)</f>
        <v>0</v>
      </c>
    </row>
    <row r="302" spans="1:8" ht="15.75">
      <c r="A302" s="31">
        <v>299</v>
      </c>
      <c r="B302" s="106">
        <f>IF(all_data!C301&lt;=10,all_data!B301,0)</f>
        <v>0</v>
      </c>
      <c r="C302" s="57">
        <f>IF(all_data!C301&lt;=10,all_data!C301,0)</f>
        <v>0</v>
      </c>
      <c r="D302" s="50">
        <f>IF(all_data!C301&lt;=10,all_data!D301,0)</f>
        <v>0</v>
      </c>
      <c r="E302" s="52" t="str">
        <f>IF(all_data!C301&lt;=10,all_data!E301,0)</f>
        <v/>
      </c>
      <c r="F302" s="51">
        <f>IF(all_data!C301&lt;=10,all_data!F301,0)</f>
        <v>0</v>
      </c>
      <c r="G302" s="29">
        <f>IF(all_data!C301&lt;=10,all_data!H301,0)</f>
        <v>0</v>
      </c>
      <c r="H302" s="67">
        <f>IF(all_data!C301&lt;=10,all_data!I301,0)</f>
        <v>0</v>
      </c>
    </row>
    <row r="303" spans="1:8" ht="15.75">
      <c r="A303" s="31">
        <v>300</v>
      </c>
      <c r="B303" s="106">
        <f>IF(all_data!C302&lt;=10,all_data!B302,0)</f>
        <v>0</v>
      </c>
      <c r="C303" s="57">
        <f>IF(all_data!C302&lt;=10,all_data!C302,0)</f>
        <v>0</v>
      </c>
      <c r="D303" s="50">
        <f>IF(all_data!C302&lt;=10,all_data!D302,0)</f>
        <v>0</v>
      </c>
      <c r="E303" s="52" t="str">
        <f>IF(all_data!C302&lt;=10,all_data!E302,0)</f>
        <v/>
      </c>
      <c r="F303" s="51">
        <f>IF(all_data!C302&lt;=10,all_data!F302,0)</f>
        <v>0</v>
      </c>
      <c r="G303" s="29">
        <f>IF(all_data!C302&lt;=10,all_data!H302,0)</f>
        <v>0</v>
      </c>
      <c r="H303" s="67">
        <f>IF(all_data!C302&lt;=10,all_data!I302,0)</f>
        <v>0</v>
      </c>
    </row>
    <row r="304" spans="1:8">
      <c r="A304" s="53"/>
      <c r="B304" s="77"/>
      <c r="C304" s="58"/>
      <c r="D304" s="54"/>
      <c r="E304" s="55"/>
      <c r="F304" s="53"/>
      <c r="G304" s="32"/>
      <c r="H304" s="68"/>
    </row>
    <row r="305" spans="1:8">
      <c r="A305" s="53"/>
      <c r="B305" s="77"/>
      <c r="C305" s="58"/>
      <c r="D305" s="54"/>
      <c r="E305" s="55"/>
      <c r="F305" s="53"/>
      <c r="G305" s="32"/>
      <c r="H305" s="68"/>
    </row>
    <row r="306" spans="1:8">
      <c r="A306" s="53"/>
      <c r="B306" s="77"/>
      <c r="C306" s="58"/>
      <c r="D306" s="54"/>
      <c r="E306" s="55"/>
      <c r="F306" s="53"/>
      <c r="G306" s="32"/>
      <c r="H306" s="68"/>
    </row>
    <row r="307" spans="1:8">
      <c r="A307" s="53"/>
      <c r="B307" s="77"/>
      <c r="C307" s="58"/>
      <c r="D307" s="54"/>
      <c r="E307" s="55"/>
      <c r="F307" s="53"/>
      <c r="G307" s="32"/>
      <c r="H307" s="68"/>
    </row>
    <row r="308" spans="1:8">
      <c r="A308" s="53"/>
      <c r="B308" s="77"/>
      <c r="C308" s="58"/>
      <c r="D308" s="54"/>
      <c r="E308" s="55"/>
      <c r="F308" s="53"/>
      <c r="G308" s="32"/>
      <c r="H308" s="68"/>
    </row>
    <row r="309" spans="1:8">
      <c r="A309" s="53"/>
      <c r="B309" s="77"/>
      <c r="C309" s="58"/>
      <c r="D309" s="54"/>
      <c r="E309" s="55"/>
      <c r="F309" s="53"/>
      <c r="G309" s="32"/>
      <c r="H309" s="68"/>
    </row>
    <row r="310" spans="1:8">
      <c r="A310" s="53"/>
      <c r="B310" s="77"/>
      <c r="C310" s="58"/>
      <c r="D310" s="54"/>
      <c r="E310" s="55"/>
      <c r="F310" s="53"/>
      <c r="G310" s="32"/>
      <c r="H310" s="68"/>
    </row>
    <row r="311" spans="1:8">
      <c r="A311" s="53"/>
      <c r="B311" s="77"/>
      <c r="C311" s="58"/>
      <c r="D311" s="54"/>
      <c r="E311" s="55"/>
      <c r="F311" s="53"/>
      <c r="G311" s="32"/>
      <c r="H311" s="68"/>
    </row>
    <row r="312" spans="1:8">
      <c r="A312" s="53"/>
      <c r="B312" s="77"/>
      <c r="C312" s="58"/>
      <c r="D312" s="54"/>
      <c r="E312" s="55"/>
      <c r="F312" s="53"/>
      <c r="G312" s="32"/>
      <c r="H312" s="68"/>
    </row>
    <row r="313" spans="1:8">
      <c r="A313" s="53"/>
      <c r="B313" s="77"/>
      <c r="C313" s="58"/>
      <c r="D313" s="54"/>
      <c r="E313" s="55"/>
      <c r="F313" s="53"/>
      <c r="G313" s="32"/>
      <c r="H313" s="68"/>
    </row>
    <row r="314" spans="1:8">
      <c r="A314" s="53"/>
      <c r="B314" s="77"/>
      <c r="C314" s="58"/>
      <c r="D314" s="54"/>
      <c r="E314" s="55"/>
      <c r="F314" s="53"/>
      <c r="G314" s="32"/>
      <c r="H314" s="68"/>
    </row>
    <row r="315" spans="1:8">
      <c r="A315" s="53"/>
      <c r="B315" s="77"/>
      <c r="C315" s="58"/>
      <c r="D315" s="54"/>
      <c r="E315" s="55"/>
      <c r="F315" s="53"/>
      <c r="G315" s="32"/>
      <c r="H315" s="68"/>
    </row>
    <row r="316" spans="1:8">
      <c r="A316" s="53"/>
      <c r="B316" s="77"/>
      <c r="C316" s="58"/>
      <c r="D316" s="54"/>
      <c r="E316" s="55"/>
      <c r="F316" s="53"/>
      <c r="G316" s="32"/>
      <c r="H316" s="68"/>
    </row>
    <row r="317" spans="1:8">
      <c r="A317" s="53"/>
      <c r="B317" s="77"/>
      <c r="C317" s="58"/>
      <c r="D317" s="54"/>
      <c r="E317" s="55"/>
      <c r="F317" s="53"/>
      <c r="G317" s="32"/>
      <c r="H317" s="68"/>
    </row>
    <row r="318" spans="1:8">
      <c r="A318" s="53"/>
      <c r="B318" s="77"/>
      <c r="C318" s="58"/>
      <c r="D318" s="54"/>
      <c r="E318" s="55"/>
      <c r="F318" s="53"/>
      <c r="G318" s="32"/>
      <c r="H318" s="68"/>
    </row>
    <row r="319" spans="1:8">
      <c r="A319" s="53"/>
      <c r="B319" s="77"/>
      <c r="C319" s="58"/>
      <c r="D319" s="54"/>
      <c r="E319" s="55"/>
      <c r="F319" s="53"/>
      <c r="G319" s="32"/>
      <c r="H319" s="68"/>
    </row>
    <row r="320" spans="1:8">
      <c r="A320" s="53"/>
      <c r="B320" s="77"/>
      <c r="C320" s="58"/>
      <c r="D320" s="54"/>
      <c r="E320" s="55"/>
      <c r="F320" s="53"/>
      <c r="G320" s="32"/>
      <c r="H320" s="68"/>
    </row>
    <row r="321" spans="1:8">
      <c r="A321" s="53"/>
      <c r="B321" s="77"/>
      <c r="C321" s="58"/>
      <c r="D321" s="54"/>
      <c r="E321" s="55"/>
      <c r="F321" s="53"/>
      <c r="G321" s="32"/>
      <c r="H321" s="68"/>
    </row>
    <row r="322" spans="1:8">
      <c r="A322" s="53"/>
      <c r="B322" s="77"/>
      <c r="C322" s="58"/>
      <c r="D322" s="54"/>
      <c r="E322" s="55"/>
      <c r="F322" s="53"/>
      <c r="G322" s="32"/>
      <c r="H322" s="68"/>
    </row>
    <row r="323" spans="1:8">
      <c r="A323" s="53"/>
      <c r="B323" s="77"/>
      <c r="C323" s="58"/>
      <c r="D323" s="54"/>
      <c r="E323" s="55"/>
      <c r="F323" s="53"/>
      <c r="G323" s="32"/>
      <c r="H323" s="68"/>
    </row>
    <row r="324" spans="1:8">
      <c r="A324" s="53"/>
      <c r="B324" s="77"/>
      <c r="C324" s="58"/>
      <c r="D324" s="54"/>
      <c r="E324" s="55"/>
      <c r="F324" s="53"/>
      <c r="G324" s="32"/>
      <c r="H324" s="68"/>
    </row>
  </sheetData>
  <sortState ref="B4:H300">
    <sortCondition descending="1" ref="D4"/>
  </sortState>
  <customSheetViews>
    <customSheetView guid="{78B3A349-4A6A-4124-974B-C4B81C7019CD}" scale="75" showRuler="0">
      <selection sqref="A1:G1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1"/>
      <headerFooter alignWithMargins="0">
    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    <oddFooter>Seite &amp;P von &amp;N</oddFooter>
      </headerFooter>
    </customSheetView>
    <customSheetView guid="{F48999E8-45B5-4A7E-B3AF-FA7A59AA8144}" scale="75" showRuler="0">
      <selection sqref="A1:G1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2"/>
      <headerFooter alignWithMargins="0">
    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    <oddFooter>Seite &amp;P von &amp;N</oddFooter>
      </headerFooter>
    </customSheetView>
  </customSheetViews>
  <mergeCells count="1">
    <mergeCell ref="A1:G1"/>
  </mergeCells>
  <phoneticPr fontId="0" type="noConversion"/>
  <printOptions horizontalCentered="1" verticalCentered="1"/>
  <pageMargins left="0.78740157480314965" right="0.78740157480314965" top="1.5748031496062993" bottom="0.98425196850393704" header="0.51181102362204722" footer="0.51181102362204722"/>
  <pageSetup paperSize="9" orientation="landscape" horizontalDpi="300" verticalDpi="300" r:id="rId3"/>
  <headerFooter alignWithMargins="0">
    <oddHeader>&amp;L&amp;8Universität Rostock
Fakultät für Maschinbau
Schiffstechnik
Institut für Maritime Systeme und Strömungstechnik&amp;C&amp;"Arial,Fett"&amp;14Papierschiffwettbewerb 2004
Auswertung Kategorie höchste Tragfähigkeit&amp;Rwww.paperboat.de</oddHeader>
    <oddFooter>Seite &amp;P von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H324"/>
  <sheetViews>
    <sheetView zoomScale="75" workbookViewId="0">
      <selection sqref="A1:G1"/>
    </sheetView>
  </sheetViews>
  <sheetFormatPr baseColWidth="10" defaultRowHeight="12.75"/>
  <cols>
    <col min="1" max="1" width="6.7109375" style="33" customWidth="1"/>
    <col min="2" max="2" width="17.140625" style="78" customWidth="1"/>
    <col min="3" max="3" width="7.7109375" style="59" customWidth="1"/>
    <col min="4" max="4" width="9.85546875" style="34" customWidth="1"/>
    <col min="5" max="5" width="8.5703125" style="35" customWidth="1"/>
    <col min="6" max="6" width="12" style="33" customWidth="1"/>
    <col min="7" max="7" width="19.28515625" style="27" customWidth="1"/>
    <col min="8" max="8" width="40.42578125" style="64" customWidth="1"/>
  </cols>
  <sheetData>
    <row r="1" spans="1:8" ht="15.75">
      <c r="A1" s="111" t="s">
        <v>58</v>
      </c>
      <c r="B1" s="112"/>
      <c r="C1" s="112"/>
      <c r="D1" s="113"/>
      <c r="E1" s="114"/>
      <c r="F1" s="112"/>
      <c r="G1" s="112"/>
    </row>
    <row r="3" spans="1:8" s="21" customFormat="1" ht="31.5">
      <c r="A3" s="24" t="s">
        <v>36</v>
      </c>
      <c r="B3" s="56" t="s">
        <v>38</v>
      </c>
      <c r="C3" s="56" t="s">
        <v>39</v>
      </c>
      <c r="D3" s="45" t="s">
        <v>40</v>
      </c>
      <c r="E3" s="39" t="s">
        <v>37</v>
      </c>
      <c r="F3" s="24" t="s">
        <v>7</v>
      </c>
      <c r="G3" s="24" t="s">
        <v>60</v>
      </c>
      <c r="H3" s="61" t="s">
        <v>20</v>
      </c>
    </row>
    <row r="4" spans="1:8" s="22" customFormat="1" ht="51">
      <c r="A4" s="31">
        <v>1</v>
      </c>
      <c r="B4" s="106" t="str">
        <f>all_data!B58</f>
        <v>Titanic II</v>
      </c>
      <c r="C4" s="57">
        <f>all_data!C58</f>
        <v>6.9</v>
      </c>
      <c r="D4" s="50">
        <f>all_data!D58</f>
        <v>9.9179999999999993</v>
      </c>
      <c r="E4" s="52">
        <f>IF(all_data!E58="",0,all_data!E58)</f>
        <v>1.4373913043478259</v>
      </c>
      <c r="F4" s="51">
        <f>all_data!F58</f>
        <v>500</v>
      </c>
      <c r="G4" s="29" t="str">
        <f>all_data!H58</f>
        <v>Felix Grabe
Marcel Bodin
Cora-Katja-Herkommer</v>
      </c>
      <c r="H4" s="62" t="str">
        <f>all_data!I58</f>
        <v>Bertha von Suttner Schule</v>
      </c>
    </row>
    <row r="5" spans="1:8" s="22" customFormat="1" ht="15.75">
      <c r="A5" s="31">
        <v>2</v>
      </c>
      <c r="B5" s="106" t="str">
        <f>all_data!B28</f>
        <v>Little Nemo</v>
      </c>
      <c r="C5" s="57">
        <f>all_data!C28</f>
        <v>9.6999999999999993</v>
      </c>
      <c r="D5" s="50">
        <f>all_data!D28</f>
        <v>9.26</v>
      </c>
      <c r="E5" s="52">
        <f>IF(all_data!E28="",0,all_data!E28)</f>
        <v>0.95463917525773201</v>
      </c>
      <c r="F5" s="51">
        <f>all_data!F28</f>
        <v>1</v>
      </c>
      <c r="G5" s="29" t="str">
        <f>all_data!H28</f>
        <v>Jenny Mandler</v>
      </c>
      <c r="H5" s="62" t="str">
        <f>all_data!I28</f>
        <v>Ernst-Abbe-Gymnasium</v>
      </c>
    </row>
    <row r="6" spans="1:8" s="22" customFormat="1" ht="15.75">
      <c r="A6" s="31">
        <v>3</v>
      </c>
      <c r="B6" s="106" t="str">
        <f>all_data!B49</f>
        <v>Hong Nga 1</v>
      </c>
      <c r="C6" s="57">
        <f>all_data!C49</f>
        <v>7</v>
      </c>
      <c r="D6" s="50">
        <f>all_data!D49</f>
        <v>6.165</v>
      </c>
      <c r="E6" s="52">
        <f>IF(all_data!E49="",0,all_data!E49)</f>
        <v>0.88071428571428567</v>
      </c>
      <c r="F6" s="51">
        <f>all_data!F49</f>
        <v>200</v>
      </c>
      <c r="G6" s="29" t="str">
        <f>all_data!H49</f>
        <v>Hong Nga Ly</v>
      </c>
      <c r="H6" s="62" t="str">
        <f>all_data!I49</f>
        <v>Athenaueum Stade</v>
      </c>
    </row>
    <row r="7" spans="1:8" s="22" customFormat="1" ht="25.5">
      <c r="A7" s="31">
        <v>4</v>
      </c>
      <c r="B7" s="106" t="str">
        <f>all_data!B45</f>
        <v>Under Water</v>
      </c>
      <c r="C7" s="57">
        <f>all_data!C45</f>
        <v>10.8</v>
      </c>
      <c r="D7" s="50">
        <f>all_data!D45</f>
        <v>7.2779999999999996</v>
      </c>
      <c r="E7" s="52">
        <f>IF(all_data!E45="",0,all_data!E45)</f>
        <v>0.67388888888888876</v>
      </c>
      <c r="F7" s="51">
        <f>all_data!F45</f>
        <v>1</v>
      </c>
      <c r="G7" s="29" t="str">
        <f>all_data!H45</f>
        <v>Lara Wandt
Carolin Blum</v>
      </c>
      <c r="H7" s="62" t="str">
        <f>all_data!I45</f>
        <v>Schloßgymnasium Gützkow</v>
      </c>
    </row>
    <row r="8" spans="1:8" s="22" customFormat="1" ht="15.75">
      <c r="A8" s="31">
        <v>5</v>
      </c>
      <c r="B8" s="106" t="str">
        <f>all_data!B55</f>
        <v>Skipper</v>
      </c>
      <c r="C8" s="57">
        <f>all_data!C55</f>
        <v>9.1999999999999993</v>
      </c>
      <c r="D8" s="50">
        <f>all_data!D55</f>
        <v>3.5619999999999998</v>
      </c>
      <c r="E8" s="52">
        <f>IF(all_data!E55="",0,all_data!E55)</f>
        <v>0.38717391304347826</v>
      </c>
      <c r="F8" s="51">
        <f>all_data!F55</f>
        <v>350</v>
      </c>
      <c r="G8" s="29" t="str">
        <f>all_data!H55</f>
        <v>Nike</v>
      </c>
      <c r="H8" s="62" t="str">
        <f>all_data!I55</f>
        <v>Jungmannschule Eckernförde</v>
      </c>
    </row>
    <row r="9" spans="1:8" s="22" customFormat="1" ht="15.75">
      <c r="A9" s="31">
        <v>6</v>
      </c>
      <c r="B9" s="106" t="str">
        <f>all_data!B39</f>
        <v>sensor 2013</v>
      </c>
      <c r="C9" s="57">
        <f>all_data!C39</f>
        <v>10.1</v>
      </c>
      <c r="D9" s="50">
        <f>all_data!D39</f>
        <v>3.8</v>
      </c>
      <c r="E9" s="52">
        <f>IF(all_data!E39="",0,all_data!E39)</f>
        <v>0.37623762376237624</v>
      </c>
      <c r="F9" s="51">
        <f>all_data!F39</f>
        <v>1</v>
      </c>
      <c r="G9" s="29" t="str">
        <f>all_data!H39</f>
        <v>Jordan Junior</v>
      </c>
      <c r="H9" s="62">
        <f>all_data!I39</f>
        <v>0</v>
      </c>
    </row>
    <row r="10" spans="1:8" s="22" customFormat="1" ht="25.5">
      <c r="A10" s="31">
        <v>7</v>
      </c>
      <c r="B10" s="106" t="str">
        <f>all_data!B32</f>
        <v>Mumie</v>
      </c>
      <c r="C10" s="57">
        <f>all_data!C32</f>
        <v>11.1</v>
      </c>
      <c r="D10" s="50">
        <f>all_data!D32</f>
        <v>3.669</v>
      </c>
      <c r="E10" s="52">
        <f>IF(all_data!E32="",0,all_data!E32)</f>
        <v>0.33054054054054055</v>
      </c>
      <c r="F10" s="51">
        <f>all_data!F32</f>
        <v>1</v>
      </c>
      <c r="G10" s="29" t="str">
        <f>all_data!H32</f>
        <v>Til Salewski
Vincent Niemann</v>
      </c>
      <c r="H10" s="62" t="str">
        <f>all_data!I32</f>
        <v>Schloßgymnasium Gützkow</v>
      </c>
    </row>
    <row r="11" spans="1:8" s="22" customFormat="1" ht="25.5">
      <c r="A11" s="31">
        <v>8</v>
      </c>
      <c r="B11" s="106" t="str">
        <f>all_data!B40</f>
        <v>Solida</v>
      </c>
      <c r="C11" s="57">
        <f>all_data!C40</f>
        <v>9.9</v>
      </c>
      <c r="D11" s="50">
        <f>all_data!D40</f>
        <v>0</v>
      </c>
      <c r="E11" s="52">
        <f>IF(all_data!E40="",0,all_data!E40)</f>
        <v>0</v>
      </c>
      <c r="F11" s="51">
        <f>all_data!F40</f>
        <v>1</v>
      </c>
      <c r="G11" s="29" t="str">
        <f>all_data!H40</f>
        <v>Ingrid Bierkamp-Nienkarken</v>
      </c>
      <c r="H11" s="62">
        <f>all_data!I40</f>
        <v>0</v>
      </c>
    </row>
    <row r="12" spans="1:8" ht="15.75">
      <c r="A12" s="31">
        <v>9</v>
      </c>
      <c r="B12" s="106" t="str">
        <f>all_data!B117</f>
        <v>Max</v>
      </c>
      <c r="C12" s="57">
        <f>all_data!C117</f>
        <v>8.6</v>
      </c>
      <c r="D12" s="50">
        <f>all_data!D117</f>
        <v>0</v>
      </c>
      <c r="E12" s="52">
        <f>IF(all_data!E117="",0,all_data!E117)</f>
        <v>0</v>
      </c>
      <c r="F12" s="51">
        <f>all_data!F117</f>
        <v>2000</v>
      </c>
      <c r="G12" s="29" t="str">
        <f>all_data!H117</f>
        <v>Marlene Lüdtke</v>
      </c>
      <c r="H12" s="62">
        <f>all_data!I117</f>
        <v>0</v>
      </c>
    </row>
    <row r="13" spans="1:8" ht="15.75">
      <c r="A13" s="31">
        <v>10</v>
      </c>
      <c r="B13" s="106" t="str">
        <f>all_data!B121</f>
        <v>Top</v>
      </c>
      <c r="C13" s="57">
        <f>all_data!C121</f>
        <v>9.5</v>
      </c>
      <c r="D13" s="50">
        <f>all_data!D121</f>
        <v>0</v>
      </c>
      <c r="E13" s="52">
        <f>IF(all_data!E121="",0,all_data!E121)</f>
        <v>0</v>
      </c>
      <c r="F13" s="51">
        <f>all_data!F121</f>
        <v>2000</v>
      </c>
      <c r="G13" s="29" t="str">
        <f>all_data!H121</f>
        <v>Tom Kuhl</v>
      </c>
      <c r="H13" s="62" t="str">
        <f>all_data!I121</f>
        <v>Ernst-Abbe-Gymnasium</v>
      </c>
    </row>
    <row r="14" spans="1:8" ht="15.75">
      <c r="A14" s="31">
        <v>11</v>
      </c>
      <c r="B14" s="106" t="str">
        <f>all_data!B118</f>
        <v>Moritz</v>
      </c>
      <c r="C14" s="57">
        <f>all_data!C118</f>
        <v>10</v>
      </c>
      <c r="D14" s="50">
        <f>all_data!D118</f>
        <v>0</v>
      </c>
      <c r="E14" s="52">
        <f>IF(all_data!E118="",0,all_data!E118)</f>
        <v>0</v>
      </c>
      <c r="F14" s="51">
        <f>all_data!F118</f>
        <v>2000</v>
      </c>
      <c r="G14" s="29" t="str">
        <f>all_data!H118</f>
        <v>Marlene Lüdtke</v>
      </c>
      <c r="H14" s="62">
        <f>all_data!I118</f>
        <v>0</v>
      </c>
    </row>
    <row r="15" spans="1:8" ht="15.75">
      <c r="A15" s="31">
        <v>12</v>
      </c>
      <c r="B15" s="106" t="str">
        <f>all_data!B125</f>
        <v>Zum Schößchen</v>
      </c>
      <c r="C15" s="57">
        <f>all_data!C125</f>
        <v>8.6999999999999993</v>
      </c>
      <c r="D15" s="50">
        <f>all_data!D125</f>
        <v>0</v>
      </c>
      <c r="E15" s="52">
        <f>IF(all_data!E125="",0,all_data!E125)</f>
        <v>0</v>
      </c>
      <c r="F15" s="51">
        <f>all_data!F125</f>
        <v>2000</v>
      </c>
      <c r="G15" s="29" t="str">
        <f>all_data!H125</f>
        <v>Jessika Lüdtke</v>
      </c>
      <c r="H15" s="62">
        <f>all_data!I125</f>
        <v>0</v>
      </c>
    </row>
    <row r="16" spans="1:8" ht="15.75">
      <c r="A16" s="31">
        <v>13</v>
      </c>
      <c r="B16" s="106" t="str">
        <f>all_data!B137</f>
        <v>Bodo</v>
      </c>
      <c r="C16" s="57">
        <f>all_data!C137</f>
        <v>11</v>
      </c>
      <c r="D16" s="50">
        <f>all_data!D137</f>
        <v>0</v>
      </c>
      <c r="E16" s="52">
        <f>IF(all_data!E137="",0,all_data!E137)</f>
        <v>0</v>
      </c>
      <c r="F16" s="51">
        <f>all_data!F137</f>
        <v>4500</v>
      </c>
      <c r="G16" s="29" t="str">
        <f>all_data!H137</f>
        <v>Bodo Jackstell</v>
      </c>
      <c r="H16" s="62">
        <f>all_data!I137</f>
        <v>0</v>
      </c>
    </row>
    <row r="17" spans="1:8" ht="15.75">
      <c r="A17" s="31">
        <v>14</v>
      </c>
      <c r="B17" s="106" t="str">
        <f>all_data!B76</f>
        <v>Bismarck I</v>
      </c>
      <c r="C17" s="57">
        <f>all_data!C76</f>
        <v>9.9</v>
      </c>
      <c r="D17" s="50">
        <f>all_data!D76</f>
        <v>0</v>
      </c>
      <c r="E17" s="52">
        <f>IF(all_data!E76="",0,all_data!E76)</f>
        <v>0</v>
      </c>
      <c r="F17" s="51">
        <f>all_data!F76</f>
        <v>1000</v>
      </c>
      <c r="G17" s="29" t="str">
        <f>all_data!H76</f>
        <v>Lukas Balle</v>
      </c>
      <c r="H17" s="62" t="str">
        <f>all_data!I76</f>
        <v>Ernst-Abbe-Gymnasium</v>
      </c>
    </row>
    <row r="18" spans="1:8" ht="15.75">
      <c r="A18" s="31">
        <v>15</v>
      </c>
      <c r="B18" s="106" t="str">
        <f>all_data!B102</f>
        <v>Planktonium</v>
      </c>
      <c r="C18" s="57">
        <f>all_data!C102</f>
        <v>8.3000000000000007</v>
      </c>
      <c r="D18" s="50">
        <f>all_data!D102</f>
        <v>0</v>
      </c>
      <c r="E18" s="52">
        <f>IF(all_data!E102="",0,all_data!E102)</f>
        <v>0</v>
      </c>
      <c r="F18" s="51">
        <f>all_data!F102</f>
        <v>1500</v>
      </c>
      <c r="G18" s="29" t="str">
        <f>all_data!H102</f>
        <v>Sebastian Stork</v>
      </c>
      <c r="H18" s="62" t="str">
        <f>all_data!I102</f>
        <v>Wossidlo-Gymnasium</v>
      </c>
    </row>
    <row r="19" spans="1:8" ht="15.75">
      <c r="A19" s="31">
        <v>16</v>
      </c>
      <c r="B19" s="106" t="str">
        <f>all_data!B77</f>
        <v>Bismark III</v>
      </c>
      <c r="C19" s="57">
        <f>all_data!C77</f>
        <v>9.5</v>
      </c>
      <c r="D19" s="50">
        <f>all_data!D77</f>
        <v>0</v>
      </c>
      <c r="E19" s="52">
        <f>IF(all_data!E77="",0,all_data!E77)</f>
        <v>0</v>
      </c>
      <c r="F19" s="51">
        <f>all_data!F77</f>
        <v>1000</v>
      </c>
      <c r="G19" s="29" t="str">
        <f>all_data!H77</f>
        <v>Christoph Stern</v>
      </c>
      <c r="H19" s="62" t="str">
        <f>all_data!I77</f>
        <v>Wossidlo-Gymnasium</v>
      </c>
    </row>
    <row r="20" spans="1:8" ht="15.75">
      <c r="A20" s="31">
        <v>17</v>
      </c>
      <c r="B20" s="106" t="str">
        <f>all_data!B108</f>
        <v>DAT</v>
      </c>
      <c r="C20" s="57">
        <f>all_data!C108</f>
        <v>10.199999999999999</v>
      </c>
      <c r="D20" s="50">
        <f>all_data!D108</f>
        <v>0</v>
      </c>
      <c r="E20" s="52">
        <f>IF(all_data!E108="",0,all_data!E108)</f>
        <v>0</v>
      </c>
      <c r="F20" s="51">
        <f>all_data!F108</f>
        <v>1800</v>
      </c>
      <c r="G20" s="29" t="str">
        <f>all_data!H108</f>
        <v>Trong-Dat Dinh</v>
      </c>
      <c r="H20" s="62" t="str">
        <f>all_data!I108</f>
        <v>Wossidlo-Gymnasium</v>
      </c>
    </row>
    <row r="21" spans="1:8" ht="15.75">
      <c r="A21" s="31">
        <v>18</v>
      </c>
      <c r="B21" s="106" t="str">
        <f>all_data!B126</f>
        <v>Neptun</v>
      </c>
      <c r="C21" s="57">
        <f>all_data!C126</f>
        <v>10</v>
      </c>
      <c r="D21" s="50">
        <f>all_data!D126</f>
        <v>0</v>
      </c>
      <c r="E21" s="52">
        <f>IF(all_data!E126="",0,all_data!E126)</f>
        <v>0</v>
      </c>
      <c r="F21" s="51">
        <f>all_data!F126</f>
        <v>2100</v>
      </c>
      <c r="G21" s="29" t="str">
        <f>all_data!H126</f>
        <v>Benjamin Wittke</v>
      </c>
      <c r="H21" s="62" t="str">
        <f>all_data!I126</f>
        <v>Wossidlo-Gymnasium</v>
      </c>
    </row>
    <row r="22" spans="1:8" ht="15.75">
      <c r="A22" s="31">
        <v>19</v>
      </c>
      <c r="B22" s="106" t="str">
        <f>all_data!B105</f>
        <v>Octopussy</v>
      </c>
      <c r="C22" s="57">
        <f>all_data!C105</f>
        <v>9.8000000000000007</v>
      </c>
      <c r="D22" s="50">
        <f>all_data!D105</f>
        <v>0</v>
      </c>
      <c r="E22" s="52">
        <f>IF(all_data!E105="",0,all_data!E105)</f>
        <v>0</v>
      </c>
      <c r="F22" s="51">
        <f>all_data!F105</f>
        <v>1673</v>
      </c>
      <c r="G22" s="29" t="str">
        <f>all_data!H105</f>
        <v>Marie-Christin Kostow</v>
      </c>
      <c r="H22" s="62" t="str">
        <f>all_data!I105</f>
        <v>Wossidlo-Gymnasium</v>
      </c>
    </row>
    <row r="23" spans="1:8" ht="15.75">
      <c r="A23" s="31">
        <v>20</v>
      </c>
      <c r="B23" s="106" t="str">
        <f>all_data!B113</f>
        <v>Expendable</v>
      </c>
      <c r="C23" s="57">
        <f>all_data!C113</f>
        <v>9.6999999999999993</v>
      </c>
      <c r="D23" s="50">
        <f>all_data!D113</f>
        <v>0</v>
      </c>
      <c r="E23" s="52">
        <f>IF(all_data!E113="",0,all_data!E113)</f>
        <v>0</v>
      </c>
      <c r="F23" s="51">
        <f>all_data!F113</f>
        <v>2000</v>
      </c>
      <c r="G23" s="29" t="str">
        <f>all_data!H113</f>
        <v>Scott Schneider</v>
      </c>
      <c r="H23" s="62" t="str">
        <f>all_data!I113</f>
        <v>Wossidlo-Gymnasium</v>
      </c>
    </row>
    <row r="24" spans="1:8" ht="15.75">
      <c r="A24" s="31">
        <v>21</v>
      </c>
      <c r="B24" s="106" t="str">
        <f>all_data!B104</f>
        <v>HMS Maretania</v>
      </c>
      <c r="C24" s="57">
        <f>all_data!C104</f>
        <v>9.9</v>
      </c>
      <c r="D24" s="50">
        <f>all_data!D104</f>
        <v>0</v>
      </c>
      <c r="E24" s="52">
        <f>IF(all_data!E104="",0,all_data!E104)</f>
        <v>0</v>
      </c>
      <c r="F24" s="51">
        <f>all_data!F104</f>
        <v>1600</v>
      </c>
      <c r="G24" s="29" t="str">
        <f>all_data!H104</f>
        <v>Ludwig Stenzel</v>
      </c>
      <c r="H24" s="62" t="str">
        <f>all_data!I104</f>
        <v>Wossidlo-Gymnasium</v>
      </c>
    </row>
    <row r="25" spans="1:8" ht="15.75">
      <c r="A25" s="31">
        <v>22</v>
      </c>
      <c r="B25" s="106" t="str">
        <f>all_data!B106</f>
        <v>MS. Evalt</v>
      </c>
      <c r="C25" s="57">
        <f>all_data!C106</f>
        <v>9.6999999999999993</v>
      </c>
      <c r="D25" s="50">
        <f>all_data!D106</f>
        <v>0</v>
      </c>
      <c r="E25" s="52">
        <f>IF(all_data!E106="",0,all_data!E106)</f>
        <v>0</v>
      </c>
      <c r="F25" s="51">
        <f>all_data!F106</f>
        <v>1700</v>
      </c>
      <c r="G25" s="29" t="str">
        <f>all_data!H106</f>
        <v>Peter Brand</v>
      </c>
      <c r="H25" s="62" t="str">
        <f>all_data!I106</f>
        <v>Wossidlo-Gymnasium</v>
      </c>
    </row>
    <row r="26" spans="1:8" ht="15.75">
      <c r="A26" s="31">
        <v>23</v>
      </c>
      <c r="B26" s="106" t="str">
        <f>all_data!B124</f>
        <v>Zum Schluss</v>
      </c>
      <c r="C26" s="57">
        <f>all_data!C124</f>
        <v>9.8000000000000007</v>
      </c>
      <c r="D26" s="50">
        <f>all_data!D124</f>
        <v>0</v>
      </c>
      <c r="E26" s="52">
        <f>IF(all_data!E124="",0,all_data!E124)</f>
        <v>0</v>
      </c>
      <c r="F26" s="51">
        <f>all_data!F124</f>
        <v>2000</v>
      </c>
      <c r="G26" s="29" t="str">
        <f>all_data!H124</f>
        <v>Jessika Lüdtke</v>
      </c>
      <c r="H26" s="62">
        <f>all_data!I124</f>
        <v>0</v>
      </c>
    </row>
    <row r="27" spans="1:8" ht="25.5">
      <c r="A27" s="31">
        <v>24</v>
      </c>
      <c r="B27" s="106" t="str">
        <f>all_data!B112</f>
        <v>BINKS</v>
      </c>
      <c r="C27" s="57">
        <f>all_data!C112</f>
        <v>9.6</v>
      </c>
      <c r="D27" s="50">
        <f>all_data!D112</f>
        <v>0</v>
      </c>
      <c r="E27" s="52">
        <f>IF(all_data!E112="",0,all_data!E112)</f>
        <v>0</v>
      </c>
      <c r="F27" s="51">
        <f>all_data!F112</f>
        <v>2000</v>
      </c>
      <c r="G27" s="29" t="str">
        <f>all_data!H112</f>
        <v>Laura Groß
Lina Sofie Scholz</v>
      </c>
      <c r="H27" s="62" t="str">
        <f>all_data!I112</f>
        <v>Gymnasium Wellingdorf</v>
      </c>
    </row>
    <row r="28" spans="1:8" ht="15.75">
      <c r="A28" s="31">
        <v>25</v>
      </c>
      <c r="B28" s="106" t="str">
        <f>all_data!B131</f>
        <v>Jonas</v>
      </c>
      <c r="C28" s="57">
        <f>all_data!C131</f>
        <v>9.4</v>
      </c>
      <c r="D28" s="50">
        <f>all_data!D131</f>
        <v>0</v>
      </c>
      <c r="E28" s="52">
        <f>IF(all_data!E131="",0,all_data!E131)</f>
        <v>0</v>
      </c>
      <c r="F28" s="51">
        <f>all_data!F131</f>
        <v>2700</v>
      </c>
      <c r="G28" s="29" t="str">
        <f>all_data!H131</f>
        <v>Benjamin Wittke</v>
      </c>
      <c r="H28" s="62" t="str">
        <f>all_data!I131</f>
        <v>Wossidlo-Gymnasium</v>
      </c>
    </row>
    <row r="29" spans="1:8" ht="15.75">
      <c r="A29" s="31">
        <v>26</v>
      </c>
      <c r="B29" s="106" t="str">
        <f>all_data!B51</f>
        <v>stabil</v>
      </c>
      <c r="C29" s="57">
        <f>all_data!C51</f>
        <v>8.9</v>
      </c>
      <c r="D29" s="50">
        <f>all_data!D51</f>
        <v>0</v>
      </c>
      <c r="E29" s="52">
        <f>IF(all_data!E51="",0,all_data!E51)</f>
        <v>0</v>
      </c>
      <c r="F29" s="51">
        <f>all_data!F51</f>
        <v>200</v>
      </c>
      <c r="G29" s="29" t="str">
        <f>all_data!H51</f>
        <v>Ilona Liesche</v>
      </c>
      <c r="H29" s="62" t="str">
        <f>all_data!I51</f>
        <v>Ernst-Abbe-Gymnasium</v>
      </c>
    </row>
    <row r="30" spans="1:8" ht="15.75">
      <c r="A30" s="31">
        <v>27</v>
      </c>
      <c r="B30" s="106" t="str">
        <f>all_data!B130</f>
        <v>PB10</v>
      </c>
      <c r="C30" s="57">
        <f>all_data!C130</f>
        <v>9.8000000000000007</v>
      </c>
      <c r="D30" s="50">
        <f>all_data!D130</f>
        <v>0</v>
      </c>
      <c r="E30" s="52">
        <f>IF(all_data!E130="",0,all_data!E130)</f>
        <v>0</v>
      </c>
      <c r="F30" s="51">
        <f>all_data!F130</f>
        <v>2500</v>
      </c>
      <c r="G30" s="29" t="str">
        <f>all_data!H130</f>
        <v>Martin Eckermann</v>
      </c>
      <c r="H30" s="62">
        <f>all_data!I130</f>
        <v>0</v>
      </c>
    </row>
    <row r="31" spans="1:8" ht="38.25">
      <c r="A31" s="31">
        <v>28</v>
      </c>
      <c r="B31" s="106" t="str">
        <f>all_data!B82</f>
        <v>Hannes</v>
      </c>
      <c r="C31" s="57">
        <f>all_data!C82</f>
        <v>4.0999999999999996</v>
      </c>
      <c r="D31" s="50">
        <f>all_data!D82</f>
        <v>0</v>
      </c>
      <c r="E31" s="52">
        <f>IF(all_data!E82="",0,all_data!E82)</f>
        <v>0</v>
      </c>
      <c r="F31" s="51">
        <f>all_data!F82</f>
        <v>1000</v>
      </c>
      <c r="G31" s="29" t="str">
        <f>all_data!H82</f>
        <v>Marc
Phillip
Hendrik Meier</v>
      </c>
      <c r="H31" s="62" t="str">
        <f>all_data!I82</f>
        <v>Bertha von Suttner Schule</v>
      </c>
    </row>
    <row r="32" spans="1:8" ht="15.75">
      <c r="A32" s="31">
        <v>29</v>
      </c>
      <c r="B32" s="106" t="str">
        <f>all_data!B115</f>
        <v>H3H7</v>
      </c>
      <c r="C32" s="57">
        <f>all_data!C115</f>
        <v>8.1999999999999993</v>
      </c>
      <c r="D32" s="50">
        <f>all_data!D115</f>
        <v>0</v>
      </c>
      <c r="E32" s="52">
        <f>IF(all_data!E115="",0,all_data!E115)</f>
        <v>0</v>
      </c>
      <c r="F32" s="51">
        <f>all_data!F115</f>
        <v>2000</v>
      </c>
      <c r="G32" s="29" t="str">
        <f>all_data!H115</f>
        <v>Fredy Lüdtke</v>
      </c>
      <c r="H32" s="62">
        <f>all_data!I115</f>
        <v>0</v>
      </c>
    </row>
    <row r="33" spans="1:8" ht="25.5">
      <c r="A33" s="31">
        <v>30</v>
      </c>
      <c r="B33" s="106" t="str">
        <f>all_data!B73</f>
        <v>Black Ops III</v>
      </c>
      <c r="C33" s="57">
        <f>all_data!C73</f>
        <v>5.0999999999999996</v>
      </c>
      <c r="D33" s="50">
        <f>all_data!D73</f>
        <v>0</v>
      </c>
      <c r="E33" s="52">
        <f>IF(all_data!E73="",0,all_data!E73)</f>
        <v>0</v>
      </c>
      <c r="F33" s="51">
        <f>all_data!F73</f>
        <v>950</v>
      </c>
      <c r="G33" s="29" t="str">
        <f>all_data!H73</f>
        <v>Maxi Meuche
Aiman Beggar</v>
      </c>
      <c r="H33" s="62" t="str">
        <f>all_data!I73</f>
        <v>Gymnasium Wellingdorf</v>
      </c>
    </row>
    <row r="34" spans="1:8" ht="15.75">
      <c r="A34" s="31">
        <v>31</v>
      </c>
      <c r="B34" s="106" t="str">
        <f>all_data!B134</f>
        <v>PB02</v>
      </c>
      <c r="C34" s="57">
        <f>all_data!C134</f>
        <v>10</v>
      </c>
      <c r="D34" s="50">
        <f>all_data!D134</f>
        <v>0</v>
      </c>
      <c r="E34" s="52">
        <f>IF(all_data!E134="",0,all_data!E134)</f>
        <v>0</v>
      </c>
      <c r="F34" s="51">
        <f>all_data!F134</f>
        <v>3200</v>
      </c>
      <c r="G34" s="29" t="str">
        <f>all_data!H134</f>
        <v>Martin Eckermann</v>
      </c>
      <c r="H34" s="62">
        <f>all_data!I134</f>
        <v>0</v>
      </c>
    </row>
    <row r="35" spans="1:8" ht="31.5" customHeight="1">
      <c r="A35" s="31">
        <v>32</v>
      </c>
      <c r="B35" s="106" t="str">
        <f>all_data!B62</f>
        <v>BLUB</v>
      </c>
      <c r="C35" s="57">
        <f>all_data!C62</f>
        <v>5.3</v>
      </c>
      <c r="D35" s="50">
        <f>all_data!D62</f>
        <v>0</v>
      </c>
      <c r="E35" s="52">
        <f>IF(all_data!E62="",0,all_data!E62)</f>
        <v>0</v>
      </c>
      <c r="F35" s="51">
        <f>all_data!F62</f>
        <v>660</v>
      </c>
      <c r="G35" s="29" t="str">
        <f>all_data!H62</f>
        <v>Sofia Derevyanskaya
Celine Kloske</v>
      </c>
      <c r="H35" s="62" t="str">
        <f>all_data!I62</f>
        <v>Gymnasium Wellingdorf</v>
      </c>
    </row>
    <row r="36" spans="1:8" ht="15.75">
      <c r="A36" s="31">
        <v>33</v>
      </c>
      <c r="B36" s="106" t="str">
        <f>all_data!B107</f>
        <v>Weisse Rose</v>
      </c>
      <c r="C36" s="57">
        <f>all_data!C107</f>
        <v>9.6999999999999993</v>
      </c>
      <c r="D36" s="50">
        <f>all_data!D107</f>
        <v>0</v>
      </c>
      <c r="E36" s="52">
        <f>IF(all_data!E107="",0,all_data!E107)</f>
        <v>0</v>
      </c>
      <c r="F36" s="51">
        <f>all_data!F107</f>
        <v>1700</v>
      </c>
      <c r="G36" s="29" t="str">
        <f>all_data!H107</f>
        <v>Marius Roggenbuck</v>
      </c>
      <c r="H36" s="62" t="str">
        <f>all_data!I107</f>
        <v>Wossidlo-Gymnasium</v>
      </c>
    </row>
    <row r="37" spans="1:8" ht="15.75">
      <c r="A37" s="31">
        <v>34</v>
      </c>
      <c r="B37" s="106" t="str">
        <f>all_data!B100</f>
        <v>You Oush</v>
      </c>
      <c r="C37" s="57">
        <f>all_data!C100</f>
        <v>9.5</v>
      </c>
      <c r="D37" s="50">
        <f>all_data!D100</f>
        <v>0</v>
      </c>
      <c r="E37" s="52">
        <f>IF(all_data!E100="",0,all_data!E100)</f>
        <v>0</v>
      </c>
      <c r="F37" s="51">
        <f>all_data!F100</f>
        <v>1400</v>
      </c>
      <c r="G37" s="29" t="str">
        <f>all_data!H100</f>
        <v>Willi Karberg</v>
      </c>
      <c r="H37" s="62" t="str">
        <f>all_data!I100</f>
        <v>Wossidlo-Gymnasium</v>
      </c>
    </row>
    <row r="38" spans="1:8" ht="15.75">
      <c r="A38" s="31">
        <v>35</v>
      </c>
      <c r="B38" s="106" t="str">
        <f>all_data!B110</f>
        <v>My Fair Lady</v>
      </c>
      <c r="C38" s="57">
        <f>all_data!C110</f>
        <v>9.8000000000000007</v>
      </c>
      <c r="D38" s="50">
        <f>all_data!D110</f>
        <v>0</v>
      </c>
      <c r="E38" s="52">
        <f>IF(all_data!E110="",0,all_data!E110)</f>
        <v>0</v>
      </c>
      <c r="F38" s="51">
        <f>all_data!F110</f>
        <v>1863</v>
      </c>
      <c r="G38" s="29" t="str">
        <f>all_data!H110</f>
        <v>Julia Bernert</v>
      </c>
      <c r="H38" s="62" t="str">
        <f>all_data!I110</f>
        <v>Wossidlo-Gymnasium</v>
      </c>
    </row>
    <row r="39" spans="1:8" ht="25.5">
      <c r="A39" s="31">
        <v>36</v>
      </c>
      <c r="B39" s="106" t="str">
        <f>all_data!B80</f>
        <v>Donauwörther Nussschale</v>
      </c>
      <c r="C39" s="57">
        <f>all_data!C80</f>
        <v>9.5</v>
      </c>
      <c r="D39" s="50">
        <f>all_data!D80</f>
        <v>0</v>
      </c>
      <c r="E39" s="52">
        <f>IF(all_data!E80="",0,all_data!E80)</f>
        <v>0</v>
      </c>
      <c r="F39" s="51">
        <f>all_data!F80</f>
        <v>1000</v>
      </c>
      <c r="G39" s="29" t="str">
        <f>all_data!H80</f>
        <v>Gymnasium Donauwörth</v>
      </c>
      <c r="H39" s="62" t="str">
        <f>all_data!I80</f>
        <v>Gymnasium Donauwörth</v>
      </c>
    </row>
    <row r="40" spans="1:8" ht="15.75">
      <c r="A40" s="31">
        <v>37</v>
      </c>
      <c r="B40" s="106" t="str">
        <f>all_data!B94</f>
        <v>Black Pearl</v>
      </c>
      <c r="C40" s="57">
        <f>all_data!C94</f>
        <v>10.5</v>
      </c>
      <c r="D40" s="50">
        <f>all_data!D94</f>
        <v>0</v>
      </c>
      <c r="E40" s="52">
        <f>IF(all_data!E94="",0,all_data!E94)</f>
        <v>0</v>
      </c>
      <c r="F40" s="51">
        <f>all_data!F94</f>
        <v>1300</v>
      </c>
      <c r="G40" s="29" t="str">
        <f>all_data!H94</f>
        <v>Henning Venohr</v>
      </c>
      <c r="H40" s="62" t="str">
        <f>all_data!I94</f>
        <v>Wossidlo-Gymnasium</v>
      </c>
    </row>
    <row r="41" spans="1:8" ht="15.75">
      <c r="A41" s="31">
        <v>38</v>
      </c>
      <c r="B41" s="106" t="str">
        <f>all_data!B123</f>
        <v>und weg</v>
      </c>
      <c r="C41" s="57">
        <f>all_data!C123</f>
        <v>8.1999999999999993</v>
      </c>
      <c r="D41" s="50">
        <f>all_data!D123</f>
        <v>0</v>
      </c>
      <c r="E41" s="52">
        <f>IF(all_data!E123="",0,all_data!E123)</f>
        <v>0</v>
      </c>
      <c r="F41" s="51">
        <f>all_data!F123</f>
        <v>2000</v>
      </c>
      <c r="G41" s="29" t="str">
        <f>all_data!H123</f>
        <v>Hartmut Lüdtke</v>
      </c>
      <c r="H41" s="62">
        <f>all_data!I123</f>
        <v>0</v>
      </c>
    </row>
    <row r="42" spans="1:8" ht="15.75">
      <c r="A42" s="31">
        <v>39</v>
      </c>
      <c r="B42" s="106" t="str">
        <f>all_data!B129</f>
        <v>MS Mississippi</v>
      </c>
      <c r="C42" s="57">
        <f>all_data!C129</f>
        <v>9.5</v>
      </c>
      <c r="D42" s="50">
        <f>all_data!D129</f>
        <v>0</v>
      </c>
      <c r="E42" s="52">
        <f>IF(all_data!E129="",0,all_data!E129)</f>
        <v>0</v>
      </c>
      <c r="F42" s="51">
        <f>all_data!F129</f>
        <v>2250</v>
      </c>
      <c r="G42" s="29" t="str">
        <f>all_data!H129</f>
        <v>Benno Weischer</v>
      </c>
      <c r="H42" s="62">
        <f>all_data!I129</f>
        <v>0</v>
      </c>
    </row>
    <row r="43" spans="1:8" ht="25.5">
      <c r="A43" s="31">
        <v>40</v>
      </c>
      <c r="B43" s="106" t="str">
        <f>all_data!B128</f>
        <v>LINKS</v>
      </c>
      <c r="C43" s="57">
        <f>all_data!C128</f>
        <v>9.4</v>
      </c>
      <c r="D43" s="50">
        <f>all_data!D128</f>
        <v>0</v>
      </c>
      <c r="E43" s="52">
        <f>IF(all_data!E128="",0,all_data!E128)</f>
        <v>0</v>
      </c>
      <c r="F43" s="51">
        <f>all_data!F128</f>
        <v>2225</v>
      </c>
      <c r="G43" s="29" t="str">
        <f>all_data!H128</f>
        <v>Lina Sofie Scholz
Laura Groß</v>
      </c>
      <c r="H43" s="62">
        <f>all_data!I128</f>
        <v>0</v>
      </c>
    </row>
    <row r="44" spans="1:8" ht="25.5">
      <c r="A44" s="31">
        <v>41</v>
      </c>
      <c r="B44" s="106" t="str">
        <f>all_data!B79</f>
        <v>Donau-Dampfer</v>
      </c>
      <c r="C44" s="57">
        <f>all_data!C79</f>
        <v>9.1999999999999993</v>
      </c>
      <c r="D44" s="50">
        <f>all_data!D79</f>
        <v>0</v>
      </c>
      <c r="E44" s="52">
        <f>IF(all_data!E79="",0,all_data!E79)</f>
        <v>0</v>
      </c>
      <c r="F44" s="51">
        <f>all_data!F79</f>
        <v>1000</v>
      </c>
      <c r="G44" s="29" t="str">
        <f>all_data!H79</f>
        <v>Gymnasium Donauwörth</v>
      </c>
      <c r="H44" s="62" t="str">
        <f>all_data!I79</f>
        <v>Gymnasium Donauwörth</v>
      </c>
    </row>
    <row r="45" spans="1:8" ht="15.75">
      <c r="A45" s="31">
        <v>42</v>
      </c>
      <c r="B45" s="106" t="str">
        <f>all_data!B93</f>
        <v>MS Downstairs</v>
      </c>
      <c r="C45" s="57">
        <f>all_data!C93</f>
        <v>10</v>
      </c>
      <c r="D45" s="50">
        <f>all_data!D93</f>
        <v>0</v>
      </c>
      <c r="E45" s="52">
        <f>IF(all_data!E93="",0,all_data!E93)</f>
        <v>0</v>
      </c>
      <c r="F45" s="51">
        <f>all_data!F93</f>
        <v>1200</v>
      </c>
      <c r="G45" s="29" t="str">
        <f>all_data!H93</f>
        <v>Jonas Groth</v>
      </c>
      <c r="H45" s="62" t="str">
        <f>all_data!I93</f>
        <v>Wossidlo-Gymnasium</v>
      </c>
    </row>
    <row r="46" spans="1:8" ht="15.75">
      <c r="A46" s="31">
        <v>43</v>
      </c>
      <c r="B46" s="106" t="str">
        <f>all_data!B109</f>
        <v>MS Kargow</v>
      </c>
      <c r="C46" s="57">
        <f>all_data!C109</f>
        <v>9.4</v>
      </c>
      <c r="D46" s="50">
        <f>all_data!D109</f>
        <v>0</v>
      </c>
      <c r="E46" s="52">
        <f>IF(all_data!E109="",0,all_data!E109)</f>
        <v>0</v>
      </c>
      <c r="F46" s="51">
        <f>all_data!F109</f>
        <v>1800</v>
      </c>
      <c r="G46" s="29" t="str">
        <f>all_data!H109</f>
        <v>Maximilian Thurm</v>
      </c>
      <c r="H46" s="62" t="str">
        <f>all_data!I109</f>
        <v>Wossidlo-Gymnasium</v>
      </c>
    </row>
    <row r="47" spans="1:8" ht="15.75">
      <c r="A47" s="31">
        <v>44</v>
      </c>
      <c r="B47" s="106" t="str">
        <f>all_data!B97</f>
        <v>Puzzel 2</v>
      </c>
      <c r="C47" s="57">
        <f>all_data!C97</f>
        <v>9.1999999999999993</v>
      </c>
      <c r="D47" s="50">
        <f>all_data!D97</f>
        <v>0</v>
      </c>
      <c r="E47" s="52">
        <f>IF(all_data!E97="",0,all_data!E97)</f>
        <v>0</v>
      </c>
      <c r="F47" s="51">
        <f>all_data!F97</f>
        <v>1353</v>
      </c>
      <c r="G47" s="29" t="str">
        <f>all_data!H97</f>
        <v>Leonhard Stork</v>
      </c>
      <c r="H47" s="62" t="str">
        <f>all_data!I97</f>
        <v>Wossidlo-Gymnasium</v>
      </c>
    </row>
    <row r="48" spans="1:8" ht="15.75">
      <c r="A48" s="31">
        <v>45</v>
      </c>
      <c r="B48" s="106" t="str">
        <f>all_data!B111</f>
        <v>Ü-Boot</v>
      </c>
      <c r="C48" s="57">
        <f>all_data!C111</f>
        <v>9.8000000000000007</v>
      </c>
      <c r="D48" s="50">
        <f>all_data!D111</f>
        <v>0</v>
      </c>
      <c r="E48" s="52">
        <f>IF(all_data!E111="",0,all_data!E111)</f>
        <v>0</v>
      </c>
      <c r="F48" s="51">
        <f>all_data!F111</f>
        <v>1900</v>
      </c>
      <c r="G48" s="29" t="str">
        <f>all_data!H111</f>
        <v>Lars Erhard Düring</v>
      </c>
      <c r="H48" s="62" t="str">
        <f>all_data!I111</f>
        <v>Wossidlo-Gymnasium</v>
      </c>
    </row>
    <row r="49" spans="1:8" ht="25.5">
      <c r="A49" s="31">
        <v>46</v>
      </c>
      <c r="B49" s="106" t="str">
        <f>all_data!B83</f>
        <v>HAWK</v>
      </c>
      <c r="C49" s="57">
        <f>all_data!C83</f>
        <v>10</v>
      </c>
      <c r="D49" s="50">
        <f>all_data!D83</f>
        <v>0</v>
      </c>
      <c r="E49" s="52">
        <f>IF(all_data!E83="",0,all_data!E83)</f>
        <v>0</v>
      </c>
      <c r="F49" s="51">
        <f>all_data!F83</f>
        <v>1000</v>
      </c>
      <c r="G49" s="29" t="str">
        <f>all_data!H83</f>
        <v>Gymnasium Donauwörth</v>
      </c>
      <c r="H49" s="62" t="str">
        <f>all_data!I83</f>
        <v>Gymnasium Donauwörth</v>
      </c>
    </row>
    <row r="50" spans="1:8" ht="15.75">
      <c r="A50" s="31">
        <v>47</v>
      </c>
      <c r="B50" s="106" t="str">
        <f>all_data!B47</f>
        <v>TITANIK 2.0</v>
      </c>
      <c r="C50" s="57">
        <f>all_data!C47</f>
        <v>1.4</v>
      </c>
      <c r="D50" s="50">
        <f>all_data!D47</f>
        <v>0</v>
      </c>
      <c r="E50" s="52">
        <f>IF(all_data!E47="",0,all_data!E47)</f>
        <v>0</v>
      </c>
      <c r="F50" s="51">
        <f>all_data!F47</f>
        <v>8</v>
      </c>
      <c r="G50" s="29" t="str">
        <f>all_data!H47</f>
        <v>Jonas Dose</v>
      </c>
      <c r="H50" s="62" t="str">
        <f>all_data!I47</f>
        <v>Gymnasium Wellingdorf</v>
      </c>
    </row>
    <row r="51" spans="1:8" ht="15.75">
      <c r="A51" s="31">
        <v>48</v>
      </c>
      <c r="B51" s="106" t="str">
        <f>all_data!B99</f>
        <v>Poseidon</v>
      </c>
      <c r="C51" s="57">
        <f>all_data!C99</f>
        <v>8.6999999999999993</v>
      </c>
      <c r="D51" s="50">
        <f>all_data!D99</f>
        <v>0</v>
      </c>
      <c r="E51" s="52">
        <f>IF(all_data!E99="",0,all_data!E99)</f>
        <v>0</v>
      </c>
      <c r="F51" s="51">
        <f>all_data!F99</f>
        <v>1400</v>
      </c>
      <c r="G51" s="29" t="str">
        <f>all_data!H99</f>
        <v>Tobias Tulke</v>
      </c>
      <c r="H51" s="62" t="str">
        <f>all_data!I99</f>
        <v>Wossidlo-Gymnasium</v>
      </c>
    </row>
    <row r="52" spans="1:8" ht="51">
      <c r="A52" s="31">
        <v>49</v>
      </c>
      <c r="B52" s="106" t="str">
        <f>all_data!B72</f>
        <v>YOLO II</v>
      </c>
      <c r="C52" s="57">
        <f>all_data!C72</f>
        <v>6</v>
      </c>
      <c r="D52" s="50">
        <f>all_data!D72</f>
        <v>0</v>
      </c>
      <c r="E52" s="52">
        <f>IF(all_data!E72="",0,all_data!E72)</f>
        <v>0</v>
      </c>
      <c r="F52" s="51">
        <f>all_data!F72</f>
        <v>900</v>
      </c>
      <c r="G52" s="29" t="str">
        <f>all_data!H72</f>
        <v>Laura Sophie Nordheim
Melina Daucks
Swantje Geidus</v>
      </c>
      <c r="H52" s="62" t="str">
        <f>all_data!I72</f>
        <v>Gymnasium Wellingdorf</v>
      </c>
    </row>
    <row r="53" spans="1:8" ht="15.75">
      <c r="A53" s="31">
        <v>50</v>
      </c>
      <c r="B53" s="106" t="str">
        <f>all_data!B95</f>
        <v>Padnoaktnbhoct!</v>
      </c>
      <c r="C53" s="57">
        <f>all_data!C95</f>
        <v>5.3</v>
      </c>
      <c r="D53" s="50">
        <f>all_data!D95</f>
        <v>0</v>
      </c>
      <c r="E53" s="52">
        <f>IF(all_data!E95="",0,all_data!E95)</f>
        <v>0</v>
      </c>
      <c r="F53" s="51">
        <f>all_data!F95</f>
        <v>1300</v>
      </c>
      <c r="G53" s="29" t="str">
        <f>all_data!H95</f>
        <v>Tim Henning</v>
      </c>
      <c r="H53" s="62" t="str">
        <f>all_data!I95</f>
        <v>Wossidlo-Gymnasium</v>
      </c>
    </row>
    <row r="54" spans="1:8" ht="15.75">
      <c r="A54" s="31">
        <v>51</v>
      </c>
      <c r="B54" s="106" t="str">
        <f>all_data!B120</f>
        <v>Taifun</v>
      </c>
      <c r="C54" s="57">
        <f>all_data!C120</f>
        <v>10.199999999999999</v>
      </c>
      <c r="D54" s="50">
        <f>all_data!D120</f>
        <v>0</v>
      </c>
      <c r="E54" s="52">
        <f>IF(all_data!E120="",0,all_data!E120)</f>
        <v>0</v>
      </c>
      <c r="F54" s="51">
        <f>all_data!F120</f>
        <v>2000</v>
      </c>
      <c r="G54" s="29" t="str">
        <f>all_data!H120</f>
        <v>Gabriele Lüdtke</v>
      </c>
      <c r="H54" s="62">
        <f>all_data!I120</f>
        <v>0</v>
      </c>
    </row>
    <row r="55" spans="1:8" ht="25.5">
      <c r="A55" s="31">
        <v>52</v>
      </c>
      <c r="B55" s="106" t="str">
        <f>all_data!B89</f>
        <v>MS Unglaublich</v>
      </c>
      <c r="C55" s="57">
        <f>all_data!C89</f>
        <v>9.6999999999999993</v>
      </c>
      <c r="D55" s="50">
        <f>all_data!D89</f>
        <v>0</v>
      </c>
      <c r="E55" s="52">
        <f>IF(all_data!E89="",0,all_data!E89)</f>
        <v>0</v>
      </c>
      <c r="F55" s="51">
        <f>all_data!F89</f>
        <v>1000</v>
      </c>
      <c r="G55" s="29" t="str">
        <f>all_data!H89</f>
        <v>Gymnasium Donauwörth</v>
      </c>
      <c r="H55" s="62" t="str">
        <f>all_data!I89</f>
        <v>Gymnasium Donauwörth</v>
      </c>
    </row>
    <row r="56" spans="1:8" ht="15.75">
      <c r="A56" s="31">
        <v>53</v>
      </c>
      <c r="B56" s="106" t="str">
        <f>all_data!B116</f>
        <v>Königswasser B1</v>
      </c>
      <c r="C56" s="57">
        <f>all_data!C116</f>
        <v>9.8000000000000007</v>
      </c>
      <c r="D56" s="50">
        <f>all_data!D116</f>
        <v>0</v>
      </c>
      <c r="E56" s="52">
        <f>IF(all_data!E116="",0,all_data!E116)</f>
        <v>0</v>
      </c>
      <c r="F56" s="51">
        <f>all_data!F116</f>
        <v>2000</v>
      </c>
      <c r="G56" s="29" t="str">
        <f>all_data!H116</f>
        <v>Wolfgang Böttcher</v>
      </c>
      <c r="H56" s="62">
        <f>all_data!I116</f>
        <v>0</v>
      </c>
    </row>
    <row r="57" spans="1:8" ht="15.75">
      <c r="A57" s="31">
        <v>54</v>
      </c>
      <c r="B57" s="106" t="str">
        <f>all_data!B114</f>
        <v>Falter</v>
      </c>
      <c r="C57" s="57">
        <f>all_data!C114</f>
        <v>10.5</v>
      </c>
      <c r="D57" s="50">
        <f>all_data!D114</f>
        <v>0</v>
      </c>
      <c r="E57" s="52">
        <f>IF(all_data!E114="",0,all_data!E114)</f>
        <v>0</v>
      </c>
      <c r="F57" s="51">
        <f>all_data!F114</f>
        <v>2000</v>
      </c>
      <c r="G57" s="29" t="str">
        <f>all_data!H114</f>
        <v>Gabriele Lüdtke</v>
      </c>
      <c r="H57" s="62">
        <f>all_data!I114</f>
        <v>0</v>
      </c>
    </row>
    <row r="58" spans="1:8" ht="15.75">
      <c r="A58" s="31">
        <v>55</v>
      </c>
      <c r="B58" s="106" t="str">
        <f>all_data!B92</f>
        <v>Das sichere Schiff</v>
      </c>
      <c r="C58" s="57">
        <f>all_data!C92</f>
        <v>14</v>
      </c>
      <c r="D58" s="50">
        <f>all_data!D92</f>
        <v>0</v>
      </c>
      <c r="E58" s="52">
        <f>IF(all_data!E92="",0,all_data!E92)</f>
        <v>0</v>
      </c>
      <c r="F58" s="51">
        <f>all_data!F92</f>
        <v>1200</v>
      </c>
      <c r="G58" s="29" t="str">
        <f>all_data!H92</f>
        <v>Jacob Starkoff</v>
      </c>
      <c r="H58" s="62" t="str">
        <f>all_data!I92</f>
        <v>Wossidlo-Gymnasium</v>
      </c>
    </row>
    <row r="59" spans="1:8" ht="15.75">
      <c r="A59" s="31">
        <v>56</v>
      </c>
      <c r="B59" s="106" t="str">
        <f>all_data!B119</f>
        <v>N1H7</v>
      </c>
      <c r="C59" s="57">
        <f>all_data!C119</f>
        <v>8.6999999999999993</v>
      </c>
      <c r="D59" s="50">
        <f>all_data!D119</f>
        <v>0</v>
      </c>
      <c r="E59" s="52">
        <f>IF(all_data!E119="",0,all_data!E119)</f>
        <v>0</v>
      </c>
      <c r="F59" s="51">
        <f>all_data!F119</f>
        <v>2000</v>
      </c>
      <c r="G59" s="29" t="str">
        <f>all_data!H119</f>
        <v>Fredy Lüdtke</v>
      </c>
      <c r="H59" s="62">
        <f>all_data!I119</f>
        <v>0</v>
      </c>
    </row>
    <row r="60" spans="1:8" ht="25.5">
      <c r="A60" s="31">
        <v>57</v>
      </c>
      <c r="B60" s="106" t="str">
        <f>all_data!B81</f>
        <v>Hägars Galeere</v>
      </c>
      <c r="C60" s="57">
        <f>all_data!C81</f>
        <v>7.4</v>
      </c>
      <c r="D60" s="50">
        <f>all_data!D81</f>
        <v>0</v>
      </c>
      <c r="E60" s="52">
        <f>IF(all_data!E81="",0,all_data!E81)</f>
        <v>0</v>
      </c>
      <c r="F60" s="51">
        <f>all_data!F81</f>
        <v>1000</v>
      </c>
      <c r="G60" s="29" t="str">
        <f>all_data!H81</f>
        <v>Gymnasium Donauwörth</v>
      </c>
      <c r="H60" s="62" t="str">
        <f>all_data!I81</f>
        <v>Gymnasium Donauwörth</v>
      </c>
    </row>
    <row r="61" spans="1:8" ht="25.5">
      <c r="A61" s="31">
        <v>58</v>
      </c>
      <c r="B61" s="106" t="str">
        <f>all_data!B78</f>
        <v>CHARON</v>
      </c>
      <c r="C61" s="57">
        <f>all_data!C78</f>
        <v>9.6999999999999993</v>
      </c>
      <c r="D61" s="50">
        <f>all_data!D78</f>
        <v>0</v>
      </c>
      <c r="E61" s="52">
        <f>IF(all_data!E78="",0,all_data!E78)</f>
        <v>0</v>
      </c>
      <c r="F61" s="51">
        <f>all_data!F78</f>
        <v>1000</v>
      </c>
      <c r="G61" s="29" t="str">
        <f>all_data!H78</f>
        <v>Gymnasium Donauwörth</v>
      </c>
      <c r="H61" s="62" t="str">
        <f>all_data!I78</f>
        <v>Gymnasium Donauwörth</v>
      </c>
    </row>
    <row r="62" spans="1:8" ht="38.25">
      <c r="A62" s="31">
        <v>59</v>
      </c>
      <c r="B62" s="106" t="str">
        <f>all_data!B98</f>
        <v>Smoking Hippo</v>
      </c>
      <c r="C62" s="57">
        <f>all_data!C98</f>
        <v>9.6</v>
      </c>
      <c r="D62" s="50">
        <f>all_data!D98</f>
        <v>0</v>
      </c>
      <c r="E62" s="52">
        <f>IF(all_data!E98="",0,all_data!E98)</f>
        <v>0</v>
      </c>
      <c r="F62" s="51">
        <f>all_data!F98</f>
        <v>1397</v>
      </c>
      <c r="G62" s="29" t="str">
        <f>all_data!H98</f>
        <v>Nicola Brüninghoff
Konstantin Baune
Martin Truong</v>
      </c>
      <c r="H62" s="62" t="str">
        <f>all_data!I98</f>
        <v>Pascal Gymnasium Münster</v>
      </c>
    </row>
    <row r="63" spans="1:8" ht="38.25">
      <c r="A63" s="31">
        <v>60</v>
      </c>
      <c r="B63" s="106" t="str">
        <f>all_data!B88</f>
        <v>MEGGIE I</v>
      </c>
      <c r="C63" s="57">
        <f>all_data!C88</f>
        <v>8.9</v>
      </c>
      <c r="D63" s="50">
        <f>all_data!D88</f>
        <v>0</v>
      </c>
      <c r="E63" s="52">
        <f>IF(all_data!E88="",0,all_data!E88)</f>
        <v>0</v>
      </c>
      <c r="F63" s="51">
        <f>all_data!F88</f>
        <v>1000</v>
      </c>
      <c r="G63" s="29" t="str">
        <f>all_data!H88</f>
        <v>Mattis Elwert
Annika Block
Nina Baumann</v>
      </c>
      <c r="H63" s="62" t="str">
        <f>all_data!I88</f>
        <v>Gymnasium Wellingdorf</v>
      </c>
    </row>
    <row r="64" spans="1:8" ht="15.75">
      <c r="A64" s="31">
        <v>61</v>
      </c>
      <c r="B64" s="106" t="str">
        <f>all_data!B90</f>
        <v>S.S. Christofzik</v>
      </c>
      <c r="C64" s="57">
        <f>all_data!C90</f>
        <v>9.6999999999999993</v>
      </c>
      <c r="D64" s="50">
        <f>all_data!D90</f>
        <v>0</v>
      </c>
      <c r="E64" s="52">
        <f>IF(all_data!E90="",0,all_data!E90)</f>
        <v>0</v>
      </c>
      <c r="F64" s="51">
        <f>all_data!F90</f>
        <v>1000</v>
      </c>
      <c r="G64" s="29" t="str">
        <f>all_data!H90</f>
        <v>Sascha Christofzik</v>
      </c>
      <c r="H64" s="62" t="str">
        <f>all_data!I90</f>
        <v>Wossidlo-Gymnasium</v>
      </c>
    </row>
    <row r="65" spans="1:8" ht="15.75">
      <c r="A65" s="31">
        <v>62</v>
      </c>
      <c r="B65" s="106" t="str">
        <f>all_data!B24</f>
        <v>Hummelchen</v>
      </c>
      <c r="C65" s="57">
        <f>all_data!C24</f>
        <v>5.3</v>
      </c>
      <c r="D65" s="50">
        <f>all_data!D24</f>
        <v>0</v>
      </c>
      <c r="E65" s="52">
        <f>IF(all_data!E24="",0,all_data!E24)</f>
        <v>0</v>
      </c>
      <c r="F65" s="51">
        <f>all_data!F24</f>
        <v>1</v>
      </c>
      <c r="G65" s="29" t="str">
        <f>all_data!H24</f>
        <v>Nina Weinitschke</v>
      </c>
      <c r="H65" s="62" t="str">
        <f>all_data!I24</f>
        <v>Schloßgymnasium Gützkow</v>
      </c>
    </row>
    <row r="66" spans="1:8" ht="25.5">
      <c r="A66" s="31">
        <v>63</v>
      </c>
      <c r="B66" s="106" t="str">
        <f>all_data!B37</f>
        <v>Romba</v>
      </c>
      <c r="C66" s="57">
        <f>all_data!C37</f>
        <v>9.4</v>
      </c>
      <c r="D66" s="50">
        <f>all_data!D37</f>
        <v>0</v>
      </c>
      <c r="E66" s="52">
        <f>IF(all_data!E37="",0,all_data!E37)</f>
        <v>0</v>
      </c>
      <c r="F66" s="51">
        <f>all_data!F37</f>
        <v>1</v>
      </c>
      <c r="G66" s="29" t="str">
        <f>all_data!H37</f>
        <v>Maik Schoer
Robin Karpa</v>
      </c>
      <c r="H66" s="62" t="str">
        <f>all_data!I37</f>
        <v>Gymnasium Lüneburger Heide</v>
      </c>
    </row>
    <row r="67" spans="1:8" ht="15.75">
      <c r="A67" s="31">
        <v>64</v>
      </c>
      <c r="B67" s="106" t="str">
        <f>all_data!B122</f>
        <v>und da</v>
      </c>
      <c r="C67" s="57">
        <f>all_data!C122</f>
        <v>8.3000000000000007</v>
      </c>
      <c r="D67" s="50">
        <f>all_data!D122</f>
        <v>0</v>
      </c>
      <c r="E67" s="52">
        <f>IF(all_data!E122="",0,all_data!E122)</f>
        <v>0</v>
      </c>
      <c r="F67" s="51">
        <f>all_data!F122</f>
        <v>2000</v>
      </c>
      <c r="G67" s="29" t="str">
        <f>all_data!H122</f>
        <v>Hartmut Lüdtke</v>
      </c>
      <c r="H67" s="62">
        <f>all_data!I122</f>
        <v>0</v>
      </c>
    </row>
    <row r="68" spans="1:8" ht="25.5">
      <c r="A68" s="31">
        <v>65</v>
      </c>
      <c r="B68" s="106" t="str">
        <f>all_data!B12</f>
        <v>Black Beauty</v>
      </c>
      <c r="C68" s="57">
        <f>all_data!C12</f>
        <v>10</v>
      </c>
      <c r="D68" s="50">
        <f>all_data!D12</f>
        <v>0</v>
      </c>
      <c r="E68" s="52">
        <f>IF(all_data!E12="",0,all_data!E12)</f>
        <v>0</v>
      </c>
      <c r="F68" s="51">
        <f>all_data!F12</f>
        <v>1</v>
      </c>
      <c r="G68" s="29" t="str">
        <f>all_data!H12</f>
        <v>Ingrid Bierkamp-Nienkarken</v>
      </c>
      <c r="H68" s="62">
        <f>all_data!I12</f>
        <v>0</v>
      </c>
    </row>
    <row r="69" spans="1:8" ht="25.5">
      <c r="A69" s="31">
        <v>66</v>
      </c>
      <c r="B69" s="106" t="str">
        <f>all_data!B86</f>
        <v>LKS</v>
      </c>
      <c r="C69" s="57">
        <f>all_data!C86</f>
        <v>10</v>
      </c>
      <c r="D69" s="50">
        <f>all_data!D86</f>
        <v>0</v>
      </c>
      <c r="E69" s="52">
        <f>IF(all_data!E86="",0,all_data!E86)</f>
        <v>0</v>
      </c>
      <c r="F69" s="51">
        <f>all_data!F86</f>
        <v>1000</v>
      </c>
      <c r="G69" s="29" t="str">
        <f>all_data!H86</f>
        <v>Gymnasium Donauwörth</v>
      </c>
      <c r="H69" s="62" t="str">
        <f>all_data!I86</f>
        <v>Gymnasium Donauwörth</v>
      </c>
    </row>
    <row r="70" spans="1:8" ht="25.5">
      <c r="A70" s="31">
        <v>67</v>
      </c>
      <c r="B70" s="106" t="str">
        <f>all_data!B87</f>
        <v>Marco Polo</v>
      </c>
      <c r="C70" s="57">
        <f>all_data!C87</f>
        <v>8.3000000000000007</v>
      </c>
      <c r="D70" s="50">
        <f>all_data!D87</f>
        <v>0</v>
      </c>
      <c r="E70" s="52">
        <f>IF(all_data!E87="",0,all_data!E87)</f>
        <v>0</v>
      </c>
      <c r="F70" s="51">
        <f>all_data!F87</f>
        <v>1000</v>
      </c>
      <c r="G70" s="29" t="str">
        <f>all_data!H87</f>
        <v>Gymnasium Donauwörth</v>
      </c>
      <c r="H70" s="62" t="str">
        <f>all_data!I87</f>
        <v>Gymnasium Donauwörth</v>
      </c>
    </row>
    <row r="71" spans="1:8" ht="25.5">
      <c r="A71" s="31">
        <v>68</v>
      </c>
      <c r="B71" s="106" t="str">
        <f>all_data!B26</f>
        <v>L&amp;L</v>
      </c>
      <c r="C71" s="57">
        <f>all_data!C26</f>
        <v>8.9</v>
      </c>
      <c r="D71" s="50">
        <f>all_data!D26</f>
        <v>0</v>
      </c>
      <c r="E71" s="52">
        <f>IF(all_data!E26="",0,all_data!E26)</f>
        <v>0</v>
      </c>
      <c r="F71" s="51">
        <f>all_data!F26</f>
        <v>1</v>
      </c>
      <c r="G71" s="29" t="str">
        <f>all_data!H26</f>
        <v>Lukas Kollmer
Luca Theile</v>
      </c>
      <c r="H71" s="62" t="str">
        <f>all_data!I26</f>
        <v>Pascal Gymnasium Münster</v>
      </c>
    </row>
    <row r="72" spans="1:8" ht="15.75">
      <c r="A72" s="31">
        <v>69</v>
      </c>
      <c r="B72" s="106" t="str">
        <f>all_data!B66</f>
        <v>Derp-Boot!</v>
      </c>
      <c r="C72" s="57">
        <f>all_data!C66</f>
        <v>6.8</v>
      </c>
      <c r="D72" s="50">
        <f>all_data!D66</f>
        <v>0</v>
      </c>
      <c r="E72" s="52">
        <f>IF(all_data!E66="",0,all_data!E66)</f>
        <v>0</v>
      </c>
      <c r="F72" s="51">
        <f>all_data!F66</f>
        <v>800</v>
      </c>
      <c r="G72" s="29" t="str">
        <f>all_data!H66</f>
        <v>Kilian Rohde</v>
      </c>
      <c r="H72" s="62" t="str">
        <f>all_data!I66</f>
        <v>Wossidlo-Gymnasium</v>
      </c>
    </row>
    <row r="73" spans="1:8" ht="15.75">
      <c r="A73" s="31">
        <v>70</v>
      </c>
      <c r="B73" s="106" t="str">
        <f>all_data!B103</f>
        <v>Argo II</v>
      </c>
      <c r="C73" s="57">
        <f>all_data!C103</f>
        <v>9.6999999999999993</v>
      </c>
      <c r="D73" s="50">
        <f>all_data!D103</f>
        <v>0</v>
      </c>
      <c r="E73" s="52">
        <f>IF(all_data!E103="",0,all_data!E103)</f>
        <v>0</v>
      </c>
      <c r="F73" s="51">
        <f>all_data!F103</f>
        <v>1600</v>
      </c>
      <c r="G73" s="29" t="str">
        <f>all_data!H103</f>
        <v>Annika Schatz</v>
      </c>
      <c r="H73" s="62" t="str">
        <f>all_data!I103</f>
        <v>Wossidlo-Gymnasium</v>
      </c>
    </row>
    <row r="74" spans="1:8" ht="25.5">
      <c r="A74" s="31">
        <v>71</v>
      </c>
      <c r="B74" s="106" t="str">
        <f>all_data!B61</f>
        <v>Junior</v>
      </c>
      <c r="C74" s="57">
        <f>all_data!C61</f>
        <v>6.4</v>
      </c>
      <c r="D74" s="50">
        <f>all_data!D61</f>
        <v>0</v>
      </c>
      <c r="E74" s="52">
        <f>IF(all_data!E61="",0,all_data!E61)</f>
        <v>0</v>
      </c>
      <c r="F74" s="51">
        <f>all_data!F61</f>
        <v>648</v>
      </c>
      <c r="G74" s="29" t="str">
        <f>all_data!H61</f>
        <v>Jendrik Nase
Kevin Cao</v>
      </c>
      <c r="H74" s="62" t="str">
        <f>all_data!I61</f>
        <v>Gymnasium Wellingdorf</v>
      </c>
    </row>
    <row r="75" spans="1:8" ht="15.75">
      <c r="A75" s="31">
        <v>72</v>
      </c>
      <c r="B75" s="106" t="str">
        <f>all_data!B101</f>
        <v>MS. Langeweile</v>
      </c>
      <c r="C75" s="57">
        <f>all_data!C101</f>
        <v>9.8000000000000007</v>
      </c>
      <c r="D75" s="50">
        <f>all_data!D101</f>
        <v>0</v>
      </c>
      <c r="E75" s="52">
        <f>IF(all_data!E101="",0,all_data!E101)</f>
        <v>0</v>
      </c>
      <c r="F75" s="51">
        <f>all_data!F101</f>
        <v>1500</v>
      </c>
      <c r="G75" s="29" t="str">
        <f>all_data!H101</f>
        <v>Tim Schult</v>
      </c>
      <c r="H75" s="62" t="str">
        <f>all_data!I101</f>
        <v>Wossidlo-Gymnasium</v>
      </c>
    </row>
    <row r="76" spans="1:8" ht="25.5">
      <c r="A76" s="31">
        <v>73</v>
      </c>
      <c r="B76" s="106" t="str">
        <f>all_data!B43</f>
        <v>THW Kiel</v>
      </c>
      <c r="C76" s="57">
        <f>all_data!C43</f>
        <v>4.9000000000000004</v>
      </c>
      <c r="D76" s="50">
        <f>all_data!D43</f>
        <v>0</v>
      </c>
      <c r="E76" s="52">
        <f>IF(all_data!E43="",0,all_data!E43)</f>
        <v>0</v>
      </c>
      <c r="F76" s="51">
        <f>all_data!F43</f>
        <v>1</v>
      </c>
      <c r="G76" s="29" t="str">
        <f>all_data!H43</f>
        <v>Annika Block
Nina Baumann</v>
      </c>
      <c r="H76" s="62" t="str">
        <f>all_data!I43</f>
        <v>Gymnasium Wellingdorf</v>
      </c>
    </row>
    <row r="77" spans="1:8" ht="25.5">
      <c r="A77" s="31">
        <v>74</v>
      </c>
      <c r="B77" s="106" t="str">
        <f>all_data!B84</f>
        <v>JSM-XXL</v>
      </c>
      <c r="C77" s="57">
        <f>all_data!C84</f>
        <v>10.7</v>
      </c>
      <c r="D77" s="50">
        <f>all_data!D84</f>
        <v>0</v>
      </c>
      <c r="E77" s="52">
        <f>IF(all_data!E84="",0,all_data!E84)</f>
        <v>0</v>
      </c>
      <c r="F77" s="51">
        <f>all_data!F84</f>
        <v>1000</v>
      </c>
      <c r="G77" s="29" t="str">
        <f>all_data!H84</f>
        <v>Gymnasium Donauwörth</v>
      </c>
      <c r="H77" s="62" t="str">
        <f>all_data!I84</f>
        <v>Gymnasium Donauwörth</v>
      </c>
    </row>
    <row r="78" spans="1:8" ht="15.75">
      <c r="A78" s="31">
        <v>75</v>
      </c>
      <c r="B78" s="106" t="str">
        <f>all_data!B68</f>
        <v>Las Americas</v>
      </c>
      <c r="C78" s="57">
        <f>all_data!C68</f>
        <v>9.9</v>
      </c>
      <c r="D78" s="50">
        <f>all_data!D68</f>
        <v>0</v>
      </c>
      <c r="E78" s="52">
        <f>IF(all_data!E68="",0,all_data!E68)</f>
        <v>0</v>
      </c>
      <c r="F78" s="51">
        <f>all_data!F68</f>
        <v>800</v>
      </c>
      <c r="G78" s="29" t="str">
        <f>all_data!H68</f>
        <v>René Scheiermann</v>
      </c>
      <c r="H78" s="62" t="str">
        <f>all_data!I68</f>
        <v>Wossidlo-Gymnasium</v>
      </c>
    </row>
    <row r="79" spans="1:8" ht="38.25">
      <c r="A79" s="31">
        <v>76</v>
      </c>
      <c r="B79" s="106" t="str">
        <f>all_data!B44</f>
        <v>Titanic</v>
      </c>
      <c r="C79" s="57">
        <f>all_data!C44</f>
        <v>10.6</v>
      </c>
      <c r="D79" s="50">
        <f>all_data!D44</f>
        <v>0</v>
      </c>
      <c r="E79" s="52">
        <f>IF(all_data!E44="",0,all_data!E44)</f>
        <v>0</v>
      </c>
      <c r="F79" s="51">
        <f>all_data!F44</f>
        <v>1</v>
      </c>
      <c r="G79" s="29" t="str">
        <f>all_data!H44</f>
        <v>Jan Gabo
Jan Schmidt
Julian Hawellek</v>
      </c>
      <c r="H79" s="62" t="str">
        <f>all_data!I44</f>
        <v>Gymnasium Hankensbüttel</v>
      </c>
    </row>
    <row r="80" spans="1:8" ht="15.75">
      <c r="A80" s="31">
        <v>77</v>
      </c>
      <c r="B80" s="106" t="str">
        <f>all_data!B22</f>
        <v>Herzchen</v>
      </c>
      <c r="C80" s="57">
        <f>all_data!C22</f>
        <v>6.9</v>
      </c>
      <c r="D80" s="50">
        <f>all_data!D22</f>
        <v>0</v>
      </c>
      <c r="E80" s="52">
        <f>IF(all_data!E22="",0,all_data!E22)</f>
        <v>0</v>
      </c>
      <c r="F80" s="51">
        <f>all_data!F22</f>
        <v>1</v>
      </c>
      <c r="G80" s="29" t="str">
        <f>all_data!H22</f>
        <v>Melanie Koch</v>
      </c>
      <c r="H80" s="62" t="str">
        <f>all_data!I22</f>
        <v>Schloßgymnasium Gützkow</v>
      </c>
    </row>
    <row r="81" spans="1:8" ht="25.5">
      <c r="A81" s="31">
        <v>78</v>
      </c>
      <c r="B81" s="106" t="str">
        <f>all_data!B70</f>
        <v>Dunkelroter Oktober</v>
      </c>
      <c r="C81" s="57">
        <f>all_data!C70</f>
        <v>10</v>
      </c>
      <c r="D81" s="50">
        <f>all_data!D70</f>
        <v>0</v>
      </c>
      <c r="E81" s="52">
        <f>IF(all_data!E70="",0,all_data!E70)</f>
        <v>0</v>
      </c>
      <c r="F81" s="51">
        <f>all_data!F70</f>
        <v>900</v>
      </c>
      <c r="G81" s="29" t="str">
        <f>all_data!H70</f>
        <v>Lukas Lindow</v>
      </c>
      <c r="H81" s="62" t="str">
        <f>all_data!I70</f>
        <v>Wossidlo-Gymnasium</v>
      </c>
    </row>
    <row r="82" spans="1:8" ht="15.75">
      <c r="A82" s="31">
        <v>79</v>
      </c>
      <c r="B82" s="106" t="str">
        <f>all_data!B54</f>
        <v>zig-zag</v>
      </c>
      <c r="C82" s="57">
        <f>all_data!C54</f>
        <v>10.1</v>
      </c>
      <c r="D82" s="50">
        <f>all_data!D54</f>
        <v>0</v>
      </c>
      <c r="E82" s="52">
        <f>IF(all_data!E54="",0,all_data!E54)</f>
        <v>0</v>
      </c>
      <c r="F82" s="51">
        <f>all_data!F54</f>
        <v>300</v>
      </c>
      <c r="G82" s="29" t="str">
        <f>all_data!H54</f>
        <v>Jordan Petrow</v>
      </c>
      <c r="H82" s="62">
        <f>all_data!I54</f>
        <v>0</v>
      </c>
    </row>
    <row r="83" spans="1:8" ht="51">
      <c r="A83" s="31">
        <v>80</v>
      </c>
      <c r="B83" s="106" t="str">
        <f>all_data!B71</f>
        <v>YOLO I</v>
      </c>
      <c r="C83" s="57">
        <f>all_data!C71</f>
        <v>9.5</v>
      </c>
      <c r="D83" s="50">
        <f>all_data!D71</f>
        <v>0</v>
      </c>
      <c r="E83" s="52">
        <f>IF(all_data!E71="",0,all_data!E71)</f>
        <v>0</v>
      </c>
      <c r="F83" s="51">
        <f>all_data!F71</f>
        <v>900</v>
      </c>
      <c r="G83" s="29" t="str">
        <f>all_data!H71</f>
        <v>Laura Sophie Nordheim
Melina Daucks
Swantje Geidus</v>
      </c>
      <c r="H83" s="62" t="str">
        <f>all_data!I71</f>
        <v>Gymnasium Wellingdorf</v>
      </c>
    </row>
    <row r="84" spans="1:8" ht="15.75">
      <c r="A84" s="31">
        <v>81</v>
      </c>
      <c r="B84" s="106" t="str">
        <f>all_data!B74</f>
        <v>Dornauge</v>
      </c>
      <c r="C84" s="57">
        <f>all_data!C74</f>
        <v>8.6999999999999993</v>
      </c>
      <c r="D84" s="50">
        <f>all_data!D74</f>
        <v>0</v>
      </c>
      <c r="E84" s="52">
        <f>IF(all_data!E74="",0,all_data!E74)</f>
        <v>0</v>
      </c>
      <c r="F84" s="51">
        <f>all_data!F74</f>
        <v>964</v>
      </c>
      <c r="G84" s="29" t="str">
        <f>all_data!H74</f>
        <v>Jonas Arendt</v>
      </c>
      <c r="H84" s="62" t="str">
        <f>all_data!I74</f>
        <v>Gymnasium Wellingdorf</v>
      </c>
    </row>
    <row r="85" spans="1:8" ht="15.75">
      <c r="A85" s="31">
        <v>82</v>
      </c>
      <c r="B85" s="106" t="str">
        <f>all_data!B23</f>
        <v>HMS Unsinkbar</v>
      </c>
      <c r="C85" s="57">
        <f>all_data!C23</f>
        <v>8.1999999999999993</v>
      </c>
      <c r="D85" s="50">
        <f>all_data!D23</f>
        <v>0</v>
      </c>
      <c r="E85" s="52">
        <f>IF(all_data!E23="",0,all_data!E23)</f>
        <v>0</v>
      </c>
      <c r="F85" s="51">
        <f>all_data!F23</f>
        <v>1</v>
      </c>
      <c r="G85" s="29" t="str">
        <f>all_data!H23</f>
        <v>Fabian Burghart</v>
      </c>
      <c r="H85" s="62" t="str">
        <f>all_data!I23</f>
        <v>Ernst-Abbe-Gymnasium</v>
      </c>
    </row>
    <row r="86" spans="1:8" ht="25.5">
      <c r="A86" s="31">
        <v>83</v>
      </c>
      <c r="B86" s="106" t="str">
        <f>all_data!B25</f>
        <v>Jolo</v>
      </c>
      <c r="C86" s="57">
        <f>all_data!C25</f>
        <v>9.4</v>
      </c>
      <c r="D86" s="50">
        <f>all_data!D25</f>
        <v>0</v>
      </c>
      <c r="E86" s="52">
        <f>IF(all_data!E25="",0,all_data!E25)</f>
        <v>0</v>
      </c>
      <c r="F86" s="51">
        <f>all_data!F25</f>
        <v>1</v>
      </c>
      <c r="G86" s="29" t="str">
        <f>all_data!H25</f>
        <v>Lukas Hannebohm
Jasper Morgenstern</v>
      </c>
      <c r="H86" s="62" t="str">
        <f>all_data!I25</f>
        <v>Gymnasium Lüneburger Heide</v>
      </c>
    </row>
    <row r="87" spans="1:8" ht="15.75">
      <c r="A87" s="31">
        <v>84</v>
      </c>
      <c r="B87" s="106" t="str">
        <f>all_data!B8</f>
        <v>AIDA Hannes</v>
      </c>
      <c r="C87" s="57">
        <f>all_data!C8</f>
        <v>9.4</v>
      </c>
      <c r="D87" s="50">
        <f>all_data!D8</f>
        <v>0</v>
      </c>
      <c r="E87" s="52">
        <f>IF(all_data!E8="",0,all_data!E8)</f>
        <v>0</v>
      </c>
      <c r="F87" s="51">
        <f>all_data!F8</f>
        <v>1</v>
      </c>
      <c r="G87" s="29" t="str">
        <f>all_data!H8</f>
        <v>Hannes Lübke</v>
      </c>
      <c r="H87" s="62" t="str">
        <f>all_data!I8</f>
        <v>Wossidlo-Gymnasium</v>
      </c>
    </row>
    <row r="88" spans="1:8" ht="15.75">
      <c r="A88" s="31">
        <v>85</v>
      </c>
      <c r="B88" s="106" t="str">
        <f>all_data!B85</f>
        <v>Le boat de Hannes</v>
      </c>
      <c r="C88" s="57">
        <f>all_data!C85</f>
        <v>9.1999999999999993</v>
      </c>
      <c r="D88" s="50">
        <f>all_data!D85</f>
        <v>0</v>
      </c>
      <c r="E88" s="52">
        <f>IF(all_data!E85="",0,all_data!E85)</f>
        <v>0</v>
      </c>
      <c r="F88" s="51">
        <f>all_data!F85</f>
        <v>1000</v>
      </c>
      <c r="G88" s="29" t="str">
        <f>all_data!H85</f>
        <v>Hannes Lübke</v>
      </c>
      <c r="H88" s="62" t="str">
        <f>all_data!I85</f>
        <v>Wossidlo-Gymnasium</v>
      </c>
    </row>
    <row r="89" spans="1:8" ht="15.75">
      <c r="A89" s="31">
        <v>86</v>
      </c>
      <c r="B89" s="106" t="str">
        <f>all_data!B56</f>
        <v>1002</v>
      </c>
      <c r="C89" s="57">
        <f>all_data!C56</f>
        <v>10</v>
      </c>
      <c r="D89" s="50">
        <f>all_data!D56</f>
        <v>0</v>
      </c>
      <c r="E89" s="52">
        <f>IF(all_data!E56="",0,all_data!E56)</f>
        <v>0</v>
      </c>
      <c r="F89" s="51">
        <f>all_data!F56</f>
        <v>500</v>
      </c>
      <c r="G89" s="29" t="str">
        <f>all_data!H56</f>
        <v>Katrin Schad</v>
      </c>
      <c r="H89" s="62" t="str">
        <f>all_data!I56</f>
        <v>Ernst-Abbe-Gymnasium</v>
      </c>
    </row>
    <row r="90" spans="1:8" ht="15.75">
      <c r="A90" s="31">
        <v>87</v>
      </c>
      <c r="B90" s="106" t="str">
        <f>all_data!B138</f>
        <v>Corny II 2013</v>
      </c>
      <c r="C90" s="57">
        <f>all_data!C138</f>
        <v>11.3</v>
      </c>
      <c r="D90" s="50">
        <f>all_data!D138</f>
        <v>0</v>
      </c>
      <c r="E90" s="52">
        <f>IF(all_data!E138="",0,all_data!E138)</f>
        <v>0</v>
      </c>
      <c r="F90" s="51">
        <f>all_data!F138</f>
        <v>4500</v>
      </c>
      <c r="G90" s="29" t="str">
        <f>all_data!H138</f>
        <v>C. Cornilsen</v>
      </c>
      <c r="H90" s="62" t="str">
        <f>all_data!I138</f>
        <v>Jungmannschule Eckernförde</v>
      </c>
    </row>
    <row r="91" spans="1:8" ht="15.75">
      <c r="A91" s="31">
        <v>88</v>
      </c>
      <c r="B91" s="106" t="str">
        <f>all_data!B75</f>
        <v>Bennet</v>
      </c>
      <c r="C91" s="57">
        <f>all_data!C75</f>
        <v>9.5</v>
      </c>
      <c r="D91" s="50">
        <f>all_data!D75</f>
        <v>0</v>
      </c>
      <c r="E91" s="52">
        <f>IF(all_data!E75="",0,all_data!E75)</f>
        <v>0</v>
      </c>
      <c r="F91" s="51">
        <f>all_data!F75</f>
        <v>1000</v>
      </c>
      <c r="G91" s="29" t="str">
        <f>all_data!H75</f>
        <v>Hannes Pries</v>
      </c>
      <c r="H91" s="62" t="str">
        <f>all_data!I75</f>
        <v>Jungmannschule Eckernförde</v>
      </c>
    </row>
    <row r="92" spans="1:8" ht="25.5">
      <c r="A92" s="31">
        <v>89</v>
      </c>
      <c r="B92" s="106" t="str">
        <f>all_data!B132</f>
        <v>Silberhauch</v>
      </c>
      <c r="C92" s="57">
        <f>all_data!C132</f>
        <v>10</v>
      </c>
      <c r="D92" s="50">
        <f>all_data!D132</f>
        <v>0</v>
      </c>
      <c r="E92" s="52">
        <f>IF(all_data!E132="",0,all_data!E132)</f>
        <v>0</v>
      </c>
      <c r="F92" s="51">
        <f>all_data!F132</f>
        <v>2800</v>
      </c>
      <c r="G92" s="29" t="str">
        <f>all_data!H132</f>
        <v>Marieke Hollje
Frank Pinte Hollje</v>
      </c>
      <c r="H92" s="62">
        <f>all_data!I132</f>
        <v>0</v>
      </c>
    </row>
    <row r="93" spans="1:8" ht="38.25">
      <c r="A93" s="31">
        <v>90</v>
      </c>
      <c r="B93" s="106" t="str">
        <f>all_data!B15</f>
        <v>Boot 1</v>
      </c>
      <c r="C93" s="57">
        <f>all_data!C15</f>
        <v>10.1</v>
      </c>
      <c r="D93" s="50">
        <f>all_data!D15</f>
        <v>0</v>
      </c>
      <c r="E93" s="52">
        <f>IF(all_data!E15="",0,all_data!E15)</f>
        <v>0</v>
      </c>
      <c r="F93" s="51">
        <f>all_data!F15</f>
        <v>1</v>
      </c>
      <c r="G93" s="29" t="str">
        <f>all_data!H15</f>
        <v>Til Salewski
Vincent Niemann
Marvin Wodrich</v>
      </c>
      <c r="H93" s="62" t="str">
        <f>all_data!I15</f>
        <v>Schloßgymnasium Gützkow</v>
      </c>
    </row>
    <row r="94" spans="1:8" ht="15.75">
      <c r="A94" s="31">
        <v>91</v>
      </c>
      <c r="B94" s="106" t="str">
        <f>all_data!B18</f>
        <v>Die rote Rose</v>
      </c>
      <c r="C94" s="57">
        <f>all_data!C18</f>
        <v>9.5</v>
      </c>
      <c r="D94" s="50">
        <f>all_data!D18</f>
        <v>0</v>
      </c>
      <c r="E94" s="52">
        <f>IF(all_data!E18="",0,all_data!E18)</f>
        <v>0</v>
      </c>
      <c r="F94" s="51">
        <f>all_data!F18</f>
        <v>1</v>
      </c>
      <c r="G94" s="29" t="str">
        <f>all_data!H18</f>
        <v>Hannah Reichelt</v>
      </c>
      <c r="H94" s="62">
        <f>all_data!I18</f>
        <v>0</v>
      </c>
    </row>
    <row r="95" spans="1:8" ht="15.75">
      <c r="A95" s="31">
        <v>92</v>
      </c>
      <c r="B95" s="106" t="str">
        <f>all_data!B34</f>
        <v>Plus</v>
      </c>
      <c r="C95" s="57">
        <f>all_data!C34</f>
        <v>9.1999999999999993</v>
      </c>
      <c r="D95" s="50">
        <f>all_data!D34</f>
        <v>0</v>
      </c>
      <c r="E95" s="52">
        <f>IF(all_data!E34="",0,all_data!E34)</f>
        <v>0</v>
      </c>
      <c r="F95" s="51">
        <f>all_data!F34</f>
        <v>1</v>
      </c>
      <c r="G95" s="29" t="str">
        <f>all_data!H34</f>
        <v>Sebastian Graef</v>
      </c>
      <c r="H95" s="62" t="str">
        <f>all_data!I34</f>
        <v>Ernst-Abbe-Gymnasium</v>
      </c>
    </row>
    <row r="96" spans="1:8" ht="51">
      <c r="A96" s="31">
        <v>93</v>
      </c>
      <c r="B96" s="106" t="str">
        <f>all_data!B59</f>
        <v>Brjamota</v>
      </c>
      <c r="C96" s="57">
        <f>all_data!C59</f>
        <v>5.9</v>
      </c>
      <c r="D96" s="50">
        <f>all_data!D59</f>
        <v>0</v>
      </c>
      <c r="E96" s="52">
        <f>IF(all_data!E59="",0,all_data!E59)</f>
        <v>0</v>
      </c>
      <c r="F96" s="51">
        <f>all_data!F59</f>
        <v>600</v>
      </c>
      <c r="G96" s="29" t="str">
        <f>all_data!H59</f>
        <v>Tanja Dreves
Breskel Yosef
Jana Lenz
Moritz Steffens</v>
      </c>
      <c r="H96" s="62" t="str">
        <f>all_data!I59</f>
        <v>Bertha von Suttner Schule</v>
      </c>
    </row>
    <row r="97" spans="1:8" ht="15.75">
      <c r="A97" s="31">
        <v>94</v>
      </c>
      <c r="B97" s="106" t="str">
        <f>all_data!B20</f>
        <v>Fritzinchen</v>
      </c>
      <c r="C97" s="57">
        <f>all_data!C20</f>
        <v>7.8</v>
      </c>
      <c r="D97" s="50">
        <f>all_data!D20</f>
        <v>0</v>
      </c>
      <c r="E97" s="52">
        <f>IF(all_data!E20="",0,all_data!E20)</f>
        <v>0</v>
      </c>
      <c r="F97" s="51">
        <f>all_data!F20</f>
        <v>1</v>
      </c>
      <c r="G97" s="29" t="str">
        <f>all_data!H20</f>
        <v>Sina-Maria Hofmann</v>
      </c>
      <c r="H97" s="62" t="str">
        <f>all_data!I20</f>
        <v>Ernst-Abbe-Gymnasium</v>
      </c>
    </row>
    <row r="98" spans="1:8" ht="15.75">
      <c r="A98" s="31">
        <v>95</v>
      </c>
      <c r="B98" s="106" t="str">
        <f>all_data!B52</f>
        <v>Pinky</v>
      </c>
      <c r="C98" s="57">
        <f>all_data!C52</f>
        <v>10</v>
      </c>
      <c r="D98" s="50">
        <f>all_data!D52</f>
        <v>0</v>
      </c>
      <c r="E98" s="52">
        <f>IF(all_data!E52="",0,all_data!E52)</f>
        <v>0</v>
      </c>
      <c r="F98" s="51">
        <f>all_data!F52</f>
        <v>220</v>
      </c>
      <c r="G98" s="29" t="str">
        <f>all_data!H52</f>
        <v>Theresa Lindig</v>
      </c>
      <c r="H98" s="62" t="str">
        <f>all_data!I52</f>
        <v>Ernst-Abbe-Gymnasium</v>
      </c>
    </row>
    <row r="99" spans="1:8" ht="38.25">
      <c r="A99" s="31">
        <v>96</v>
      </c>
      <c r="B99" s="106" t="str">
        <f>all_data!B69</f>
        <v>Kyleyb</v>
      </c>
      <c r="C99" s="57">
        <f>all_data!C69</f>
        <v>9.8000000000000007</v>
      </c>
      <c r="D99" s="50">
        <f>all_data!D69</f>
        <v>0</v>
      </c>
      <c r="E99" s="52">
        <f>IF(all_data!E69="",0,all_data!E69)</f>
        <v>0</v>
      </c>
      <c r="F99" s="51">
        <f>all_data!F69</f>
        <v>876</v>
      </c>
      <c r="G99" s="29" t="str">
        <f>all_data!H69</f>
        <v>Oliver Meseck
Enis Bilgi
Ramsen Toma</v>
      </c>
      <c r="H99" s="62" t="str">
        <f>all_data!I69</f>
        <v>Gymnasium Wellingdorf</v>
      </c>
    </row>
    <row r="100" spans="1:8" ht="25.5">
      <c r="A100" s="31">
        <v>97</v>
      </c>
      <c r="B100" s="106" t="str">
        <f>all_data!B127</f>
        <v>Elfenblüte</v>
      </c>
      <c r="C100" s="57">
        <f>all_data!C127</f>
        <v>10.4</v>
      </c>
      <c r="D100" s="50">
        <f>all_data!D127</f>
        <v>0</v>
      </c>
      <c r="E100" s="52">
        <f>IF(all_data!E127="",0,all_data!E127)</f>
        <v>0</v>
      </c>
      <c r="F100" s="51">
        <f>all_data!F127</f>
        <v>2200</v>
      </c>
      <c r="G100" s="29" t="str">
        <f>all_data!H127</f>
        <v>Marieke Hollje
Frank Pinte Hollje</v>
      </c>
      <c r="H100" s="62">
        <f>all_data!I127</f>
        <v>0</v>
      </c>
    </row>
    <row r="101" spans="1:8" ht="15.75">
      <c r="A101" s="31">
        <v>98</v>
      </c>
      <c r="B101" s="106" t="str">
        <f>all_data!B4</f>
        <v>1108</v>
      </c>
      <c r="C101" s="57">
        <f>all_data!C4</f>
        <v>8.5</v>
      </c>
      <c r="D101" s="50">
        <f>all_data!D4</f>
        <v>0</v>
      </c>
      <c r="E101" s="52">
        <f>IF(all_data!E4="",0,all_data!E4)</f>
        <v>0</v>
      </c>
      <c r="F101" s="51">
        <f>all_data!F4</f>
        <v>1</v>
      </c>
      <c r="G101" s="29" t="str">
        <f>all_data!H4</f>
        <v>Marius Müller</v>
      </c>
      <c r="H101" s="62" t="str">
        <f>all_data!I4</f>
        <v>Ernst-Abbe-Gymnasium</v>
      </c>
    </row>
    <row r="102" spans="1:8" ht="15.75">
      <c r="A102" s="31">
        <v>99</v>
      </c>
      <c r="B102" s="106" t="str">
        <f>all_data!B27</f>
        <v>Lasse</v>
      </c>
      <c r="C102" s="57">
        <f>all_data!C27</f>
        <v>7.5</v>
      </c>
      <c r="D102" s="50">
        <f>all_data!D27</f>
        <v>0</v>
      </c>
      <c r="E102" s="52">
        <f>IF(all_data!E27="",0,all_data!E27)</f>
        <v>0</v>
      </c>
      <c r="F102" s="51">
        <f>all_data!F27</f>
        <v>1</v>
      </c>
      <c r="G102" s="29" t="str">
        <f>all_data!H27</f>
        <v>Lasse Berner</v>
      </c>
      <c r="H102" s="62" t="str">
        <f>all_data!I27</f>
        <v>Gymnasium Papenburg</v>
      </c>
    </row>
    <row r="103" spans="1:8" ht="15.75">
      <c r="A103" s="31">
        <v>100</v>
      </c>
      <c r="B103" s="106" t="str">
        <f>all_data!B96</f>
        <v>MS Raid</v>
      </c>
      <c r="C103" s="57">
        <f>all_data!C96</f>
        <v>8.4</v>
      </c>
      <c r="D103" s="50">
        <f>all_data!D96</f>
        <v>0</v>
      </c>
      <c r="E103" s="52">
        <f>IF(all_data!E96="",0,all_data!E96)</f>
        <v>0</v>
      </c>
      <c r="F103" s="51">
        <f>all_data!F96</f>
        <v>1350</v>
      </c>
      <c r="G103" s="29" t="str">
        <f>all_data!H96</f>
        <v>Robin Paul Staroske</v>
      </c>
      <c r="H103" s="62" t="str">
        <f>all_data!I96</f>
        <v>Wossidlo-Gymnasium</v>
      </c>
    </row>
    <row r="104" spans="1:8" ht="38.25">
      <c r="A104" s="31">
        <v>101</v>
      </c>
      <c r="B104" s="106" t="str">
        <f>all_data!B9</f>
        <v>Allegro</v>
      </c>
      <c r="C104" s="57">
        <f>all_data!C9</f>
        <v>9.4</v>
      </c>
      <c r="D104" s="50">
        <f>all_data!D9</f>
        <v>0</v>
      </c>
      <c r="E104" s="52">
        <f>IF(all_data!E9="",0,all_data!E9)</f>
        <v>0</v>
      </c>
      <c r="F104" s="51">
        <f>all_data!F9</f>
        <v>1</v>
      </c>
      <c r="G104" s="29" t="str">
        <f>all_data!H9</f>
        <v>Björn Ehlbeck
Hannes Kröchert
Pascal Odebrecht</v>
      </c>
      <c r="H104" s="62" t="str">
        <f>all_data!I9</f>
        <v>Schloßgymnasium Gützkow</v>
      </c>
    </row>
    <row r="105" spans="1:8" ht="25.5">
      <c r="A105" s="31">
        <v>102</v>
      </c>
      <c r="B105" s="106" t="str">
        <f>all_data!B133</f>
        <v>Revolutio</v>
      </c>
      <c r="C105" s="57">
        <f>all_data!C133</f>
        <v>11.2</v>
      </c>
      <c r="D105" s="50">
        <f>all_data!D133</f>
        <v>0</v>
      </c>
      <c r="E105" s="52">
        <f>IF(all_data!E133="",0,all_data!E133)</f>
        <v>0</v>
      </c>
      <c r="F105" s="51">
        <f>all_data!F133</f>
        <v>2900</v>
      </c>
      <c r="G105" s="29" t="str">
        <f>all_data!H133</f>
        <v>Jacobo Fuentes Arévalo</v>
      </c>
      <c r="H105" s="62" t="str">
        <f>all_data!I133</f>
        <v>Polytechnic University of Madrid</v>
      </c>
    </row>
    <row r="106" spans="1:8" ht="38.25">
      <c r="A106" s="31">
        <v>103</v>
      </c>
      <c r="B106" s="106" t="str">
        <f>all_data!B10</f>
        <v>Avalon</v>
      </c>
      <c r="C106" s="57">
        <f>all_data!C10</f>
        <v>12</v>
      </c>
      <c r="D106" s="50">
        <f>all_data!D10</f>
        <v>0</v>
      </c>
      <c r="E106" s="52">
        <f>IF(all_data!E10="",0,all_data!E10)</f>
        <v>0</v>
      </c>
      <c r="F106" s="51">
        <f>all_data!F10</f>
        <v>1</v>
      </c>
      <c r="G106" s="29" t="str">
        <f>all_data!H10</f>
        <v>Milad Ghulham Rasol
Tom Bösing
Ahmed Younes</v>
      </c>
      <c r="H106" s="62" t="str">
        <f>all_data!I10</f>
        <v>Pascal Gymnasium Münster</v>
      </c>
    </row>
    <row r="107" spans="1:8" ht="15.75">
      <c r="A107" s="31">
        <v>104</v>
      </c>
      <c r="B107" s="106" t="str">
        <f>all_data!B64</f>
        <v>MS Oscar</v>
      </c>
      <c r="C107" s="57">
        <f>all_data!C64</f>
        <v>10.5</v>
      </c>
      <c r="D107" s="50">
        <f>all_data!D64</f>
        <v>0</v>
      </c>
      <c r="E107" s="52">
        <f>IF(all_data!E64="",0,all_data!E64)</f>
        <v>0</v>
      </c>
      <c r="F107" s="51">
        <f>all_data!F64</f>
        <v>750</v>
      </c>
      <c r="G107" s="29" t="str">
        <f>all_data!H64</f>
        <v>Leon Pecat</v>
      </c>
      <c r="H107" s="62" t="str">
        <f>all_data!I64</f>
        <v>Wossidlo-Gymnasium</v>
      </c>
    </row>
    <row r="108" spans="1:8" ht="25.5">
      <c r="A108" s="31">
        <v>105</v>
      </c>
      <c r="B108" s="106" t="str">
        <f>all_data!B29</f>
        <v>Marken Discount</v>
      </c>
      <c r="C108" s="57">
        <f>all_data!C29</f>
        <v>14.8</v>
      </c>
      <c r="D108" s="50">
        <f>all_data!D29</f>
        <v>0</v>
      </c>
      <c r="E108" s="52">
        <f>IF(all_data!E29="",0,all_data!E29)</f>
        <v>0</v>
      </c>
      <c r="F108" s="51">
        <f>all_data!F29</f>
        <v>1</v>
      </c>
      <c r="G108" s="29" t="str">
        <f>all_data!H29</f>
        <v>Paul Rassmus
Sebastian Peck</v>
      </c>
      <c r="H108" s="62" t="str">
        <f>all_data!I29</f>
        <v>Schloßgymnasium Gützkow</v>
      </c>
    </row>
    <row r="109" spans="1:8" ht="15.75">
      <c r="A109" s="31">
        <v>106</v>
      </c>
      <c r="B109" s="106" t="str">
        <f>all_data!B19</f>
        <v>Exxon Valdez</v>
      </c>
      <c r="C109" s="57">
        <f>all_data!C19</f>
        <v>4.5</v>
      </c>
      <c r="D109" s="50">
        <f>all_data!D19</f>
        <v>0</v>
      </c>
      <c r="E109" s="52">
        <f>IF(all_data!E19="",0,all_data!E19)</f>
        <v>0</v>
      </c>
      <c r="F109" s="51">
        <f>all_data!F19</f>
        <v>1</v>
      </c>
      <c r="G109" s="29" t="str">
        <f>all_data!H19</f>
        <v>Ann Sophie Pruchner</v>
      </c>
      <c r="H109" s="62" t="str">
        <f>all_data!I19</f>
        <v>Ernst-Abbe-Gymnasium</v>
      </c>
    </row>
    <row r="110" spans="1:8" ht="15.75">
      <c r="A110" s="31">
        <v>107</v>
      </c>
      <c r="B110" s="106" t="str">
        <f>all_data!B11</f>
        <v>Backpapier</v>
      </c>
      <c r="C110" s="57">
        <f>all_data!C11</f>
        <v>9.3000000000000007</v>
      </c>
      <c r="D110" s="50">
        <f>all_data!D11</f>
        <v>0</v>
      </c>
      <c r="E110" s="52">
        <f>IF(all_data!E11="",0,all_data!E11)</f>
        <v>0</v>
      </c>
      <c r="F110" s="51">
        <f>all_data!F11</f>
        <v>1</v>
      </c>
      <c r="G110" s="29" t="str">
        <f>all_data!H11</f>
        <v>unbekannt</v>
      </c>
      <c r="H110" s="62" t="str">
        <f>all_data!I11</f>
        <v>Ernst-Abbe-Gymnasium</v>
      </c>
    </row>
    <row r="111" spans="1:8" ht="15.75">
      <c r="A111" s="31">
        <v>108</v>
      </c>
      <c r="B111" s="106" t="str">
        <f>all_data!B35</f>
        <v>Powerschiff 13</v>
      </c>
      <c r="C111" s="57">
        <f>all_data!C35</f>
        <v>9.1999999999999993</v>
      </c>
      <c r="D111" s="50">
        <f>all_data!D35</f>
        <v>0</v>
      </c>
      <c r="E111" s="52">
        <f>IF(all_data!E35="",0,all_data!E35)</f>
        <v>0</v>
      </c>
      <c r="F111" s="51">
        <f>all_data!F35</f>
        <v>1</v>
      </c>
      <c r="G111" s="29" t="str">
        <f>all_data!H35</f>
        <v>Caroline Renner</v>
      </c>
      <c r="H111" s="62" t="str">
        <f>all_data!I35</f>
        <v>Ernst-Abbe-Gymnasium</v>
      </c>
    </row>
    <row r="112" spans="1:8" ht="15.75">
      <c r="A112" s="31">
        <v>109</v>
      </c>
      <c r="B112" s="106" t="str">
        <f>all_data!B7</f>
        <v>Ahoi</v>
      </c>
      <c r="C112" s="57">
        <f>all_data!C7</f>
        <v>9</v>
      </c>
      <c r="D112" s="50">
        <f>all_data!D7</f>
        <v>0</v>
      </c>
      <c r="E112" s="52">
        <f>IF(all_data!E7="",0,all_data!E7)</f>
        <v>0</v>
      </c>
      <c r="F112" s="51">
        <f>all_data!F7</f>
        <v>1</v>
      </c>
      <c r="G112" s="29" t="str">
        <f>all_data!H7</f>
        <v>Christian Fritz</v>
      </c>
      <c r="H112" s="62" t="str">
        <f>all_data!I7</f>
        <v>Ernst-Abbe-Gymnasium</v>
      </c>
    </row>
    <row r="113" spans="1:8" ht="15.75">
      <c r="A113" s="31">
        <v>110</v>
      </c>
      <c r="B113" s="106" t="str">
        <f>all_data!B6</f>
        <v>253</v>
      </c>
      <c r="C113" s="57">
        <f>all_data!C6</f>
        <v>8.5</v>
      </c>
      <c r="D113" s="50">
        <f>all_data!D6</f>
        <v>0</v>
      </c>
      <c r="E113" s="52">
        <f>IF(all_data!E6="",0,all_data!E6)</f>
        <v>0</v>
      </c>
      <c r="F113" s="51">
        <f>all_data!F6</f>
        <v>1</v>
      </c>
      <c r="G113" s="29" t="str">
        <f>all_data!H6</f>
        <v>Alina Meisel</v>
      </c>
      <c r="H113" s="62" t="str">
        <f>all_data!I6</f>
        <v>Ernst-Abbe-Gymnasium</v>
      </c>
    </row>
    <row r="114" spans="1:8" ht="15.75">
      <c r="A114" s="31">
        <v>111</v>
      </c>
      <c r="B114" s="106" t="str">
        <f>all_data!B17</f>
        <v>Der Boot</v>
      </c>
      <c r="C114" s="57">
        <f>all_data!C17</f>
        <v>6.5</v>
      </c>
      <c r="D114" s="50">
        <f>all_data!D17</f>
        <v>0</v>
      </c>
      <c r="E114" s="52">
        <f>IF(all_data!E17="",0,all_data!E17)</f>
        <v>0</v>
      </c>
      <c r="F114" s="51">
        <f>all_data!F17</f>
        <v>1</v>
      </c>
      <c r="G114" s="29" t="str">
        <f>all_data!H17</f>
        <v>Benian Balci</v>
      </c>
      <c r="H114" s="62" t="str">
        <f>all_data!I17</f>
        <v>Ernst-Abbe-Gymnasium</v>
      </c>
    </row>
    <row r="115" spans="1:8" ht="15.75">
      <c r="A115" s="31">
        <v>112</v>
      </c>
      <c r="B115" s="106" t="str">
        <f>all_data!B60</f>
        <v>Mein Boot</v>
      </c>
      <c r="C115" s="57">
        <f>all_data!C60</f>
        <v>9.8000000000000007</v>
      </c>
      <c r="D115" s="50">
        <f>all_data!D60</f>
        <v>0</v>
      </c>
      <c r="E115" s="52">
        <f>IF(all_data!E60="",0,all_data!E60)</f>
        <v>0</v>
      </c>
      <c r="F115" s="51">
        <f>all_data!F60</f>
        <v>600</v>
      </c>
      <c r="G115" s="29" t="str">
        <f>all_data!H60</f>
        <v>Florian Sossou</v>
      </c>
      <c r="H115" s="62" t="str">
        <f>all_data!I60</f>
        <v>Gymnasium Wellingdorf</v>
      </c>
    </row>
    <row r="116" spans="1:8" ht="15.75">
      <c r="A116" s="31">
        <v>113</v>
      </c>
      <c r="B116" s="106" t="str">
        <f>all_data!B67</f>
        <v>Drachenboot</v>
      </c>
      <c r="C116" s="57">
        <f>all_data!C67</f>
        <v>7.2</v>
      </c>
      <c r="D116" s="50">
        <f>all_data!D67</f>
        <v>0</v>
      </c>
      <c r="E116" s="52">
        <f>IF(all_data!E67="",0,all_data!E67)</f>
        <v>0</v>
      </c>
      <c r="F116" s="51">
        <f>all_data!F67</f>
        <v>800</v>
      </c>
      <c r="G116" s="29" t="str">
        <f>all_data!H67</f>
        <v>Philip Pinnow</v>
      </c>
      <c r="H116" s="62" t="str">
        <f>all_data!I67</f>
        <v>Wossidlo-Gymnasium</v>
      </c>
    </row>
    <row r="117" spans="1:8" ht="15.75">
      <c r="A117" s="31">
        <v>114</v>
      </c>
      <c r="B117" s="106" t="str">
        <f>all_data!B65</f>
        <v>MS. Schachtel</v>
      </c>
      <c r="C117" s="57">
        <f>all_data!C65</f>
        <v>9.8000000000000007</v>
      </c>
      <c r="D117" s="50">
        <f>all_data!D65</f>
        <v>0</v>
      </c>
      <c r="E117" s="52">
        <f>IF(all_data!E65="",0,all_data!E65)</f>
        <v>0</v>
      </c>
      <c r="F117" s="51">
        <f>all_data!F65</f>
        <v>752</v>
      </c>
      <c r="G117" s="29" t="str">
        <f>all_data!H65</f>
        <v>Tim Könnecke</v>
      </c>
      <c r="H117" s="62" t="str">
        <f>all_data!I65</f>
        <v>Wossidlo-Gymnasium</v>
      </c>
    </row>
    <row r="118" spans="1:8" ht="38.25">
      <c r="A118" s="31">
        <v>115</v>
      </c>
      <c r="B118" s="106" t="str">
        <f>all_data!B57</f>
        <v>Gummibärchen</v>
      </c>
      <c r="C118" s="57">
        <f>all_data!C57</f>
        <v>10</v>
      </c>
      <c r="D118" s="50">
        <f>all_data!D57</f>
        <v>0</v>
      </c>
      <c r="E118" s="52">
        <f>IF(all_data!E57="",0,all_data!E57)</f>
        <v>0</v>
      </c>
      <c r="F118" s="51">
        <f>all_data!F57</f>
        <v>500</v>
      </c>
      <c r="G118" s="29" t="str">
        <f>all_data!H57</f>
        <v>Janne Catharina Carstensen
Hande Eyicalis</v>
      </c>
      <c r="H118" s="62" t="str">
        <f>all_data!I57</f>
        <v>Gymnasium Wellingdorf</v>
      </c>
    </row>
    <row r="119" spans="1:8" ht="15.75">
      <c r="A119" s="31">
        <v>116</v>
      </c>
      <c r="B119" s="106" t="str">
        <f>all_data!B14</f>
        <v>Blue Latern</v>
      </c>
      <c r="C119" s="57">
        <f>all_data!C14</f>
        <v>8.5</v>
      </c>
      <c r="D119" s="50">
        <f>all_data!D14</f>
        <v>0</v>
      </c>
      <c r="E119" s="52">
        <f>IF(all_data!E14="",0,all_data!E14)</f>
        <v>0</v>
      </c>
      <c r="F119" s="51">
        <f>all_data!F14</f>
        <v>1</v>
      </c>
      <c r="G119" s="29" t="str">
        <f>all_data!H14</f>
        <v>Henrik Kubitza</v>
      </c>
      <c r="H119" s="62" t="str">
        <f>all_data!I14</f>
        <v>Ernst-Abbe-Gymnasium</v>
      </c>
    </row>
    <row r="120" spans="1:8" ht="25.5">
      <c r="A120" s="31">
        <v>117</v>
      </c>
      <c r="B120" s="106" t="str">
        <f>all_data!B136</f>
        <v>Nuestra Senora de las Mercedes</v>
      </c>
      <c r="C120" s="57">
        <f>all_data!C136</f>
        <v>7.7</v>
      </c>
      <c r="D120" s="50">
        <f>all_data!D136</f>
        <v>0</v>
      </c>
      <c r="E120" s="52">
        <f>IF(all_data!E136="",0,all_data!E136)</f>
        <v>0</v>
      </c>
      <c r="F120" s="51">
        <f>all_data!F136</f>
        <v>4000</v>
      </c>
      <c r="G120" s="29" t="str">
        <f>all_data!H136</f>
        <v>Rafael dÀmore Domenech</v>
      </c>
      <c r="H120" s="62" t="str">
        <f>all_data!I136</f>
        <v>Polytechnic University of Madrid</v>
      </c>
    </row>
    <row r="121" spans="1:8" ht="15.75">
      <c r="A121" s="31">
        <v>118</v>
      </c>
      <c r="B121" s="106" t="str">
        <f>all_data!B135</f>
        <v>Corny 2013</v>
      </c>
      <c r="C121" s="57">
        <f>all_data!C135</f>
        <v>7.5</v>
      </c>
      <c r="D121" s="50">
        <f>all_data!D135</f>
        <v>0</v>
      </c>
      <c r="E121" s="52">
        <f>IF(all_data!E135="",0,all_data!E135)</f>
        <v>0</v>
      </c>
      <c r="F121" s="51">
        <f>all_data!F135</f>
        <v>3500</v>
      </c>
      <c r="G121" s="29" t="str">
        <f>all_data!H135</f>
        <v>C. Cornilsen</v>
      </c>
      <c r="H121" s="62" t="str">
        <f>all_data!I135</f>
        <v>Jungmannschule Eckernförde</v>
      </c>
    </row>
    <row r="122" spans="1:8" ht="25.5">
      <c r="A122" s="31">
        <v>119</v>
      </c>
      <c r="B122" s="106" t="str">
        <f>all_data!B41</f>
        <v>Susi</v>
      </c>
      <c r="C122" s="57">
        <f>all_data!C41</f>
        <v>18.600000000000001</v>
      </c>
      <c r="D122" s="50">
        <f>all_data!D41</f>
        <v>0</v>
      </c>
      <c r="E122" s="52">
        <f>IF(all_data!E41="",0,all_data!E41)</f>
        <v>0</v>
      </c>
      <c r="F122" s="51">
        <f>all_data!F41</f>
        <v>1</v>
      </c>
      <c r="G122" s="29" t="str">
        <f>all_data!H41</f>
        <v>Lara Wandt
Carolin Blum</v>
      </c>
      <c r="H122" s="62" t="str">
        <f>all_data!I41</f>
        <v>Schloßgymnasium Gützkow</v>
      </c>
    </row>
    <row r="123" spans="1:8" ht="25.5">
      <c r="A123" s="31">
        <v>120</v>
      </c>
      <c r="B123" s="106" t="str">
        <f>all_data!B38</f>
        <v>Romba 2500</v>
      </c>
      <c r="C123" s="57">
        <f>all_data!C38</f>
        <v>10</v>
      </c>
      <c r="D123" s="50">
        <f>all_data!D38</f>
        <v>0</v>
      </c>
      <c r="E123" s="52">
        <f>IF(all_data!E38="",0,all_data!E38)</f>
        <v>0</v>
      </c>
      <c r="F123" s="51">
        <f>all_data!F38</f>
        <v>1</v>
      </c>
      <c r="G123" s="29" t="str">
        <f>all_data!H38</f>
        <v>Maik Schoer
Robin Karpa</v>
      </c>
      <c r="H123" s="62" t="str">
        <f>all_data!I38</f>
        <v>Gymnasium Lüneburger Heide</v>
      </c>
    </row>
    <row r="124" spans="1:8" ht="25.5">
      <c r="A124" s="31">
        <v>121</v>
      </c>
      <c r="B124" s="106" t="str">
        <f>all_data!B33</f>
        <v>NICHRALRYSCHHA</v>
      </c>
      <c r="C124" s="57">
        <f>all_data!C33</f>
        <v>9.6999999999999993</v>
      </c>
      <c r="D124" s="50">
        <f>all_data!D33</f>
        <v>0</v>
      </c>
      <c r="E124" s="52">
        <f>IF(all_data!E33="",0,all_data!E33)</f>
        <v>0</v>
      </c>
      <c r="F124" s="51">
        <f>all_data!F33</f>
        <v>1</v>
      </c>
      <c r="G124" s="29" t="str">
        <f>all_data!H33</f>
        <v>Niklas Schöning
Christopher Hanson</v>
      </c>
      <c r="H124" s="62" t="str">
        <f>all_data!I33</f>
        <v>Gymnasium Lüneburger Heide</v>
      </c>
    </row>
    <row r="125" spans="1:8" ht="15.75">
      <c r="A125" s="31">
        <v>122</v>
      </c>
      <c r="B125" s="106" t="str">
        <f>all_data!B42</f>
        <v>Temerer</v>
      </c>
      <c r="C125" s="57">
        <f>all_data!C42</f>
        <v>8.4</v>
      </c>
      <c r="D125" s="50">
        <f>all_data!D42</f>
        <v>0</v>
      </c>
      <c r="E125" s="52">
        <f>IF(all_data!E42="",0,all_data!E42)</f>
        <v>0</v>
      </c>
      <c r="F125" s="51">
        <f>all_data!F42</f>
        <v>1</v>
      </c>
      <c r="G125" s="29" t="str">
        <f>all_data!H42</f>
        <v>unbekannt</v>
      </c>
      <c r="H125" s="62" t="str">
        <f>all_data!I42</f>
        <v>Gymnasium Lüneburger Heide</v>
      </c>
    </row>
    <row r="126" spans="1:8" ht="25.5">
      <c r="A126" s="31">
        <v>123</v>
      </c>
      <c r="B126" s="106" t="str">
        <f>all_data!B13</f>
        <v>Black Pearl II</v>
      </c>
      <c r="C126" s="57">
        <f>all_data!C13</f>
        <v>9.6</v>
      </c>
      <c r="D126" s="50">
        <f>all_data!D13</f>
        <v>0</v>
      </c>
      <c r="E126" s="52">
        <f>IF(all_data!E13="",0,all_data!E13)</f>
        <v>0</v>
      </c>
      <c r="F126" s="51">
        <f>all_data!F13</f>
        <v>1</v>
      </c>
      <c r="G126" s="29" t="str">
        <f>all_data!H13</f>
        <v>Annabell Ritzkowski
Anna Krüger</v>
      </c>
      <c r="H126" s="62" t="str">
        <f>all_data!I13</f>
        <v>Schloßgymnasium Gützkow</v>
      </c>
    </row>
    <row r="127" spans="1:8" ht="51">
      <c r="A127" s="31">
        <v>124</v>
      </c>
      <c r="B127" s="106" t="str">
        <f>all_data!B91</f>
        <v>Titan 4</v>
      </c>
      <c r="C127" s="57">
        <f>all_data!C91</f>
        <v>8.1999999999999993</v>
      </c>
      <c r="D127" s="50">
        <f>all_data!D91</f>
        <v>0</v>
      </c>
      <c r="E127" s="52">
        <f>IF(all_data!E91="",0,all_data!E91)</f>
        <v>0</v>
      </c>
      <c r="F127" s="51">
        <f>all_data!F91</f>
        <v>1000</v>
      </c>
      <c r="G127" s="29" t="str">
        <f>all_data!H91</f>
        <v>Tommy
Dustin
Fabio
Dominik Meier</v>
      </c>
      <c r="H127" s="62" t="str">
        <f>all_data!I91</f>
        <v>Bertha von Suttner Schule</v>
      </c>
    </row>
    <row r="128" spans="1:8" ht="38.25">
      <c r="A128" s="31">
        <v>125</v>
      </c>
      <c r="B128" s="106" t="str">
        <f>all_data!B48</f>
        <v>Bloody Marry</v>
      </c>
      <c r="C128" s="57">
        <f>all_data!C48</f>
        <v>9.3000000000000007</v>
      </c>
      <c r="D128" s="50">
        <f>all_data!D48</f>
        <v>0</v>
      </c>
      <c r="E128" s="52">
        <f>IF(all_data!E48="",0,all_data!E48)</f>
        <v>0</v>
      </c>
      <c r="F128" s="51">
        <f>all_data!F48</f>
        <v>200</v>
      </c>
      <c r="G128" s="29" t="str">
        <f>all_data!H48</f>
        <v>Emilia Weritsch
Veronika Wilhelm
Agata Brzeska</v>
      </c>
      <c r="H128" s="62">
        <f>all_data!I48</f>
        <v>0</v>
      </c>
    </row>
    <row r="129" spans="1:8" ht="25.5">
      <c r="A129" s="31">
        <v>126</v>
      </c>
      <c r="B129" s="106" t="str">
        <f>all_data!B16</f>
        <v>Daniel</v>
      </c>
      <c r="C129" s="57">
        <f>all_data!C16</f>
        <v>9.1</v>
      </c>
      <c r="D129" s="50">
        <f>all_data!D16</f>
        <v>0</v>
      </c>
      <c r="E129" s="52">
        <f>IF(all_data!E16="",0,all_data!E16)</f>
        <v>0</v>
      </c>
      <c r="F129" s="51">
        <f>all_data!F16</f>
        <v>1</v>
      </c>
      <c r="G129" s="29" t="str">
        <f>all_data!H16</f>
        <v>Simon Gmehling
Enrico Drave</v>
      </c>
      <c r="H129" s="62" t="str">
        <f>all_data!I16</f>
        <v>Gymnasium Lüneburger Heide</v>
      </c>
    </row>
    <row r="130" spans="1:8" ht="15.75">
      <c r="A130" s="31">
        <v>127</v>
      </c>
      <c r="B130" s="106" t="str">
        <f>all_data!B50</f>
        <v>Hong Nga 2</v>
      </c>
      <c r="C130" s="57">
        <f>all_data!C50</f>
        <v>7.1</v>
      </c>
      <c r="D130" s="50">
        <f>all_data!D50</f>
        <v>0</v>
      </c>
      <c r="E130" s="52">
        <f>IF(all_data!E50="",0,all_data!E50)</f>
        <v>0</v>
      </c>
      <c r="F130" s="51">
        <f>all_data!F50</f>
        <v>200</v>
      </c>
      <c r="G130" s="29" t="str">
        <f>all_data!H50</f>
        <v>Hong Nga Ly</v>
      </c>
      <c r="H130" s="62" t="str">
        <f>all_data!I50</f>
        <v>Athenaueum Stade</v>
      </c>
    </row>
    <row r="131" spans="1:8" ht="15.75">
      <c r="A131" s="31">
        <v>128</v>
      </c>
      <c r="B131" s="106" t="str">
        <f>all_data!B5</f>
        <v>22</v>
      </c>
      <c r="C131" s="57">
        <f>all_data!C5</f>
        <v>8.8000000000000007</v>
      </c>
      <c r="D131" s="50">
        <f>all_data!D5</f>
        <v>0</v>
      </c>
      <c r="E131" s="52">
        <f>IF(all_data!E5="",0,all_data!E5)</f>
        <v>0</v>
      </c>
      <c r="F131" s="51">
        <f>all_data!F5</f>
        <v>1</v>
      </c>
      <c r="G131" s="29" t="str">
        <f>all_data!H5</f>
        <v>Ramona Müller</v>
      </c>
      <c r="H131" s="62" t="str">
        <f>all_data!I5</f>
        <v>Ernst-Abbe-Gymnasium</v>
      </c>
    </row>
    <row r="132" spans="1:8" ht="25.5">
      <c r="A132" s="31">
        <v>129</v>
      </c>
      <c r="B132" s="106" t="str">
        <f>all_data!B63</f>
        <v>CostaConcordia</v>
      </c>
      <c r="C132" s="57">
        <f>all_data!C63</f>
        <v>5.4</v>
      </c>
      <c r="D132" s="50">
        <f>all_data!D63</f>
        <v>0</v>
      </c>
      <c r="E132" s="52">
        <f>IF(all_data!E63="",0,all_data!E63)</f>
        <v>0</v>
      </c>
      <c r="F132" s="51">
        <f>all_data!F63</f>
        <v>700</v>
      </c>
      <c r="G132" s="29" t="str">
        <f>all_data!H63</f>
        <v>Alexander Samp
Florian Sossou</v>
      </c>
      <c r="H132" s="62" t="str">
        <f>all_data!I63</f>
        <v>Gymnasium Wellingdorf</v>
      </c>
    </row>
    <row r="133" spans="1:8" ht="25.5">
      <c r="A133" s="31">
        <v>130</v>
      </c>
      <c r="B133" s="106" t="str">
        <f>all_data!B30</f>
        <v>MS . B.J.</v>
      </c>
      <c r="C133" s="57">
        <f>all_data!C30</f>
        <v>9.6999999999999993</v>
      </c>
      <c r="D133" s="50">
        <f>all_data!D30</f>
        <v>0</v>
      </c>
      <c r="E133" s="52">
        <f>IF(all_data!E30="",0,all_data!E30)</f>
        <v>0</v>
      </c>
      <c r="F133" s="51">
        <f>all_data!F30</f>
        <v>1</v>
      </c>
      <c r="G133" s="29" t="str">
        <f>all_data!H30</f>
        <v>Janis Walther
Bastian Brand</v>
      </c>
      <c r="H133" s="62" t="str">
        <f>all_data!I30</f>
        <v>Schützenstraße 3</v>
      </c>
    </row>
    <row r="134" spans="1:8" ht="25.5">
      <c r="A134" s="31">
        <v>131</v>
      </c>
      <c r="B134" s="106" t="str">
        <f>all_data!B21</f>
        <v>HCO</v>
      </c>
      <c r="C134" s="57">
        <f>all_data!C21</f>
        <v>9.9</v>
      </c>
      <c r="D134" s="50">
        <f>all_data!D21</f>
        <v>0</v>
      </c>
      <c r="E134" s="52">
        <f>IF(all_data!E21="",0,all_data!E21)</f>
        <v>0</v>
      </c>
      <c r="F134" s="51">
        <f>all_data!F21</f>
        <v>1</v>
      </c>
      <c r="G134" s="29" t="str">
        <f>all_data!H21</f>
        <v>Janis Walther
Bastian Brand</v>
      </c>
      <c r="H134" s="62" t="str">
        <f>all_data!I21</f>
        <v>Gymnasium Lüneburger Heide</v>
      </c>
    </row>
    <row r="135" spans="1:8" ht="38.25">
      <c r="A135" s="31">
        <v>132</v>
      </c>
      <c r="B135" s="106" t="str">
        <f>all_data!B36</f>
        <v>Prototyp</v>
      </c>
      <c r="C135" s="57">
        <f>all_data!C36</f>
        <v>5.6</v>
      </c>
      <c r="D135" s="50">
        <f>all_data!D36</f>
        <v>0</v>
      </c>
      <c r="E135" s="52">
        <f>IF(all_data!E36="",0,all_data!E36)</f>
        <v>0</v>
      </c>
      <c r="F135" s="51">
        <f>all_data!F36</f>
        <v>1</v>
      </c>
      <c r="G135" s="29" t="str">
        <f>all_data!H36</f>
        <v>Konstantin Köster
Caroline Fehlauer
Jonas Schwerin</v>
      </c>
      <c r="H135" s="62" t="str">
        <f>all_data!I36</f>
        <v>Gymnasium Lüneburger Heide</v>
      </c>
    </row>
    <row r="136" spans="1:8" ht="15.75">
      <c r="A136" s="31">
        <v>133</v>
      </c>
      <c r="B136" s="106" t="str">
        <f>all_data!B3</f>
        <v>0910</v>
      </c>
      <c r="C136" s="57">
        <f>all_data!C3</f>
        <v>8.1</v>
      </c>
      <c r="D136" s="50">
        <f>all_data!D3</f>
        <v>0</v>
      </c>
      <c r="E136" s="52">
        <f>IF(all_data!E3="",0,all_data!E3)</f>
        <v>0</v>
      </c>
      <c r="F136" s="51">
        <f>all_data!F3</f>
        <v>1</v>
      </c>
      <c r="G136" s="29" t="str">
        <f>all_data!H3</f>
        <v>Farah Skiba</v>
      </c>
      <c r="H136" s="62" t="str">
        <f>all_data!I3</f>
        <v>Ernst-Abbe-Gymnasium</v>
      </c>
    </row>
    <row r="137" spans="1:8" ht="38.25">
      <c r="A137" s="31">
        <v>134</v>
      </c>
      <c r="B137" s="106" t="str">
        <f>all_data!B46</f>
        <v>Yolo</v>
      </c>
      <c r="C137" s="57">
        <f>all_data!C46</f>
        <v>9.5</v>
      </c>
      <c r="D137" s="50">
        <f>all_data!D46</f>
        <v>0</v>
      </c>
      <c r="E137" s="52">
        <f>IF(all_data!E46="",0,all_data!E46)</f>
        <v>0</v>
      </c>
      <c r="F137" s="51">
        <f>all_data!F46</f>
        <v>1</v>
      </c>
      <c r="G137" s="29" t="str">
        <f>all_data!H46</f>
        <v>Konstantin Köster
Caroline Fehlauer
Jonas Schwerin</v>
      </c>
      <c r="H137" s="62" t="str">
        <f>all_data!I46</f>
        <v>Gymnasium Lüneburger Heide</v>
      </c>
    </row>
    <row r="138" spans="1:8" ht="25.5">
      <c r="A138" s="31">
        <v>135</v>
      </c>
      <c r="B138" s="106" t="str">
        <f>all_data!B53</f>
        <v>Falti der Historyfreak</v>
      </c>
      <c r="C138" s="57">
        <f>all_data!C53</f>
        <v>10.3</v>
      </c>
      <c r="D138" s="50">
        <f>all_data!D53</f>
        <v>0</v>
      </c>
      <c r="E138" s="52">
        <f>IF(all_data!E53="",0,all_data!E53)</f>
        <v>0</v>
      </c>
      <c r="F138" s="51">
        <f>all_data!F53</f>
        <v>300</v>
      </c>
      <c r="G138" s="29" t="str">
        <f>all_data!H53</f>
        <v>Kjell Schröder</v>
      </c>
      <c r="H138" s="62" t="str">
        <f>all_data!I53</f>
        <v>Jungmannschule Eckernförde</v>
      </c>
    </row>
    <row r="139" spans="1:8" ht="25.5">
      <c r="A139" s="31">
        <v>136</v>
      </c>
      <c r="B139" s="106" t="str">
        <f>all_data!B31</f>
        <v>MS Leonoli</v>
      </c>
      <c r="C139" s="57">
        <f>all_data!C31</f>
        <v>7.9</v>
      </c>
      <c r="D139" s="50">
        <f>all_data!D31</f>
        <v>0</v>
      </c>
      <c r="E139" s="52">
        <f>IF(all_data!E31="",0,all_data!E31)</f>
        <v>0</v>
      </c>
      <c r="F139" s="51">
        <f>all_data!F31</f>
        <v>1</v>
      </c>
      <c r="G139" s="29" t="str">
        <f>all_data!H31</f>
        <v>Oliver Wendt
Leon Herrmann</v>
      </c>
      <c r="H139" s="62" t="str">
        <f>all_data!I31</f>
        <v>Schützenstraße 3</v>
      </c>
    </row>
    <row r="140" spans="1:8" ht="15.75">
      <c r="A140" s="31">
        <v>137</v>
      </c>
      <c r="B140" s="106">
        <f>all_data!B139</f>
        <v>0</v>
      </c>
      <c r="C140" s="57">
        <f>all_data!C139</f>
        <v>0</v>
      </c>
      <c r="D140" s="50">
        <f>all_data!D139</f>
        <v>0</v>
      </c>
      <c r="E140" s="52">
        <f>IF(all_data!E139="",0,all_data!E139)</f>
        <v>0</v>
      </c>
      <c r="F140" s="51">
        <f>all_data!F139</f>
        <v>0</v>
      </c>
      <c r="G140" s="29">
        <f>all_data!H139</f>
        <v>0</v>
      </c>
      <c r="H140" s="62">
        <f>all_data!I139</f>
        <v>0</v>
      </c>
    </row>
    <row r="141" spans="1:8" ht="15.75">
      <c r="A141" s="31">
        <v>138</v>
      </c>
      <c r="B141" s="106">
        <f>all_data!B140</f>
        <v>0</v>
      </c>
      <c r="C141" s="57">
        <f>all_data!C140</f>
        <v>0</v>
      </c>
      <c r="D141" s="50">
        <f>all_data!D140</f>
        <v>0</v>
      </c>
      <c r="E141" s="52">
        <f>IF(all_data!E140="",0,all_data!E140)</f>
        <v>0</v>
      </c>
      <c r="F141" s="51">
        <f>all_data!F140</f>
        <v>0</v>
      </c>
      <c r="G141" s="29">
        <f>all_data!H140</f>
        <v>0</v>
      </c>
      <c r="H141" s="62">
        <f>all_data!I140</f>
        <v>0</v>
      </c>
    </row>
    <row r="142" spans="1:8" ht="15.75">
      <c r="A142" s="31">
        <v>139</v>
      </c>
      <c r="B142" s="106">
        <f>all_data!B141</f>
        <v>0</v>
      </c>
      <c r="C142" s="57">
        <f>all_data!C141</f>
        <v>0</v>
      </c>
      <c r="D142" s="50">
        <f>all_data!D141</f>
        <v>0</v>
      </c>
      <c r="E142" s="52">
        <f>IF(all_data!E141="",0,all_data!E141)</f>
        <v>0</v>
      </c>
      <c r="F142" s="51">
        <f>all_data!F141</f>
        <v>0</v>
      </c>
      <c r="G142" s="29">
        <f>all_data!H141</f>
        <v>0</v>
      </c>
      <c r="H142" s="62">
        <f>all_data!I141</f>
        <v>0</v>
      </c>
    </row>
    <row r="143" spans="1:8" ht="15.75">
      <c r="A143" s="31">
        <v>140</v>
      </c>
      <c r="B143" s="106">
        <f>all_data!B142</f>
        <v>0</v>
      </c>
      <c r="C143" s="57">
        <f>all_data!C142</f>
        <v>0</v>
      </c>
      <c r="D143" s="50">
        <f>all_data!D142</f>
        <v>0</v>
      </c>
      <c r="E143" s="52">
        <f>IF(all_data!E142="",0,all_data!E142)</f>
        <v>0</v>
      </c>
      <c r="F143" s="51">
        <f>all_data!F142</f>
        <v>0</v>
      </c>
      <c r="G143" s="29">
        <f>all_data!H142</f>
        <v>0</v>
      </c>
      <c r="H143" s="62">
        <f>all_data!I142</f>
        <v>0</v>
      </c>
    </row>
    <row r="144" spans="1:8" ht="15.75">
      <c r="A144" s="31">
        <v>141</v>
      </c>
      <c r="B144" s="106">
        <f>all_data!B143</f>
        <v>0</v>
      </c>
      <c r="C144" s="57">
        <f>all_data!C143</f>
        <v>0</v>
      </c>
      <c r="D144" s="50">
        <f>all_data!D143</f>
        <v>0</v>
      </c>
      <c r="E144" s="52">
        <f>IF(all_data!E143="",0,all_data!E143)</f>
        <v>0</v>
      </c>
      <c r="F144" s="51">
        <f>all_data!F143</f>
        <v>0</v>
      </c>
      <c r="G144" s="29">
        <f>all_data!H143</f>
        <v>0</v>
      </c>
      <c r="H144" s="62">
        <f>all_data!I143</f>
        <v>0</v>
      </c>
    </row>
    <row r="145" spans="1:8" ht="15.75">
      <c r="A145" s="31">
        <v>142</v>
      </c>
      <c r="B145" s="106">
        <f>all_data!B144</f>
        <v>0</v>
      </c>
      <c r="C145" s="57">
        <f>all_data!C144</f>
        <v>0</v>
      </c>
      <c r="D145" s="50">
        <f>all_data!D144</f>
        <v>0</v>
      </c>
      <c r="E145" s="52">
        <f>IF(all_data!E144="",0,all_data!E144)</f>
        <v>0</v>
      </c>
      <c r="F145" s="51">
        <f>all_data!F144</f>
        <v>0</v>
      </c>
      <c r="G145" s="29">
        <f>all_data!H144</f>
        <v>0</v>
      </c>
      <c r="H145" s="62">
        <f>all_data!I144</f>
        <v>0</v>
      </c>
    </row>
    <row r="146" spans="1:8" ht="15.75">
      <c r="A146" s="31">
        <v>143</v>
      </c>
      <c r="B146" s="106">
        <f>all_data!B145</f>
        <v>0</v>
      </c>
      <c r="C146" s="57">
        <f>all_data!C145</f>
        <v>0</v>
      </c>
      <c r="D146" s="50">
        <f>all_data!D145</f>
        <v>0</v>
      </c>
      <c r="E146" s="52">
        <f>IF(all_data!E145="",0,all_data!E145)</f>
        <v>0</v>
      </c>
      <c r="F146" s="51">
        <f>all_data!F145</f>
        <v>0</v>
      </c>
      <c r="G146" s="29">
        <f>all_data!H145</f>
        <v>0</v>
      </c>
      <c r="H146" s="62">
        <f>all_data!I145</f>
        <v>0</v>
      </c>
    </row>
    <row r="147" spans="1:8" ht="15.75">
      <c r="A147" s="31">
        <v>144</v>
      </c>
      <c r="B147" s="106">
        <f>all_data!B146</f>
        <v>0</v>
      </c>
      <c r="C147" s="57">
        <f>all_data!C146</f>
        <v>0</v>
      </c>
      <c r="D147" s="50">
        <f>all_data!D146</f>
        <v>0</v>
      </c>
      <c r="E147" s="52">
        <f>IF(all_data!E146="",0,all_data!E146)</f>
        <v>0</v>
      </c>
      <c r="F147" s="51">
        <f>all_data!F146</f>
        <v>0</v>
      </c>
      <c r="G147" s="29">
        <f>all_data!H146</f>
        <v>0</v>
      </c>
      <c r="H147" s="62">
        <f>all_data!I146</f>
        <v>0</v>
      </c>
    </row>
    <row r="148" spans="1:8" ht="15.75">
      <c r="A148" s="31">
        <v>145</v>
      </c>
      <c r="B148" s="106">
        <f>all_data!B147</f>
        <v>0</v>
      </c>
      <c r="C148" s="57">
        <f>all_data!C147</f>
        <v>0</v>
      </c>
      <c r="D148" s="50">
        <f>all_data!D147</f>
        <v>0</v>
      </c>
      <c r="E148" s="52">
        <f>IF(all_data!E147="",0,all_data!E147)</f>
        <v>0</v>
      </c>
      <c r="F148" s="51">
        <f>all_data!F147</f>
        <v>0</v>
      </c>
      <c r="G148" s="29">
        <f>all_data!H147</f>
        <v>0</v>
      </c>
      <c r="H148" s="62">
        <f>all_data!I147</f>
        <v>0</v>
      </c>
    </row>
    <row r="149" spans="1:8" ht="15.75">
      <c r="A149" s="31">
        <v>146</v>
      </c>
      <c r="B149" s="106">
        <f>all_data!B148</f>
        <v>0</v>
      </c>
      <c r="C149" s="57">
        <f>all_data!C148</f>
        <v>0</v>
      </c>
      <c r="D149" s="50">
        <f>all_data!D148</f>
        <v>0</v>
      </c>
      <c r="E149" s="52">
        <f>IF(all_data!E148="",0,all_data!E148)</f>
        <v>0</v>
      </c>
      <c r="F149" s="51">
        <f>all_data!F148</f>
        <v>0</v>
      </c>
      <c r="G149" s="29">
        <f>all_data!H148</f>
        <v>0</v>
      </c>
      <c r="H149" s="62">
        <f>all_data!I148</f>
        <v>0</v>
      </c>
    </row>
    <row r="150" spans="1:8" ht="15.75">
      <c r="A150" s="31">
        <v>147</v>
      </c>
      <c r="B150" s="106">
        <f>all_data!B149</f>
        <v>0</v>
      </c>
      <c r="C150" s="57">
        <f>all_data!C149</f>
        <v>0</v>
      </c>
      <c r="D150" s="50">
        <f>all_data!D149</f>
        <v>0</v>
      </c>
      <c r="E150" s="52">
        <f>IF(all_data!E149="",0,all_data!E149)</f>
        <v>0</v>
      </c>
      <c r="F150" s="51">
        <f>all_data!F149</f>
        <v>0</v>
      </c>
      <c r="G150" s="29">
        <f>all_data!H149</f>
        <v>0</v>
      </c>
      <c r="H150" s="62">
        <f>all_data!I149</f>
        <v>0</v>
      </c>
    </row>
    <row r="151" spans="1:8" ht="15.75">
      <c r="A151" s="31">
        <v>148</v>
      </c>
      <c r="B151" s="106">
        <f>all_data!B150</f>
        <v>0</v>
      </c>
      <c r="C151" s="57">
        <f>all_data!C150</f>
        <v>0</v>
      </c>
      <c r="D151" s="50">
        <f>all_data!D150</f>
        <v>0</v>
      </c>
      <c r="E151" s="52">
        <f>IF(all_data!E150="",0,all_data!E150)</f>
        <v>0</v>
      </c>
      <c r="F151" s="51">
        <f>all_data!F150</f>
        <v>0</v>
      </c>
      <c r="G151" s="29">
        <f>all_data!H150</f>
        <v>0</v>
      </c>
      <c r="H151" s="62">
        <f>all_data!I150</f>
        <v>0</v>
      </c>
    </row>
    <row r="152" spans="1:8" ht="15.75">
      <c r="A152" s="31">
        <v>149</v>
      </c>
      <c r="B152" s="106">
        <f>all_data!B151</f>
        <v>0</v>
      </c>
      <c r="C152" s="57">
        <f>all_data!C151</f>
        <v>0</v>
      </c>
      <c r="D152" s="50">
        <f>all_data!D151</f>
        <v>0</v>
      </c>
      <c r="E152" s="52">
        <f>IF(all_data!E151="",0,all_data!E151)</f>
        <v>0</v>
      </c>
      <c r="F152" s="51">
        <f>all_data!F151</f>
        <v>0</v>
      </c>
      <c r="G152" s="29">
        <f>all_data!H151</f>
        <v>0</v>
      </c>
      <c r="H152" s="62">
        <f>all_data!I151</f>
        <v>0</v>
      </c>
    </row>
    <row r="153" spans="1:8" ht="15.75">
      <c r="A153" s="31">
        <v>150</v>
      </c>
      <c r="B153" s="106">
        <f>all_data!B152</f>
        <v>0</v>
      </c>
      <c r="C153" s="57">
        <f>all_data!C152</f>
        <v>0</v>
      </c>
      <c r="D153" s="50">
        <f>all_data!D152</f>
        <v>0</v>
      </c>
      <c r="E153" s="52">
        <f>IF(all_data!E152="",0,all_data!E152)</f>
        <v>0</v>
      </c>
      <c r="F153" s="51">
        <f>all_data!F152</f>
        <v>0</v>
      </c>
      <c r="G153" s="29">
        <f>all_data!H152</f>
        <v>0</v>
      </c>
      <c r="H153" s="62">
        <f>all_data!I152</f>
        <v>0</v>
      </c>
    </row>
    <row r="154" spans="1:8" ht="15.75">
      <c r="A154" s="31">
        <v>151</v>
      </c>
      <c r="B154" s="106">
        <f>all_data!B153</f>
        <v>0</v>
      </c>
      <c r="C154" s="57">
        <f>all_data!C153</f>
        <v>0</v>
      </c>
      <c r="D154" s="50">
        <f>all_data!D153</f>
        <v>0</v>
      </c>
      <c r="E154" s="52">
        <f>IF(all_data!E153="",0,all_data!E153)</f>
        <v>0</v>
      </c>
      <c r="F154" s="51">
        <f>all_data!F153</f>
        <v>0</v>
      </c>
      <c r="G154" s="29">
        <f>all_data!H153</f>
        <v>0</v>
      </c>
      <c r="H154" s="62">
        <f>all_data!I153</f>
        <v>0</v>
      </c>
    </row>
    <row r="155" spans="1:8" ht="15.75">
      <c r="A155" s="31">
        <v>152</v>
      </c>
      <c r="B155" s="106">
        <f>all_data!B154</f>
        <v>0</v>
      </c>
      <c r="C155" s="57">
        <f>all_data!C154</f>
        <v>0</v>
      </c>
      <c r="D155" s="50">
        <f>all_data!D154</f>
        <v>0</v>
      </c>
      <c r="E155" s="52">
        <f>IF(all_data!E154="",0,all_data!E154)</f>
        <v>0</v>
      </c>
      <c r="F155" s="51">
        <f>all_data!F154</f>
        <v>0</v>
      </c>
      <c r="G155" s="29">
        <f>all_data!H154</f>
        <v>0</v>
      </c>
      <c r="H155" s="62">
        <f>all_data!I154</f>
        <v>0</v>
      </c>
    </row>
    <row r="156" spans="1:8" ht="15.75">
      <c r="A156" s="31">
        <v>153</v>
      </c>
      <c r="B156" s="106">
        <f>all_data!B155</f>
        <v>0</v>
      </c>
      <c r="C156" s="57">
        <f>all_data!C155</f>
        <v>0</v>
      </c>
      <c r="D156" s="50">
        <f>all_data!D155</f>
        <v>0</v>
      </c>
      <c r="E156" s="52">
        <f>IF(all_data!E155="",0,all_data!E155)</f>
        <v>0</v>
      </c>
      <c r="F156" s="51">
        <f>all_data!F155</f>
        <v>0</v>
      </c>
      <c r="G156" s="29">
        <f>all_data!H155</f>
        <v>0</v>
      </c>
      <c r="H156" s="62">
        <f>all_data!I155</f>
        <v>0</v>
      </c>
    </row>
    <row r="157" spans="1:8" ht="15.75">
      <c r="A157" s="31">
        <v>154</v>
      </c>
      <c r="B157" s="106">
        <f>all_data!B156</f>
        <v>0</v>
      </c>
      <c r="C157" s="57">
        <f>all_data!C156</f>
        <v>0</v>
      </c>
      <c r="D157" s="50">
        <f>all_data!D156</f>
        <v>0</v>
      </c>
      <c r="E157" s="52">
        <f>IF(all_data!E156="",0,all_data!E156)</f>
        <v>0</v>
      </c>
      <c r="F157" s="51">
        <f>all_data!F156</f>
        <v>0</v>
      </c>
      <c r="G157" s="29">
        <f>all_data!H156</f>
        <v>0</v>
      </c>
      <c r="H157" s="62">
        <f>all_data!I156</f>
        <v>0</v>
      </c>
    </row>
    <row r="158" spans="1:8" ht="15.75">
      <c r="A158" s="31">
        <v>155</v>
      </c>
      <c r="B158" s="106">
        <f>all_data!B157</f>
        <v>0</v>
      </c>
      <c r="C158" s="57">
        <f>all_data!C157</f>
        <v>0</v>
      </c>
      <c r="D158" s="50">
        <f>all_data!D157</f>
        <v>0</v>
      </c>
      <c r="E158" s="52">
        <f>IF(all_data!E157="",0,all_data!E157)</f>
        <v>0</v>
      </c>
      <c r="F158" s="51">
        <f>all_data!F157</f>
        <v>0</v>
      </c>
      <c r="G158" s="29">
        <f>all_data!H157</f>
        <v>0</v>
      </c>
      <c r="H158" s="62">
        <f>all_data!I157</f>
        <v>0</v>
      </c>
    </row>
    <row r="159" spans="1:8" ht="15.75">
      <c r="A159" s="31">
        <v>156</v>
      </c>
      <c r="B159" s="106">
        <f>all_data!B158</f>
        <v>0</v>
      </c>
      <c r="C159" s="57">
        <f>all_data!C158</f>
        <v>0</v>
      </c>
      <c r="D159" s="50">
        <f>all_data!D158</f>
        <v>0</v>
      </c>
      <c r="E159" s="52">
        <f>IF(all_data!E158="",0,all_data!E158)</f>
        <v>0</v>
      </c>
      <c r="F159" s="51">
        <f>all_data!F158</f>
        <v>0</v>
      </c>
      <c r="G159" s="29">
        <f>all_data!H158</f>
        <v>0</v>
      </c>
      <c r="H159" s="62">
        <f>all_data!I158</f>
        <v>0</v>
      </c>
    </row>
    <row r="160" spans="1:8" ht="15.75">
      <c r="A160" s="31">
        <v>157</v>
      </c>
      <c r="B160" s="106">
        <f>all_data!B159</f>
        <v>0</v>
      </c>
      <c r="C160" s="57">
        <f>all_data!C159</f>
        <v>0</v>
      </c>
      <c r="D160" s="50">
        <f>all_data!D159</f>
        <v>0</v>
      </c>
      <c r="E160" s="52">
        <f>IF(all_data!E159="",0,all_data!E159)</f>
        <v>0</v>
      </c>
      <c r="F160" s="51">
        <f>all_data!F159</f>
        <v>0</v>
      </c>
      <c r="G160" s="29">
        <f>all_data!H159</f>
        <v>0</v>
      </c>
      <c r="H160" s="62">
        <f>all_data!I159</f>
        <v>0</v>
      </c>
    </row>
    <row r="161" spans="1:8" ht="15.75">
      <c r="A161" s="31">
        <v>158</v>
      </c>
      <c r="B161" s="106">
        <f>all_data!B160</f>
        <v>0</v>
      </c>
      <c r="C161" s="57">
        <f>all_data!C160</f>
        <v>0</v>
      </c>
      <c r="D161" s="50">
        <f>all_data!D160</f>
        <v>0</v>
      </c>
      <c r="E161" s="52">
        <f>IF(all_data!E160="",0,all_data!E160)</f>
        <v>0</v>
      </c>
      <c r="F161" s="51">
        <f>all_data!F160</f>
        <v>0</v>
      </c>
      <c r="G161" s="29">
        <f>all_data!H160</f>
        <v>0</v>
      </c>
      <c r="H161" s="62">
        <f>all_data!I160</f>
        <v>0</v>
      </c>
    </row>
    <row r="162" spans="1:8" ht="15.75">
      <c r="A162" s="31">
        <v>159</v>
      </c>
      <c r="B162" s="106">
        <f>all_data!B161</f>
        <v>0</v>
      </c>
      <c r="C162" s="57">
        <f>all_data!C161</f>
        <v>0</v>
      </c>
      <c r="D162" s="50">
        <f>all_data!D161</f>
        <v>0</v>
      </c>
      <c r="E162" s="52">
        <f>IF(all_data!E161="",0,all_data!E161)</f>
        <v>0</v>
      </c>
      <c r="F162" s="51">
        <f>all_data!F161</f>
        <v>0</v>
      </c>
      <c r="G162" s="29">
        <f>all_data!H161</f>
        <v>0</v>
      </c>
      <c r="H162" s="62">
        <f>all_data!I161</f>
        <v>0</v>
      </c>
    </row>
    <row r="163" spans="1:8" ht="15.75">
      <c r="A163" s="31">
        <v>160</v>
      </c>
      <c r="B163" s="106">
        <f>all_data!B162</f>
        <v>0</v>
      </c>
      <c r="C163" s="57">
        <f>all_data!C162</f>
        <v>0</v>
      </c>
      <c r="D163" s="50">
        <f>all_data!D162</f>
        <v>0</v>
      </c>
      <c r="E163" s="52">
        <f>IF(all_data!E162="",0,all_data!E162)</f>
        <v>0</v>
      </c>
      <c r="F163" s="51">
        <f>all_data!F162</f>
        <v>0</v>
      </c>
      <c r="G163" s="29">
        <f>all_data!H162</f>
        <v>0</v>
      </c>
      <c r="H163" s="62">
        <f>all_data!I162</f>
        <v>0</v>
      </c>
    </row>
    <row r="164" spans="1:8" ht="15.75">
      <c r="A164" s="31">
        <v>161</v>
      </c>
      <c r="B164" s="106">
        <f>all_data!B163</f>
        <v>0</v>
      </c>
      <c r="C164" s="57">
        <f>all_data!C163</f>
        <v>0</v>
      </c>
      <c r="D164" s="50">
        <f>all_data!D163</f>
        <v>0</v>
      </c>
      <c r="E164" s="52">
        <f>IF(all_data!E163="",0,all_data!E163)</f>
        <v>0</v>
      </c>
      <c r="F164" s="51">
        <f>all_data!F163</f>
        <v>0</v>
      </c>
      <c r="G164" s="29">
        <f>all_data!H163</f>
        <v>0</v>
      </c>
      <c r="H164" s="62">
        <f>all_data!I163</f>
        <v>0</v>
      </c>
    </row>
    <row r="165" spans="1:8" ht="15.75">
      <c r="A165" s="31">
        <v>162</v>
      </c>
      <c r="B165" s="106">
        <f>all_data!B164</f>
        <v>0</v>
      </c>
      <c r="C165" s="57">
        <f>all_data!C164</f>
        <v>0</v>
      </c>
      <c r="D165" s="50">
        <f>all_data!D164</f>
        <v>0</v>
      </c>
      <c r="E165" s="52">
        <f>IF(all_data!E164="",0,all_data!E164)</f>
        <v>0</v>
      </c>
      <c r="F165" s="51">
        <f>all_data!F164</f>
        <v>0</v>
      </c>
      <c r="G165" s="29">
        <f>all_data!H164</f>
        <v>0</v>
      </c>
      <c r="H165" s="62">
        <f>all_data!I164</f>
        <v>0</v>
      </c>
    </row>
    <row r="166" spans="1:8" ht="15.75">
      <c r="A166" s="31">
        <v>163</v>
      </c>
      <c r="B166" s="106">
        <f>all_data!B165</f>
        <v>0</v>
      </c>
      <c r="C166" s="57">
        <f>all_data!C165</f>
        <v>0</v>
      </c>
      <c r="D166" s="50">
        <f>all_data!D165</f>
        <v>0</v>
      </c>
      <c r="E166" s="52">
        <f>IF(all_data!E165="",0,all_data!E165)</f>
        <v>0</v>
      </c>
      <c r="F166" s="51">
        <f>all_data!F165</f>
        <v>0</v>
      </c>
      <c r="G166" s="29">
        <f>all_data!H165</f>
        <v>0</v>
      </c>
      <c r="H166" s="62">
        <f>all_data!I165</f>
        <v>0</v>
      </c>
    </row>
    <row r="167" spans="1:8" ht="15.75">
      <c r="A167" s="31">
        <v>164</v>
      </c>
      <c r="B167" s="106">
        <f>all_data!B166</f>
        <v>0</v>
      </c>
      <c r="C167" s="57">
        <f>all_data!C166</f>
        <v>0</v>
      </c>
      <c r="D167" s="50">
        <f>all_data!D166</f>
        <v>0</v>
      </c>
      <c r="E167" s="52">
        <f>IF(all_data!E166="",0,all_data!E166)</f>
        <v>0</v>
      </c>
      <c r="F167" s="51">
        <f>all_data!F166</f>
        <v>0</v>
      </c>
      <c r="G167" s="29">
        <f>all_data!H166</f>
        <v>0</v>
      </c>
      <c r="H167" s="62">
        <f>all_data!I166</f>
        <v>0</v>
      </c>
    </row>
    <row r="168" spans="1:8" ht="15.75">
      <c r="A168" s="31">
        <v>165</v>
      </c>
      <c r="B168" s="106">
        <f>all_data!B167</f>
        <v>0</v>
      </c>
      <c r="C168" s="57">
        <f>all_data!C167</f>
        <v>0</v>
      </c>
      <c r="D168" s="50">
        <f>all_data!D167</f>
        <v>0</v>
      </c>
      <c r="E168" s="52">
        <f>IF(all_data!E167="",0,all_data!E167)</f>
        <v>0</v>
      </c>
      <c r="F168" s="51">
        <f>all_data!F167</f>
        <v>0</v>
      </c>
      <c r="G168" s="29">
        <f>all_data!H167</f>
        <v>0</v>
      </c>
      <c r="H168" s="62">
        <f>all_data!I167</f>
        <v>0</v>
      </c>
    </row>
    <row r="169" spans="1:8" ht="15.75">
      <c r="A169" s="31">
        <v>166</v>
      </c>
      <c r="B169" s="106">
        <f>all_data!B168</f>
        <v>0</v>
      </c>
      <c r="C169" s="57">
        <f>all_data!C168</f>
        <v>0</v>
      </c>
      <c r="D169" s="50">
        <f>all_data!D168</f>
        <v>0</v>
      </c>
      <c r="E169" s="52">
        <f>IF(all_data!E168="",0,all_data!E168)</f>
        <v>0</v>
      </c>
      <c r="F169" s="51">
        <f>all_data!F168</f>
        <v>0</v>
      </c>
      <c r="G169" s="29">
        <f>all_data!H168</f>
        <v>0</v>
      </c>
      <c r="H169" s="62">
        <f>all_data!I168</f>
        <v>0</v>
      </c>
    </row>
    <row r="170" spans="1:8" ht="15.75">
      <c r="A170" s="31">
        <v>167</v>
      </c>
      <c r="B170" s="106">
        <f>all_data!B169</f>
        <v>0</v>
      </c>
      <c r="C170" s="57">
        <f>all_data!C169</f>
        <v>0</v>
      </c>
      <c r="D170" s="50">
        <f>all_data!D169</f>
        <v>0</v>
      </c>
      <c r="E170" s="52">
        <f>IF(all_data!E169="",0,all_data!E169)</f>
        <v>0</v>
      </c>
      <c r="F170" s="51">
        <f>all_data!F169</f>
        <v>0</v>
      </c>
      <c r="G170" s="29">
        <f>all_data!H169</f>
        <v>0</v>
      </c>
      <c r="H170" s="62">
        <f>all_data!I169</f>
        <v>0</v>
      </c>
    </row>
    <row r="171" spans="1:8" ht="15.75">
      <c r="A171" s="31">
        <v>168</v>
      </c>
      <c r="B171" s="106">
        <f>all_data!B170</f>
        <v>0</v>
      </c>
      <c r="C171" s="57">
        <f>all_data!C170</f>
        <v>0</v>
      </c>
      <c r="D171" s="50">
        <f>all_data!D170</f>
        <v>0</v>
      </c>
      <c r="E171" s="52">
        <f>IF(all_data!E170="",0,all_data!E170)</f>
        <v>0</v>
      </c>
      <c r="F171" s="51">
        <f>all_data!F170</f>
        <v>0</v>
      </c>
      <c r="G171" s="29">
        <f>all_data!H170</f>
        <v>0</v>
      </c>
      <c r="H171" s="62">
        <f>all_data!I170</f>
        <v>0</v>
      </c>
    </row>
    <row r="172" spans="1:8" ht="15.75">
      <c r="A172" s="31">
        <v>169</v>
      </c>
      <c r="B172" s="106">
        <f>all_data!B171</f>
        <v>0</v>
      </c>
      <c r="C172" s="57">
        <f>all_data!C171</f>
        <v>0</v>
      </c>
      <c r="D172" s="50">
        <f>all_data!D171</f>
        <v>0</v>
      </c>
      <c r="E172" s="52">
        <f>IF(all_data!E171="",0,all_data!E171)</f>
        <v>0</v>
      </c>
      <c r="F172" s="51">
        <f>all_data!F171</f>
        <v>0</v>
      </c>
      <c r="G172" s="29">
        <f>all_data!H171</f>
        <v>0</v>
      </c>
      <c r="H172" s="62">
        <f>all_data!I171</f>
        <v>0</v>
      </c>
    </row>
    <row r="173" spans="1:8" ht="15.75">
      <c r="A173" s="31">
        <v>170</v>
      </c>
      <c r="B173" s="106">
        <f>all_data!B172</f>
        <v>0</v>
      </c>
      <c r="C173" s="57">
        <f>all_data!C172</f>
        <v>0</v>
      </c>
      <c r="D173" s="50">
        <f>all_data!D172</f>
        <v>0</v>
      </c>
      <c r="E173" s="52">
        <f>IF(all_data!E172="",0,all_data!E172)</f>
        <v>0</v>
      </c>
      <c r="F173" s="51">
        <f>all_data!F172</f>
        <v>0</v>
      </c>
      <c r="G173" s="29">
        <f>all_data!H172</f>
        <v>0</v>
      </c>
      <c r="H173" s="62">
        <f>all_data!I172</f>
        <v>0</v>
      </c>
    </row>
    <row r="174" spans="1:8" ht="15.75">
      <c r="A174" s="31">
        <v>171</v>
      </c>
      <c r="B174" s="106">
        <f>all_data!B173</f>
        <v>0</v>
      </c>
      <c r="C174" s="57">
        <f>all_data!C173</f>
        <v>0</v>
      </c>
      <c r="D174" s="50">
        <f>all_data!D173</f>
        <v>0</v>
      </c>
      <c r="E174" s="52">
        <f>IF(all_data!E173="",0,all_data!E173)</f>
        <v>0</v>
      </c>
      <c r="F174" s="51">
        <f>all_data!F173</f>
        <v>0</v>
      </c>
      <c r="G174" s="29">
        <f>all_data!H173</f>
        <v>0</v>
      </c>
      <c r="H174" s="62">
        <f>all_data!I173</f>
        <v>0</v>
      </c>
    </row>
    <row r="175" spans="1:8" ht="15.75">
      <c r="A175" s="31">
        <v>172</v>
      </c>
      <c r="B175" s="106">
        <f>all_data!B174</f>
        <v>0</v>
      </c>
      <c r="C175" s="57">
        <f>all_data!C174</f>
        <v>0</v>
      </c>
      <c r="D175" s="50">
        <f>all_data!D174</f>
        <v>0</v>
      </c>
      <c r="E175" s="52">
        <f>IF(all_data!E174="",0,all_data!E174)</f>
        <v>0</v>
      </c>
      <c r="F175" s="51">
        <f>all_data!F174</f>
        <v>0</v>
      </c>
      <c r="G175" s="29">
        <f>all_data!H174</f>
        <v>0</v>
      </c>
      <c r="H175" s="62">
        <f>all_data!I174</f>
        <v>0</v>
      </c>
    </row>
    <row r="176" spans="1:8" ht="15.75">
      <c r="A176" s="31">
        <v>173</v>
      </c>
      <c r="B176" s="106">
        <f>all_data!B175</f>
        <v>0</v>
      </c>
      <c r="C176" s="57">
        <f>all_data!C175</f>
        <v>0</v>
      </c>
      <c r="D176" s="50">
        <f>all_data!D175</f>
        <v>0</v>
      </c>
      <c r="E176" s="52">
        <f>IF(all_data!E175="",0,all_data!E175)</f>
        <v>0</v>
      </c>
      <c r="F176" s="51">
        <f>all_data!F175</f>
        <v>0</v>
      </c>
      <c r="G176" s="29">
        <f>all_data!H175</f>
        <v>0</v>
      </c>
      <c r="H176" s="62">
        <f>all_data!I175</f>
        <v>0</v>
      </c>
    </row>
    <row r="177" spans="1:8" ht="15.75">
      <c r="A177" s="31">
        <v>174</v>
      </c>
      <c r="B177" s="106">
        <f>all_data!B176</f>
        <v>0</v>
      </c>
      <c r="C177" s="57">
        <f>all_data!C176</f>
        <v>0</v>
      </c>
      <c r="D177" s="50">
        <f>all_data!D176</f>
        <v>0</v>
      </c>
      <c r="E177" s="52">
        <f>IF(all_data!E176="",0,all_data!E176)</f>
        <v>0</v>
      </c>
      <c r="F177" s="51">
        <f>all_data!F176</f>
        <v>0</v>
      </c>
      <c r="G177" s="29">
        <f>all_data!H176</f>
        <v>0</v>
      </c>
      <c r="H177" s="62">
        <f>all_data!I176</f>
        <v>0</v>
      </c>
    </row>
    <row r="178" spans="1:8" ht="15.75">
      <c r="A178" s="31">
        <v>175</v>
      </c>
      <c r="B178" s="106">
        <f>all_data!B177</f>
        <v>0</v>
      </c>
      <c r="C178" s="57">
        <f>all_data!C177</f>
        <v>0</v>
      </c>
      <c r="D178" s="50">
        <f>all_data!D177</f>
        <v>0</v>
      </c>
      <c r="E178" s="52">
        <f>IF(all_data!E177="",0,all_data!E177)</f>
        <v>0</v>
      </c>
      <c r="F178" s="51">
        <f>all_data!F177</f>
        <v>0</v>
      </c>
      <c r="G178" s="29">
        <f>all_data!H177</f>
        <v>0</v>
      </c>
      <c r="H178" s="62">
        <f>all_data!I177</f>
        <v>0</v>
      </c>
    </row>
    <row r="179" spans="1:8" ht="15.75">
      <c r="A179" s="31">
        <v>176</v>
      </c>
      <c r="B179" s="106">
        <f>all_data!B178</f>
        <v>0</v>
      </c>
      <c r="C179" s="57">
        <f>all_data!C178</f>
        <v>0</v>
      </c>
      <c r="D179" s="50">
        <f>all_data!D178</f>
        <v>0</v>
      </c>
      <c r="E179" s="52">
        <f>IF(all_data!E178="",0,all_data!E178)</f>
        <v>0</v>
      </c>
      <c r="F179" s="51">
        <f>all_data!F178</f>
        <v>0</v>
      </c>
      <c r="G179" s="29">
        <f>all_data!H178</f>
        <v>0</v>
      </c>
      <c r="H179" s="62">
        <f>all_data!I178</f>
        <v>0</v>
      </c>
    </row>
    <row r="180" spans="1:8" ht="15.75">
      <c r="A180" s="31">
        <v>177</v>
      </c>
      <c r="B180" s="106">
        <f>all_data!B179</f>
        <v>0</v>
      </c>
      <c r="C180" s="57">
        <f>all_data!C179</f>
        <v>0</v>
      </c>
      <c r="D180" s="50">
        <f>all_data!D179</f>
        <v>0</v>
      </c>
      <c r="E180" s="52">
        <f>IF(all_data!E179="",0,all_data!E179)</f>
        <v>0</v>
      </c>
      <c r="F180" s="51">
        <f>all_data!F179</f>
        <v>0</v>
      </c>
      <c r="G180" s="29">
        <f>all_data!H179</f>
        <v>0</v>
      </c>
      <c r="H180" s="62">
        <f>all_data!I179</f>
        <v>0</v>
      </c>
    </row>
    <row r="181" spans="1:8" ht="15.75">
      <c r="A181" s="31">
        <v>178</v>
      </c>
      <c r="B181" s="106">
        <f>all_data!B180</f>
        <v>0</v>
      </c>
      <c r="C181" s="57">
        <f>all_data!C180</f>
        <v>0</v>
      </c>
      <c r="D181" s="50">
        <f>all_data!D180</f>
        <v>0</v>
      </c>
      <c r="E181" s="52">
        <f>IF(all_data!E180="",0,all_data!E180)</f>
        <v>0</v>
      </c>
      <c r="F181" s="51">
        <f>all_data!F180</f>
        <v>0</v>
      </c>
      <c r="G181" s="29">
        <f>all_data!H180</f>
        <v>0</v>
      </c>
      <c r="H181" s="62">
        <f>all_data!I180</f>
        <v>0</v>
      </c>
    </row>
    <row r="182" spans="1:8" ht="15.75">
      <c r="A182" s="31">
        <v>179</v>
      </c>
      <c r="B182" s="106">
        <f>all_data!B181</f>
        <v>0</v>
      </c>
      <c r="C182" s="57">
        <f>all_data!C181</f>
        <v>0</v>
      </c>
      <c r="D182" s="50">
        <f>all_data!D181</f>
        <v>0</v>
      </c>
      <c r="E182" s="52">
        <f>IF(all_data!E181="",0,all_data!E181)</f>
        <v>0</v>
      </c>
      <c r="F182" s="51">
        <f>all_data!F181</f>
        <v>0</v>
      </c>
      <c r="G182" s="29">
        <f>all_data!H181</f>
        <v>0</v>
      </c>
      <c r="H182" s="62">
        <f>all_data!I181</f>
        <v>0</v>
      </c>
    </row>
    <row r="183" spans="1:8" ht="15.75">
      <c r="A183" s="31">
        <v>180</v>
      </c>
      <c r="B183" s="106">
        <f>all_data!B182</f>
        <v>0</v>
      </c>
      <c r="C183" s="57">
        <f>all_data!C182</f>
        <v>0</v>
      </c>
      <c r="D183" s="50">
        <f>all_data!D182</f>
        <v>0</v>
      </c>
      <c r="E183" s="52">
        <f>IF(all_data!E182="",0,all_data!E182)</f>
        <v>0</v>
      </c>
      <c r="F183" s="51">
        <f>all_data!F182</f>
        <v>0</v>
      </c>
      <c r="G183" s="29">
        <f>all_data!H182</f>
        <v>0</v>
      </c>
      <c r="H183" s="62">
        <f>all_data!I182</f>
        <v>0</v>
      </c>
    </row>
    <row r="184" spans="1:8" ht="15.75">
      <c r="A184" s="31">
        <v>181</v>
      </c>
      <c r="B184" s="106">
        <f>all_data!B183</f>
        <v>0</v>
      </c>
      <c r="C184" s="57">
        <f>all_data!C183</f>
        <v>0</v>
      </c>
      <c r="D184" s="50">
        <f>all_data!D183</f>
        <v>0</v>
      </c>
      <c r="E184" s="52">
        <f>IF(all_data!E183="",0,all_data!E183)</f>
        <v>0</v>
      </c>
      <c r="F184" s="51">
        <f>all_data!F183</f>
        <v>0</v>
      </c>
      <c r="G184" s="29">
        <f>all_data!H183</f>
        <v>0</v>
      </c>
      <c r="H184" s="62">
        <f>all_data!I183</f>
        <v>0</v>
      </c>
    </row>
    <row r="185" spans="1:8" ht="15.75">
      <c r="A185" s="31">
        <v>182</v>
      </c>
      <c r="B185" s="106">
        <f>all_data!B184</f>
        <v>0</v>
      </c>
      <c r="C185" s="57">
        <f>all_data!C184</f>
        <v>0</v>
      </c>
      <c r="D185" s="50">
        <f>all_data!D184</f>
        <v>0</v>
      </c>
      <c r="E185" s="52">
        <f>IF(all_data!E184="",0,all_data!E184)</f>
        <v>0</v>
      </c>
      <c r="F185" s="51">
        <f>all_data!F184</f>
        <v>0</v>
      </c>
      <c r="G185" s="29">
        <f>all_data!H184</f>
        <v>0</v>
      </c>
      <c r="H185" s="62">
        <f>all_data!I184</f>
        <v>0</v>
      </c>
    </row>
    <row r="186" spans="1:8" ht="15.75">
      <c r="A186" s="31">
        <v>183</v>
      </c>
      <c r="B186" s="106">
        <f>all_data!B185</f>
        <v>0</v>
      </c>
      <c r="C186" s="57">
        <f>all_data!C185</f>
        <v>0</v>
      </c>
      <c r="D186" s="50">
        <f>all_data!D185</f>
        <v>0</v>
      </c>
      <c r="E186" s="52">
        <f>IF(all_data!E185="",0,all_data!E185)</f>
        <v>0</v>
      </c>
      <c r="F186" s="51">
        <f>all_data!F185</f>
        <v>0</v>
      </c>
      <c r="G186" s="29">
        <f>all_data!H185</f>
        <v>0</v>
      </c>
      <c r="H186" s="62">
        <f>all_data!I185</f>
        <v>0</v>
      </c>
    </row>
    <row r="187" spans="1:8" ht="15.75">
      <c r="A187" s="31">
        <v>184</v>
      </c>
      <c r="B187" s="106">
        <f>all_data!B186</f>
        <v>0</v>
      </c>
      <c r="C187" s="57">
        <f>all_data!C186</f>
        <v>0</v>
      </c>
      <c r="D187" s="50">
        <f>all_data!D186</f>
        <v>0</v>
      </c>
      <c r="E187" s="52">
        <f>IF(all_data!E186="",0,all_data!E186)</f>
        <v>0</v>
      </c>
      <c r="F187" s="51">
        <f>all_data!F186</f>
        <v>0</v>
      </c>
      <c r="G187" s="29">
        <f>all_data!H186</f>
        <v>0</v>
      </c>
      <c r="H187" s="62">
        <f>all_data!I186</f>
        <v>0</v>
      </c>
    </row>
    <row r="188" spans="1:8" ht="15.75">
      <c r="A188" s="31">
        <v>185</v>
      </c>
      <c r="B188" s="106">
        <f>all_data!B187</f>
        <v>0</v>
      </c>
      <c r="C188" s="57">
        <f>all_data!C187</f>
        <v>0</v>
      </c>
      <c r="D188" s="50">
        <f>all_data!D187</f>
        <v>0</v>
      </c>
      <c r="E188" s="52">
        <f>IF(all_data!E187="",0,all_data!E187)</f>
        <v>0</v>
      </c>
      <c r="F188" s="51">
        <f>all_data!F187</f>
        <v>0</v>
      </c>
      <c r="G188" s="29">
        <f>all_data!H187</f>
        <v>0</v>
      </c>
      <c r="H188" s="62">
        <f>all_data!I187</f>
        <v>0</v>
      </c>
    </row>
    <row r="189" spans="1:8" ht="15.75">
      <c r="A189" s="31">
        <v>186</v>
      </c>
      <c r="B189" s="106">
        <f>all_data!B188</f>
        <v>0</v>
      </c>
      <c r="C189" s="57">
        <f>all_data!C188</f>
        <v>0</v>
      </c>
      <c r="D189" s="50">
        <f>all_data!D188</f>
        <v>0</v>
      </c>
      <c r="E189" s="52">
        <f>IF(all_data!E188="",0,all_data!E188)</f>
        <v>0</v>
      </c>
      <c r="F189" s="51">
        <f>all_data!F188</f>
        <v>0</v>
      </c>
      <c r="G189" s="29">
        <f>all_data!H188</f>
        <v>0</v>
      </c>
      <c r="H189" s="62">
        <f>all_data!I188</f>
        <v>0</v>
      </c>
    </row>
    <row r="190" spans="1:8" ht="15.75">
      <c r="A190" s="31">
        <v>187</v>
      </c>
      <c r="B190" s="106">
        <f>all_data!B189</f>
        <v>0</v>
      </c>
      <c r="C190" s="57">
        <f>all_data!C189</f>
        <v>0</v>
      </c>
      <c r="D190" s="50">
        <f>all_data!D189</f>
        <v>0</v>
      </c>
      <c r="E190" s="52">
        <f>IF(all_data!E189="",0,all_data!E189)</f>
        <v>0</v>
      </c>
      <c r="F190" s="51">
        <f>all_data!F189</f>
        <v>0</v>
      </c>
      <c r="G190" s="29">
        <f>all_data!H189</f>
        <v>0</v>
      </c>
      <c r="H190" s="62">
        <f>all_data!I189</f>
        <v>0</v>
      </c>
    </row>
    <row r="191" spans="1:8" ht="15.75">
      <c r="A191" s="31">
        <v>188</v>
      </c>
      <c r="B191" s="106">
        <f>all_data!B190</f>
        <v>0</v>
      </c>
      <c r="C191" s="57">
        <f>all_data!C190</f>
        <v>0</v>
      </c>
      <c r="D191" s="50">
        <f>all_data!D190</f>
        <v>0</v>
      </c>
      <c r="E191" s="52">
        <f>IF(all_data!E190="",0,all_data!E190)</f>
        <v>0</v>
      </c>
      <c r="F191" s="51">
        <f>all_data!F190</f>
        <v>0</v>
      </c>
      <c r="G191" s="29">
        <f>all_data!H190</f>
        <v>0</v>
      </c>
      <c r="H191" s="62">
        <f>all_data!I190</f>
        <v>0</v>
      </c>
    </row>
    <row r="192" spans="1:8" ht="15.75">
      <c r="A192" s="31">
        <v>189</v>
      </c>
      <c r="B192" s="106">
        <f>all_data!B191</f>
        <v>0</v>
      </c>
      <c r="C192" s="57">
        <f>all_data!C191</f>
        <v>0</v>
      </c>
      <c r="D192" s="50">
        <f>all_data!D191</f>
        <v>0</v>
      </c>
      <c r="E192" s="52">
        <f>IF(all_data!E191="",0,all_data!E191)</f>
        <v>0</v>
      </c>
      <c r="F192" s="51">
        <f>all_data!F191</f>
        <v>0</v>
      </c>
      <c r="G192" s="29">
        <f>all_data!H191</f>
        <v>0</v>
      </c>
      <c r="H192" s="62">
        <f>all_data!I191</f>
        <v>0</v>
      </c>
    </row>
    <row r="193" spans="1:8" ht="15.75">
      <c r="A193" s="31">
        <v>190</v>
      </c>
      <c r="B193" s="106">
        <f>all_data!B192</f>
        <v>0</v>
      </c>
      <c r="C193" s="57">
        <f>all_data!C192</f>
        <v>0</v>
      </c>
      <c r="D193" s="50">
        <f>all_data!D192</f>
        <v>0</v>
      </c>
      <c r="E193" s="52">
        <f>IF(all_data!E192="",0,all_data!E192)</f>
        <v>0</v>
      </c>
      <c r="F193" s="51">
        <f>all_data!F192</f>
        <v>0</v>
      </c>
      <c r="G193" s="29">
        <f>all_data!H192</f>
        <v>0</v>
      </c>
      <c r="H193" s="62">
        <f>all_data!I192</f>
        <v>0</v>
      </c>
    </row>
    <row r="194" spans="1:8" ht="15.75">
      <c r="A194" s="31">
        <v>191</v>
      </c>
      <c r="B194" s="106">
        <f>all_data!B193</f>
        <v>0</v>
      </c>
      <c r="C194" s="57">
        <f>all_data!C193</f>
        <v>0</v>
      </c>
      <c r="D194" s="50">
        <f>all_data!D193</f>
        <v>0</v>
      </c>
      <c r="E194" s="52">
        <f>IF(all_data!E193="",0,all_data!E193)</f>
        <v>0</v>
      </c>
      <c r="F194" s="51">
        <f>all_data!F193</f>
        <v>0</v>
      </c>
      <c r="G194" s="29">
        <f>all_data!H193</f>
        <v>0</v>
      </c>
      <c r="H194" s="62">
        <f>all_data!I193</f>
        <v>0</v>
      </c>
    </row>
    <row r="195" spans="1:8" ht="15.75">
      <c r="A195" s="31">
        <v>192</v>
      </c>
      <c r="B195" s="106">
        <f>all_data!B194</f>
        <v>0</v>
      </c>
      <c r="C195" s="57">
        <f>all_data!C194</f>
        <v>0</v>
      </c>
      <c r="D195" s="50">
        <f>all_data!D194</f>
        <v>0</v>
      </c>
      <c r="E195" s="52">
        <f>IF(all_data!E194="",0,all_data!E194)</f>
        <v>0</v>
      </c>
      <c r="F195" s="51">
        <f>all_data!F194</f>
        <v>0</v>
      </c>
      <c r="G195" s="29">
        <f>all_data!H194</f>
        <v>0</v>
      </c>
      <c r="H195" s="62">
        <f>all_data!I194</f>
        <v>0</v>
      </c>
    </row>
    <row r="196" spans="1:8" ht="15.75">
      <c r="A196" s="31">
        <v>193</v>
      </c>
      <c r="B196" s="106">
        <f>all_data!B195</f>
        <v>0</v>
      </c>
      <c r="C196" s="57">
        <f>all_data!C195</f>
        <v>0</v>
      </c>
      <c r="D196" s="50">
        <f>all_data!D195</f>
        <v>0</v>
      </c>
      <c r="E196" s="52">
        <f>IF(all_data!E195="",0,all_data!E195)</f>
        <v>0</v>
      </c>
      <c r="F196" s="51">
        <f>all_data!F195</f>
        <v>0</v>
      </c>
      <c r="G196" s="29">
        <f>all_data!H195</f>
        <v>0</v>
      </c>
      <c r="H196" s="62">
        <f>all_data!I195</f>
        <v>0</v>
      </c>
    </row>
    <row r="197" spans="1:8" ht="15.75">
      <c r="A197" s="31">
        <v>194</v>
      </c>
      <c r="B197" s="106">
        <f>all_data!B196</f>
        <v>0</v>
      </c>
      <c r="C197" s="57">
        <f>all_data!C196</f>
        <v>0</v>
      </c>
      <c r="D197" s="50">
        <f>all_data!D196</f>
        <v>0</v>
      </c>
      <c r="E197" s="52">
        <f>IF(all_data!E196="",0,all_data!E196)</f>
        <v>0</v>
      </c>
      <c r="F197" s="51">
        <f>all_data!F196</f>
        <v>0</v>
      </c>
      <c r="G197" s="29">
        <f>all_data!H196</f>
        <v>0</v>
      </c>
      <c r="H197" s="62">
        <f>all_data!I196</f>
        <v>0</v>
      </c>
    </row>
    <row r="198" spans="1:8" ht="15.75">
      <c r="A198" s="31">
        <v>195</v>
      </c>
      <c r="B198" s="106">
        <f>all_data!B197</f>
        <v>0</v>
      </c>
      <c r="C198" s="57">
        <f>all_data!C197</f>
        <v>0</v>
      </c>
      <c r="D198" s="50">
        <f>all_data!D197</f>
        <v>0</v>
      </c>
      <c r="E198" s="52">
        <f>IF(all_data!E197="",0,all_data!E197)</f>
        <v>0</v>
      </c>
      <c r="F198" s="51">
        <f>all_data!F197</f>
        <v>0</v>
      </c>
      <c r="G198" s="29">
        <f>all_data!H197</f>
        <v>0</v>
      </c>
      <c r="H198" s="62">
        <f>all_data!I197</f>
        <v>0</v>
      </c>
    </row>
    <row r="199" spans="1:8" ht="15.75">
      <c r="A199" s="31">
        <v>196</v>
      </c>
      <c r="B199" s="106">
        <f>all_data!B198</f>
        <v>0</v>
      </c>
      <c r="C199" s="57">
        <f>all_data!C198</f>
        <v>0</v>
      </c>
      <c r="D199" s="50">
        <f>all_data!D198</f>
        <v>0</v>
      </c>
      <c r="E199" s="52">
        <f>IF(all_data!E198="",0,all_data!E198)</f>
        <v>0</v>
      </c>
      <c r="F199" s="51">
        <f>all_data!F198</f>
        <v>0</v>
      </c>
      <c r="G199" s="29">
        <f>all_data!H198</f>
        <v>0</v>
      </c>
      <c r="H199" s="62">
        <f>all_data!I198</f>
        <v>0</v>
      </c>
    </row>
    <row r="200" spans="1:8" ht="15.75">
      <c r="A200" s="31">
        <v>197</v>
      </c>
      <c r="B200" s="106">
        <f>all_data!B199</f>
        <v>0</v>
      </c>
      <c r="C200" s="57">
        <f>all_data!C199</f>
        <v>0</v>
      </c>
      <c r="D200" s="50">
        <f>all_data!D199</f>
        <v>0</v>
      </c>
      <c r="E200" s="52">
        <f>IF(all_data!E199="",0,all_data!E199)</f>
        <v>0</v>
      </c>
      <c r="F200" s="51">
        <f>all_data!F199</f>
        <v>0</v>
      </c>
      <c r="G200" s="29">
        <f>all_data!H199</f>
        <v>0</v>
      </c>
      <c r="H200" s="62">
        <f>all_data!I199</f>
        <v>0</v>
      </c>
    </row>
    <row r="201" spans="1:8" ht="15.75">
      <c r="A201" s="31">
        <v>198</v>
      </c>
      <c r="B201" s="106">
        <f>all_data!B200</f>
        <v>0</v>
      </c>
      <c r="C201" s="57">
        <f>all_data!C200</f>
        <v>0</v>
      </c>
      <c r="D201" s="50">
        <f>all_data!D200</f>
        <v>0</v>
      </c>
      <c r="E201" s="52">
        <f>IF(all_data!E200="",0,all_data!E200)</f>
        <v>0</v>
      </c>
      <c r="F201" s="51">
        <f>all_data!F200</f>
        <v>0</v>
      </c>
      <c r="G201" s="29">
        <f>all_data!H200</f>
        <v>0</v>
      </c>
      <c r="H201" s="62">
        <f>all_data!I200</f>
        <v>0</v>
      </c>
    </row>
    <row r="202" spans="1:8" ht="15.75">
      <c r="A202" s="31">
        <v>199</v>
      </c>
      <c r="B202" s="106">
        <f>all_data!B201</f>
        <v>0</v>
      </c>
      <c r="C202" s="57">
        <f>all_data!C201</f>
        <v>0</v>
      </c>
      <c r="D202" s="50">
        <f>all_data!D201</f>
        <v>0</v>
      </c>
      <c r="E202" s="52">
        <f>IF(all_data!E201="",0,all_data!E201)</f>
        <v>0</v>
      </c>
      <c r="F202" s="51">
        <f>all_data!F201</f>
        <v>0</v>
      </c>
      <c r="G202" s="29">
        <f>all_data!H201</f>
        <v>0</v>
      </c>
      <c r="H202" s="62">
        <f>all_data!I201</f>
        <v>0</v>
      </c>
    </row>
    <row r="203" spans="1:8" ht="15.75">
      <c r="A203" s="31">
        <v>200</v>
      </c>
      <c r="B203" s="106">
        <f>all_data!B202</f>
        <v>0</v>
      </c>
      <c r="C203" s="57">
        <f>all_data!C202</f>
        <v>0</v>
      </c>
      <c r="D203" s="50">
        <f>all_data!D202</f>
        <v>0</v>
      </c>
      <c r="E203" s="52">
        <f>IF(all_data!E202="",0,all_data!E202)</f>
        <v>0</v>
      </c>
      <c r="F203" s="51">
        <f>all_data!F202</f>
        <v>0</v>
      </c>
      <c r="G203" s="29">
        <f>all_data!H202</f>
        <v>0</v>
      </c>
      <c r="H203" s="62">
        <f>all_data!I202</f>
        <v>0</v>
      </c>
    </row>
    <row r="204" spans="1:8" ht="15.75">
      <c r="A204" s="31">
        <v>201</v>
      </c>
      <c r="B204" s="106">
        <f>all_data!B203</f>
        <v>0</v>
      </c>
      <c r="C204" s="57">
        <f>all_data!C203</f>
        <v>0</v>
      </c>
      <c r="D204" s="50">
        <f>all_data!D203</f>
        <v>0</v>
      </c>
      <c r="E204" s="52">
        <f>IF(all_data!E203="",0,all_data!E203)</f>
        <v>0</v>
      </c>
      <c r="F204" s="51">
        <f>all_data!F203</f>
        <v>0</v>
      </c>
      <c r="G204" s="29">
        <f>all_data!H203</f>
        <v>0</v>
      </c>
      <c r="H204" s="62">
        <f>all_data!I203</f>
        <v>0</v>
      </c>
    </row>
    <row r="205" spans="1:8" ht="15.75">
      <c r="A205" s="31">
        <v>202</v>
      </c>
      <c r="B205" s="106">
        <f>all_data!B204</f>
        <v>0</v>
      </c>
      <c r="C205" s="57">
        <f>all_data!C204</f>
        <v>0</v>
      </c>
      <c r="D205" s="50">
        <f>all_data!D204</f>
        <v>0</v>
      </c>
      <c r="E205" s="52">
        <f>IF(all_data!E204="",0,all_data!E204)</f>
        <v>0</v>
      </c>
      <c r="F205" s="51">
        <f>all_data!F204</f>
        <v>0</v>
      </c>
      <c r="G205" s="29">
        <f>all_data!H204</f>
        <v>0</v>
      </c>
      <c r="H205" s="62">
        <f>all_data!I204</f>
        <v>0</v>
      </c>
    </row>
    <row r="206" spans="1:8" ht="15.75">
      <c r="A206" s="31">
        <v>203</v>
      </c>
      <c r="B206" s="106">
        <f>all_data!B205</f>
        <v>0</v>
      </c>
      <c r="C206" s="57">
        <f>all_data!C205</f>
        <v>0</v>
      </c>
      <c r="D206" s="50">
        <f>all_data!D205</f>
        <v>0</v>
      </c>
      <c r="E206" s="52">
        <f>IF(all_data!E205="",0,all_data!E205)</f>
        <v>0</v>
      </c>
      <c r="F206" s="51">
        <f>all_data!F205</f>
        <v>0</v>
      </c>
      <c r="G206" s="29">
        <f>all_data!H205</f>
        <v>0</v>
      </c>
      <c r="H206" s="62">
        <f>all_data!I205</f>
        <v>0</v>
      </c>
    </row>
    <row r="207" spans="1:8" ht="15.75">
      <c r="A207" s="31">
        <v>204</v>
      </c>
      <c r="B207" s="106">
        <f>all_data!B206</f>
        <v>0</v>
      </c>
      <c r="C207" s="57">
        <f>all_data!C206</f>
        <v>0</v>
      </c>
      <c r="D207" s="50">
        <f>all_data!D206</f>
        <v>0</v>
      </c>
      <c r="E207" s="52">
        <f>IF(all_data!E206="",0,all_data!E206)</f>
        <v>0</v>
      </c>
      <c r="F207" s="51">
        <f>all_data!F206</f>
        <v>0</v>
      </c>
      <c r="G207" s="29">
        <f>all_data!H206</f>
        <v>0</v>
      </c>
      <c r="H207" s="62">
        <f>all_data!I206</f>
        <v>0</v>
      </c>
    </row>
    <row r="208" spans="1:8" ht="15.75">
      <c r="A208" s="31">
        <v>205</v>
      </c>
      <c r="B208" s="106">
        <f>all_data!B207</f>
        <v>0</v>
      </c>
      <c r="C208" s="57">
        <f>all_data!C207</f>
        <v>0</v>
      </c>
      <c r="D208" s="50">
        <f>all_data!D207</f>
        <v>0</v>
      </c>
      <c r="E208" s="52">
        <f>IF(all_data!E207="",0,all_data!E207)</f>
        <v>0</v>
      </c>
      <c r="F208" s="51">
        <f>all_data!F207</f>
        <v>0</v>
      </c>
      <c r="G208" s="29">
        <f>all_data!H207</f>
        <v>0</v>
      </c>
      <c r="H208" s="62">
        <f>all_data!I207</f>
        <v>0</v>
      </c>
    </row>
    <row r="209" spans="1:8" ht="15.75">
      <c r="A209" s="31">
        <v>206</v>
      </c>
      <c r="B209" s="106">
        <f>all_data!B208</f>
        <v>0</v>
      </c>
      <c r="C209" s="57">
        <f>all_data!C208</f>
        <v>0</v>
      </c>
      <c r="D209" s="50">
        <f>all_data!D208</f>
        <v>0</v>
      </c>
      <c r="E209" s="52">
        <f>IF(all_data!E208="",0,all_data!E208)</f>
        <v>0</v>
      </c>
      <c r="F209" s="51">
        <f>all_data!F208</f>
        <v>0</v>
      </c>
      <c r="G209" s="29">
        <f>all_data!H208</f>
        <v>0</v>
      </c>
      <c r="H209" s="62">
        <f>all_data!I208</f>
        <v>0</v>
      </c>
    </row>
    <row r="210" spans="1:8" ht="15.75">
      <c r="A210" s="31">
        <v>207</v>
      </c>
      <c r="B210" s="106">
        <f>all_data!B209</f>
        <v>0</v>
      </c>
      <c r="C210" s="57">
        <f>all_data!C209</f>
        <v>0</v>
      </c>
      <c r="D210" s="50">
        <f>all_data!D209</f>
        <v>0</v>
      </c>
      <c r="E210" s="52">
        <f>IF(all_data!E209="",0,all_data!E209)</f>
        <v>0</v>
      </c>
      <c r="F210" s="51">
        <f>all_data!F209</f>
        <v>0</v>
      </c>
      <c r="G210" s="29">
        <f>all_data!H209</f>
        <v>0</v>
      </c>
      <c r="H210" s="62">
        <f>all_data!I209</f>
        <v>0</v>
      </c>
    </row>
    <row r="211" spans="1:8" ht="15.75">
      <c r="A211" s="31">
        <v>208</v>
      </c>
      <c r="B211" s="106">
        <f>all_data!B210</f>
        <v>0</v>
      </c>
      <c r="C211" s="57">
        <f>all_data!C210</f>
        <v>0</v>
      </c>
      <c r="D211" s="50">
        <f>all_data!D210</f>
        <v>0</v>
      </c>
      <c r="E211" s="52">
        <f>IF(all_data!E210="",0,all_data!E210)</f>
        <v>0</v>
      </c>
      <c r="F211" s="51">
        <f>all_data!F210</f>
        <v>0</v>
      </c>
      <c r="G211" s="29">
        <f>all_data!H210</f>
        <v>0</v>
      </c>
      <c r="H211" s="62">
        <f>all_data!I210</f>
        <v>0</v>
      </c>
    </row>
    <row r="212" spans="1:8" ht="15.75">
      <c r="A212" s="31">
        <v>209</v>
      </c>
      <c r="B212" s="106">
        <f>all_data!B211</f>
        <v>0</v>
      </c>
      <c r="C212" s="57">
        <f>all_data!C211</f>
        <v>0</v>
      </c>
      <c r="D212" s="50">
        <f>all_data!D211</f>
        <v>0</v>
      </c>
      <c r="E212" s="52">
        <f>IF(all_data!E211="",0,all_data!E211)</f>
        <v>0</v>
      </c>
      <c r="F212" s="51">
        <f>all_data!F211</f>
        <v>0</v>
      </c>
      <c r="G212" s="29">
        <f>all_data!H211</f>
        <v>0</v>
      </c>
      <c r="H212" s="62">
        <f>all_data!I211</f>
        <v>0</v>
      </c>
    </row>
    <row r="213" spans="1:8" ht="15.75">
      <c r="A213" s="31">
        <v>210</v>
      </c>
      <c r="B213" s="106">
        <f>all_data!B212</f>
        <v>0</v>
      </c>
      <c r="C213" s="57">
        <f>all_data!C212</f>
        <v>0</v>
      </c>
      <c r="D213" s="50">
        <f>all_data!D212</f>
        <v>0</v>
      </c>
      <c r="E213" s="52">
        <f>IF(all_data!E212="",0,all_data!E212)</f>
        <v>0</v>
      </c>
      <c r="F213" s="51">
        <f>all_data!F212</f>
        <v>0</v>
      </c>
      <c r="G213" s="29">
        <f>all_data!H212</f>
        <v>0</v>
      </c>
      <c r="H213" s="62">
        <f>all_data!I212</f>
        <v>0</v>
      </c>
    </row>
    <row r="214" spans="1:8" ht="15.75">
      <c r="A214" s="31">
        <v>211</v>
      </c>
      <c r="B214" s="106">
        <f>all_data!B213</f>
        <v>0</v>
      </c>
      <c r="C214" s="57">
        <f>all_data!C213</f>
        <v>0</v>
      </c>
      <c r="D214" s="50">
        <f>all_data!D213</f>
        <v>0</v>
      </c>
      <c r="E214" s="52">
        <f>IF(all_data!E213="",0,all_data!E213)</f>
        <v>0</v>
      </c>
      <c r="F214" s="51">
        <f>all_data!F213</f>
        <v>0</v>
      </c>
      <c r="G214" s="29">
        <f>all_data!H213</f>
        <v>0</v>
      </c>
      <c r="H214" s="62">
        <f>all_data!I213</f>
        <v>0</v>
      </c>
    </row>
    <row r="215" spans="1:8" ht="15.75">
      <c r="A215" s="31">
        <v>212</v>
      </c>
      <c r="B215" s="106">
        <f>all_data!B214</f>
        <v>0</v>
      </c>
      <c r="C215" s="57">
        <f>all_data!C214</f>
        <v>0</v>
      </c>
      <c r="D215" s="50">
        <f>all_data!D214</f>
        <v>0</v>
      </c>
      <c r="E215" s="52">
        <f>IF(all_data!E214="",0,all_data!E214)</f>
        <v>0</v>
      </c>
      <c r="F215" s="51">
        <f>all_data!F214</f>
        <v>0</v>
      </c>
      <c r="G215" s="29">
        <f>all_data!H214</f>
        <v>0</v>
      </c>
      <c r="H215" s="62">
        <f>all_data!I214</f>
        <v>0</v>
      </c>
    </row>
    <row r="216" spans="1:8" ht="15.75">
      <c r="A216" s="31">
        <v>213</v>
      </c>
      <c r="B216" s="106">
        <f>all_data!B215</f>
        <v>0</v>
      </c>
      <c r="C216" s="57">
        <f>all_data!C215</f>
        <v>0</v>
      </c>
      <c r="D216" s="50">
        <f>all_data!D215</f>
        <v>0</v>
      </c>
      <c r="E216" s="52">
        <f>IF(all_data!E215="",0,all_data!E215)</f>
        <v>0</v>
      </c>
      <c r="F216" s="51">
        <f>all_data!F215</f>
        <v>0</v>
      </c>
      <c r="G216" s="29">
        <f>all_data!H215</f>
        <v>0</v>
      </c>
      <c r="H216" s="62">
        <f>all_data!I215</f>
        <v>0</v>
      </c>
    </row>
    <row r="217" spans="1:8" ht="15.75">
      <c r="A217" s="31">
        <v>214</v>
      </c>
      <c r="B217" s="106">
        <f>all_data!B216</f>
        <v>0</v>
      </c>
      <c r="C217" s="57">
        <f>all_data!C216</f>
        <v>0</v>
      </c>
      <c r="D217" s="50">
        <f>all_data!D216</f>
        <v>0</v>
      </c>
      <c r="E217" s="52">
        <f>IF(all_data!E216="",0,all_data!E216)</f>
        <v>0</v>
      </c>
      <c r="F217" s="51">
        <f>all_data!F216</f>
        <v>0</v>
      </c>
      <c r="G217" s="29">
        <f>all_data!H216</f>
        <v>0</v>
      </c>
      <c r="H217" s="62">
        <f>all_data!I216</f>
        <v>0</v>
      </c>
    </row>
    <row r="218" spans="1:8" ht="15.75">
      <c r="A218" s="31">
        <v>215</v>
      </c>
      <c r="B218" s="106">
        <f>all_data!B217</f>
        <v>0</v>
      </c>
      <c r="C218" s="57">
        <f>all_data!C217</f>
        <v>0</v>
      </c>
      <c r="D218" s="50">
        <f>all_data!D217</f>
        <v>0</v>
      </c>
      <c r="E218" s="52">
        <f>IF(all_data!E217="",0,all_data!E217)</f>
        <v>0</v>
      </c>
      <c r="F218" s="51">
        <f>all_data!F217</f>
        <v>0</v>
      </c>
      <c r="G218" s="29">
        <f>all_data!H217</f>
        <v>0</v>
      </c>
      <c r="H218" s="62">
        <f>all_data!I217</f>
        <v>0</v>
      </c>
    </row>
    <row r="219" spans="1:8" ht="15.75">
      <c r="A219" s="31">
        <v>216</v>
      </c>
      <c r="B219" s="106">
        <f>all_data!B218</f>
        <v>0</v>
      </c>
      <c r="C219" s="57">
        <f>all_data!C218</f>
        <v>0</v>
      </c>
      <c r="D219" s="50">
        <f>all_data!D218</f>
        <v>0</v>
      </c>
      <c r="E219" s="52">
        <f>IF(all_data!E218="",0,all_data!E218)</f>
        <v>0</v>
      </c>
      <c r="F219" s="51">
        <f>all_data!F218</f>
        <v>0</v>
      </c>
      <c r="G219" s="29">
        <f>all_data!H218</f>
        <v>0</v>
      </c>
      <c r="H219" s="62">
        <f>all_data!I218</f>
        <v>0</v>
      </c>
    </row>
    <row r="220" spans="1:8" ht="15.75">
      <c r="A220" s="31">
        <v>217</v>
      </c>
      <c r="B220" s="106">
        <f>all_data!B219</f>
        <v>0</v>
      </c>
      <c r="C220" s="57">
        <f>all_data!C219</f>
        <v>0</v>
      </c>
      <c r="D220" s="50">
        <f>all_data!D219</f>
        <v>0</v>
      </c>
      <c r="E220" s="52">
        <f>IF(all_data!E219="",0,all_data!E219)</f>
        <v>0</v>
      </c>
      <c r="F220" s="51">
        <f>all_data!F219</f>
        <v>0</v>
      </c>
      <c r="G220" s="29">
        <f>all_data!H219</f>
        <v>0</v>
      </c>
      <c r="H220" s="62">
        <f>all_data!I219</f>
        <v>0</v>
      </c>
    </row>
    <row r="221" spans="1:8" ht="15.75">
      <c r="A221" s="31">
        <v>218</v>
      </c>
      <c r="B221" s="106">
        <f>all_data!B220</f>
        <v>0</v>
      </c>
      <c r="C221" s="57">
        <f>all_data!C220</f>
        <v>0</v>
      </c>
      <c r="D221" s="50">
        <f>all_data!D220</f>
        <v>0</v>
      </c>
      <c r="E221" s="52">
        <f>IF(all_data!E220="",0,all_data!E220)</f>
        <v>0</v>
      </c>
      <c r="F221" s="51">
        <f>all_data!F220</f>
        <v>0</v>
      </c>
      <c r="G221" s="29">
        <f>all_data!H220</f>
        <v>0</v>
      </c>
      <c r="H221" s="62">
        <f>all_data!I220</f>
        <v>0</v>
      </c>
    </row>
    <row r="222" spans="1:8" ht="15.75">
      <c r="A222" s="31">
        <v>219</v>
      </c>
      <c r="B222" s="106">
        <f>all_data!B221</f>
        <v>0</v>
      </c>
      <c r="C222" s="57">
        <f>all_data!C221</f>
        <v>0</v>
      </c>
      <c r="D222" s="50">
        <f>all_data!D221</f>
        <v>0</v>
      </c>
      <c r="E222" s="52">
        <f>IF(all_data!E221="",0,all_data!E221)</f>
        <v>0</v>
      </c>
      <c r="F222" s="51">
        <f>all_data!F221</f>
        <v>0</v>
      </c>
      <c r="G222" s="29">
        <f>all_data!H221</f>
        <v>0</v>
      </c>
      <c r="H222" s="62">
        <f>all_data!I221</f>
        <v>0</v>
      </c>
    </row>
    <row r="223" spans="1:8" ht="15.75">
      <c r="A223" s="31">
        <v>220</v>
      </c>
      <c r="B223" s="106">
        <f>all_data!B222</f>
        <v>0</v>
      </c>
      <c r="C223" s="57">
        <f>all_data!C222</f>
        <v>0</v>
      </c>
      <c r="D223" s="50">
        <f>all_data!D222</f>
        <v>0</v>
      </c>
      <c r="E223" s="52">
        <f>IF(all_data!E222="",0,all_data!E222)</f>
        <v>0</v>
      </c>
      <c r="F223" s="51">
        <f>all_data!F222</f>
        <v>0</v>
      </c>
      <c r="G223" s="29">
        <f>all_data!H222</f>
        <v>0</v>
      </c>
      <c r="H223" s="62">
        <f>all_data!I222</f>
        <v>0</v>
      </c>
    </row>
    <row r="224" spans="1:8" ht="15.75">
      <c r="A224" s="31">
        <v>221</v>
      </c>
      <c r="B224" s="106">
        <f>all_data!B223</f>
        <v>0</v>
      </c>
      <c r="C224" s="57">
        <f>all_data!C223</f>
        <v>0</v>
      </c>
      <c r="D224" s="50">
        <f>all_data!D223</f>
        <v>0</v>
      </c>
      <c r="E224" s="52">
        <f>IF(all_data!E223="",0,all_data!E223)</f>
        <v>0</v>
      </c>
      <c r="F224" s="51">
        <f>all_data!F223</f>
        <v>0</v>
      </c>
      <c r="G224" s="29">
        <f>all_data!H223</f>
        <v>0</v>
      </c>
      <c r="H224" s="62">
        <f>all_data!I223</f>
        <v>0</v>
      </c>
    </row>
    <row r="225" spans="1:8" ht="15.75">
      <c r="A225" s="31">
        <v>222</v>
      </c>
      <c r="B225" s="106">
        <f>all_data!B224</f>
        <v>0</v>
      </c>
      <c r="C225" s="57">
        <f>all_data!C224</f>
        <v>0</v>
      </c>
      <c r="D225" s="50">
        <f>all_data!D224</f>
        <v>0</v>
      </c>
      <c r="E225" s="52">
        <f>IF(all_data!E224="",0,all_data!E224)</f>
        <v>0</v>
      </c>
      <c r="F225" s="51">
        <f>all_data!F224</f>
        <v>0</v>
      </c>
      <c r="G225" s="29">
        <f>all_data!H224</f>
        <v>0</v>
      </c>
      <c r="H225" s="62">
        <f>all_data!I224</f>
        <v>0</v>
      </c>
    </row>
    <row r="226" spans="1:8" ht="15.75">
      <c r="A226" s="31">
        <v>223</v>
      </c>
      <c r="B226" s="106">
        <f>all_data!B225</f>
        <v>0</v>
      </c>
      <c r="C226" s="57">
        <f>all_data!C225</f>
        <v>0</v>
      </c>
      <c r="D226" s="50">
        <f>all_data!D225</f>
        <v>0</v>
      </c>
      <c r="E226" s="52">
        <f>IF(all_data!E225="",0,all_data!E225)</f>
        <v>0</v>
      </c>
      <c r="F226" s="51">
        <f>all_data!F225</f>
        <v>0</v>
      </c>
      <c r="G226" s="29">
        <f>all_data!H225</f>
        <v>0</v>
      </c>
      <c r="H226" s="62">
        <f>all_data!I225</f>
        <v>0</v>
      </c>
    </row>
    <row r="227" spans="1:8" ht="15.75">
      <c r="A227" s="31">
        <v>224</v>
      </c>
      <c r="B227" s="106">
        <f>all_data!B226</f>
        <v>0</v>
      </c>
      <c r="C227" s="57">
        <f>all_data!C226</f>
        <v>0</v>
      </c>
      <c r="D227" s="50">
        <f>all_data!D226</f>
        <v>0</v>
      </c>
      <c r="E227" s="52">
        <f>IF(all_data!E226="",0,all_data!E226)</f>
        <v>0</v>
      </c>
      <c r="F227" s="51">
        <f>all_data!F226</f>
        <v>0</v>
      </c>
      <c r="G227" s="29">
        <f>all_data!H226</f>
        <v>0</v>
      </c>
      <c r="H227" s="62">
        <f>all_data!I226</f>
        <v>0</v>
      </c>
    </row>
    <row r="228" spans="1:8" ht="15.75">
      <c r="A228" s="31">
        <v>225</v>
      </c>
      <c r="B228" s="106">
        <f>all_data!B227</f>
        <v>0</v>
      </c>
      <c r="C228" s="57">
        <f>all_data!C227</f>
        <v>0</v>
      </c>
      <c r="D228" s="50">
        <f>all_data!D227</f>
        <v>0</v>
      </c>
      <c r="E228" s="52">
        <f>IF(all_data!E227="",0,all_data!E227)</f>
        <v>0</v>
      </c>
      <c r="F228" s="51">
        <f>all_data!F227</f>
        <v>0</v>
      </c>
      <c r="G228" s="29">
        <f>all_data!H227</f>
        <v>0</v>
      </c>
      <c r="H228" s="62">
        <f>all_data!I227</f>
        <v>0</v>
      </c>
    </row>
    <row r="229" spans="1:8" ht="15.75">
      <c r="A229" s="31">
        <v>226</v>
      </c>
      <c r="B229" s="106">
        <f>all_data!B228</f>
        <v>0</v>
      </c>
      <c r="C229" s="57">
        <f>all_data!C228</f>
        <v>0</v>
      </c>
      <c r="D229" s="50">
        <f>all_data!D228</f>
        <v>0</v>
      </c>
      <c r="E229" s="52">
        <f>IF(all_data!E228="",0,all_data!E228)</f>
        <v>0</v>
      </c>
      <c r="F229" s="51">
        <f>all_data!F228</f>
        <v>0</v>
      </c>
      <c r="G229" s="29">
        <f>all_data!H228</f>
        <v>0</v>
      </c>
      <c r="H229" s="62">
        <f>all_data!I228</f>
        <v>0</v>
      </c>
    </row>
    <row r="230" spans="1:8" ht="15.75">
      <c r="A230" s="31">
        <v>227</v>
      </c>
      <c r="B230" s="106">
        <f>all_data!B229</f>
        <v>0</v>
      </c>
      <c r="C230" s="57">
        <f>all_data!C229</f>
        <v>0</v>
      </c>
      <c r="D230" s="50">
        <f>all_data!D229</f>
        <v>0</v>
      </c>
      <c r="E230" s="52">
        <f>IF(all_data!E229="",0,all_data!E229)</f>
        <v>0</v>
      </c>
      <c r="F230" s="51">
        <f>all_data!F229</f>
        <v>0</v>
      </c>
      <c r="G230" s="29">
        <f>all_data!H229</f>
        <v>0</v>
      </c>
      <c r="H230" s="62">
        <f>all_data!I229</f>
        <v>0</v>
      </c>
    </row>
    <row r="231" spans="1:8" ht="15.75">
      <c r="A231" s="31">
        <v>228</v>
      </c>
      <c r="B231" s="106">
        <f>all_data!B230</f>
        <v>0</v>
      </c>
      <c r="C231" s="57">
        <f>all_data!C230</f>
        <v>0</v>
      </c>
      <c r="D231" s="50">
        <f>all_data!D230</f>
        <v>0</v>
      </c>
      <c r="E231" s="52">
        <f>IF(all_data!E230="",0,all_data!E230)</f>
        <v>0</v>
      </c>
      <c r="F231" s="51">
        <f>all_data!F230</f>
        <v>0</v>
      </c>
      <c r="G231" s="29">
        <f>all_data!H230</f>
        <v>0</v>
      </c>
      <c r="H231" s="62">
        <f>all_data!I230</f>
        <v>0</v>
      </c>
    </row>
    <row r="232" spans="1:8" ht="15.75">
      <c r="A232" s="31">
        <v>229</v>
      </c>
      <c r="B232" s="106">
        <f>all_data!B231</f>
        <v>0</v>
      </c>
      <c r="C232" s="57">
        <f>all_data!C231</f>
        <v>0</v>
      </c>
      <c r="D232" s="50">
        <f>all_data!D231</f>
        <v>0</v>
      </c>
      <c r="E232" s="52">
        <f>IF(all_data!E231="",0,all_data!E231)</f>
        <v>0</v>
      </c>
      <c r="F232" s="51">
        <f>all_data!F231</f>
        <v>0</v>
      </c>
      <c r="G232" s="29">
        <f>all_data!H231</f>
        <v>0</v>
      </c>
      <c r="H232" s="62">
        <f>all_data!I231</f>
        <v>0</v>
      </c>
    </row>
    <row r="233" spans="1:8" ht="15.75">
      <c r="A233" s="31">
        <v>230</v>
      </c>
      <c r="B233" s="106">
        <f>all_data!B232</f>
        <v>0</v>
      </c>
      <c r="C233" s="57">
        <f>all_data!C232</f>
        <v>0</v>
      </c>
      <c r="D233" s="50">
        <f>all_data!D232</f>
        <v>0</v>
      </c>
      <c r="E233" s="52">
        <f>IF(all_data!E232="",0,all_data!E232)</f>
        <v>0</v>
      </c>
      <c r="F233" s="51">
        <f>all_data!F232</f>
        <v>0</v>
      </c>
      <c r="G233" s="29">
        <f>all_data!H232</f>
        <v>0</v>
      </c>
      <c r="H233" s="62">
        <f>all_data!I232</f>
        <v>0</v>
      </c>
    </row>
    <row r="234" spans="1:8" ht="15.75">
      <c r="A234" s="31">
        <v>231</v>
      </c>
      <c r="B234" s="106">
        <f>all_data!B233</f>
        <v>0</v>
      </c>
      <c r="C234" s="57">
        <f>all_data!C233</f>
        <v>0</v>
      </c>
      <c r="D234" s="50">
        <f>all_data!D233</f>
        <v>0</v>
      </c>
      <c r="E234" s="52">
        <f>IF(all_data!E233="",0,all_data!E233)</f>
        <v>0</v>
      </c>
      <c r="F234" s="51">
        <f>all_data!F233</f>
        <v>0</v>
      </c>
      <c r="G234" s="29">
        <f>all_data!H233</f>
        <v>0</v>
      </c>
      <c r="H234" s="62">
        <f>all_data!I233</f>
        <v>0</v>
      </c>
    </row>
    <row r="235" spans="1:8" ht="15.75">
      <c r="A235" s="31">
        <v>232</v>
      </c>
      <c r="B235" s="106">
        <f>all_data!B234</f>
        <v>0</v>
      </c>
      <c r="C235" s="57">
        <f>all_data!C234</f>
        <v>0</v>
      </c>
      <c r="D235" s="50">
        <f>all_data!D234</f>
        <v>0</v>
      </c>
      <c r="E235" s="52">
        <f>IF(all_data!E234="",0,all_data!E234)</f>
        <v>0</v>
      </c>
      <c r="F235" s="51">
        <f>all_data!F234</f>
        <v>0</v>
      </c>
      <c r="G235" s="29">
        <f>all_data!H234</f>
        <v>0</v>
      </c>
      <c r="H235" s="62">
        <f>all_data!I234</f>
        <v>0</v>
      </c>
    </row>
    <row r="236" spans="1:8" ht="15.75">
      <c r="A236" s="31">
        <v>233</v>
      </c>
      <c r="B236" s="106">
        <f>all_data!B235</f>
        <v>0</v>
      </c>
      <c r="C236" s="57">
        <f>all_data!C235</f>
        <v>0</v>
      </c>
      <c r="D236" s="50">
        <f>all_data!D235</f>
        <v>0</v>
      </c>
      <c r="E236" s="52">
        <f>IF(all_data!E235="",0,all_data!E235)</f>
        <v>0</v>
      </c>
      <c r="F236" s="51">
        <f>all_data!F235</f>
        <v>0</v>
      </c>
      <c r="G236" s="29">
        <f>all_data!H235</f>
        <v>0</v>
      </c>
      <c r="H236" s="62">
        <f>all_data!I235</f>
        <v>0</v>
      </c>
    </row>
    <row r="237" spans="1:8" ht="15.75">
      <c r="A237" s="31">
        <v>234</v>
      </c>
      <c r="B237" s="106">
        <f>all_data!B236</f>
        <v>0</v>
      </c>
      <c r="C237" s="57">
        <f>all_data!C236</f>
        <v>0</v>
      </c>
      <c r="D237" s="50">
        <f>all_data!D236</f>
        <v>0</v>
      </c>
      <c r="E237" s="52">
        <f>IF(all_data!E236="",0,all_data!E236)</f>
        <v>0</v>
      </c>
      <c r="F237" s="51">
        <f>all_data!F236</f>
        <v>0</v>
      </c>
      <c r="G237" s="29">
        <f>all_data!H236</f>
        <v>0</v>
      </c>
      <c r="H237" s="62">
        <f>all_data!I236</f>
        <v>0</v>
      </c>
    </row>
    <row r="238" spans="1:8" ht="15.75">
      <c r="A238" s="31">
        <v>235</v>
      </c>
      <c r="B238" s="106">
        <f>all_data!B237</f>
        <v>0</v>
      </c>
      <c r="C238" s="57">
        <f>all_data!C237</f>
        <v>0</v>
      </c>
      <c r="D238" s="50">
        <f>all_data!D237</f>
        <v>0</v>
      </c>
      <c r="E238" s="52">
        <f>IF(all_data!E237="",0,all_data!E237)</f>
        <v>0</v>
      </c>
      <c r="F238" s="51">
        <f>all_data!F237</f>
        <v>0</v>
      </c>
      <c r="G238" s="29">
        <f>all_data!H237</f>
        <v>0</v>
      </c>
      <c r="H238" s="62">
        <f>all_data!I237</f>
        <v>0</v>
      </c>
    </row>
    <row r="239" spans="1:8" ht="15.75">
      <c r="A239" s="31">
        <v>236</v>
      </c>
      <c r="B239" s="106">
        <f>all_data!B238</f>
        <v>0</v>
      </c>
      <c r="C239" s="57">
        <f>all_data!C238</f>
        <v>0</v>
      </c>
      <c r="D239" s="50">
        <f>all_data!D238</f>
        <v>0</v>
      </c>
      <c r="E239" s="52">
        <f>IF(all_data!E238="",0,all_data!E238)</f>
        <v>0</v>
      </c>
      <c r="F239" s="51">
        <f>all_data!F238</f>
        <v>0</v>
      </c>
      <c r="G239" s="29">
        <f>all_data!H238</f>
        <v>0</v>
      </c>
      <c r="H239" s="62">
        <f>all_data!I238</f>
        <v>0</v>
      </c>
    </row>
    <row r="240" spans="1:8" ht="15.75">
      <c r="A240" s="31">
        <v>237</v>
      </c>
      <c r="B240" s="106">
        <f>all_data!B239</f>
        <v>0</v>
      </c>
      <c r="C240" s="57">
        <f>all_data!C239</f>
        <v>0</v>
      </c>
      <c r="D240" s="50">
        <f>all_data!D239</f>
        <v>0</v>
      </c>
      <c r="E240" s="52">
        <f>IF(all_data!E239="",0,all_data!E239)</f>
        <v>0</v>
      </c>
      <c r="F240" s="51">
        <f>all_data!F239</f>
        <v>0</v>
      </c>
      <c r="G240" s="29">
        <f>all_data!H239</f>
        <v>0</v>
      </c>
      <c r="H240" s="62">
        <f>all_data!I239</f>
        <v>0</v>
      </c>
    </row>
    <row r="241" spans="1:8" ht="15.75">
      <c r="A241" s="31">
        <v>238</v>
      </c>
      <c r="B241" s="106">
        <f>all_data!B240</f>
        <v>0</v>
      </c>
      <c r="C241" s="57">
        <f>all_data!C240</f>
        <v>0</v>
      </c>
      <c r="D241" s="50">
        <f>all_data!D240</f>
        <v>0</v>
      </c>
      <c r="E241" s="52">
        <f>IF(all_data!E240="",0,all_data!E240)</f>
        <v>0</v>
      </c>
      <c r="F241" s="51">
        <f>all_data!F240</f>
        <v>0</v>
      </c>
      <c r="G241" s="29">
        <f>all_data!H240</f>
        <v>0</v>
      </c>
      <c r="H241" s="62">
        <f>all_data!I240</f>
        <v>0</v>
      </c>
    </row>
    <row r="242" spans="1:8" ht="15.75">
      <c r="A242" s="31">
        <v>239</v>
      </c>
      <c r="B242" s="106">
        <f>all_data!B241</f>
        <v>0</v>
      </c>
      <c r="C242" s="57">
        <f>all_data!C241</f>
        <v>0</v>
      </c>
      <c r="D242" s="50">
        <f>all_data!D241</f>
        <v>0</v>
      </c>
      <c r="E242" s="52">
        <f>IF(all_data!E241="",0,all_data!E241)</f>
        <v>0</v>
      </c>
      <c r="F242" s="51">
        <f>all_data!F241</f>
        <v>0</v>
      </c>
      <c r="G242" s="29">
        <f>all_data!H241</f>
        <v>0</v>
      </c>
      <c r="H242" s="62">
        <f>all_data!I241</f>
        <v>0</v>
      </c>
    </row>
    <row r="243" spans="1:8" ht="15.75">
      <c r="A243" s="31">
        <v>240</v>
      </c>
      <c r="B243" s="106">
        <f>all_data!B242</f>
        <v>0</v>
      </c>
      <c r="C243" s="57">
        <f>all_data!C242</f>
        <v>0</v>
      </c>
      <c r="D243" s="50">
        <f>all_data!D242</f>
        <v>0</v>
      </c>
      <c r="E243" s="52">
        <f>IF(all_data!E242="",0,all_data!E242)</f>
        <v>0</v>
      </c>
      <c r="F243" s="51">
        <f>all_data!F242</f>
        <v>0</v>
      </c>
      <c r="G243" s="29">
        <f>all_data!H242</f>
        <v>0</v>
      </c>
      <c r="H243" s="62">
        <f>all_data!I242</f>
        <v>0</v>
      </c>
    </row>
    <row r="244" spans="1:8" ht="15.75">
      <c r="A244" s="31">
        <v>241</v>
      </c>
      <c r="B244" s="106">
        <f>all_data!B243</f>
        <v>0</v>
      </c>
      <c r="C244" s="57">
        <f>all_data!C243</f>
        <v>0</v>
      </c>
      <c r="D244" s="50">
        <f>all_data!D243</f>
        <v>0</v>
      </c>
      <c r="E244" s="52">
        <f>IF(all_data!E243="",0,all_data!E243)</f>
        <v>0</v>
      </c>
      <c r="F244" s="51">
        <f>all_data!F243</f>
        <v>0</v>
      </c>
      <c r="G244" s="29">
        <f>all_data!H243</f>
        <v>0</v>
      </c>
      <c r="H244" s="62">
        <f>all_data!I243</f>
        <v>0</v>
      </c>
    </row>
    <row r="245" spans="1:8" ht="15.75">
      <c r="A245" s="31">
        <v>242</v>
      </c>
      <c r="B245" s="106">
        <f>all_data!B244</f>
        <v>0</v>
      </c>
      <c r="C245" s="57">
        <f>all_data!C244</f>
        <v>0</v>
      </c>
      <c r="D245" s="50">
        <f>all_data!D244</f>
        <v>0</v>
      </c>
      <c r="E245" s="52">
        <f>IF(all_data!E244="",0,all_data!E244)</f>
        <v>0</v>
      </c>
      <c r="F245" s="51">
        <f>all_data!F244</f>
        <v>0</v>
      </c>
      <c r="G245" s="29">
        <f>all_data!H244</f>
        <v>0</v>
      </c>
      <c r="H245" s="62">
        <f>all_data!I244</f>
        <v>0</v>
      </c>
    </row>
    <row r="246" spans="1:8" ht="15.75">
      <c r="A246" s="31">
        <v>243</v>
      </c>
      <c r="B246" s="106">
        <f>all_data!B245</f>
        <v>0</v>
      </c>
      <c r="C246" s="57">
        <f>all_data!C245</f>
        <v>0</v>
      </c>
      <c r="D246" s="50">
        <f>all_data!D245</f>
        <v>0</v>
      </c>
      <c r="E246" s="52">
        <f>IF(all_data!E245="",0,all_data!E245)</f>
        <v>0</v>
      </c>
      <c r="F246" s="51">
        <f>all_data!F245</f>
        <v>0</v>
      </c>
      <c r="G246" s="29">
        <f>all_data!H245</f>
        <v>0</v>
      </c>
      <c r="H246" s="62">
        <f>all_data!I245</f>
        <v>0</v>
      </c>
    </row>
    <row r="247" spans="1:8" ht="15.75">
      <c r="A247" s="31">
        <v>244</v>
      </c>
      <c r="B247" s="106">
        <f>all_data!B246</f>
        <v>0</v>
      </c>
      <c r="C247" s="57">
        <f>all_data!C246</f>
        <v>0</v>
      </c>
      <c r="D247" s="50">
        <f>all_data!D246</f>
        <v>0</v>
      </c>
      <c r="E247" s="52">
        <f>IF(all_data!E246="",0,all_data!E246)</f>
        <v>0</v>
      </c>
      <c r="F247" s="51">
        <f>all_data!F246</f>
        <v>0</v>
      </c>
      <c r="G247" s="29">
        <f>all_data!H246</f>
        <v>0</v>
      </c>
      <c r="H247" s="62">
        <f>all_data!I246</f>
        <v>0</v>
      </c>
    </row>
    <row r="248" spans="1:8" ht="15.75">
      <c r="A248" s="31">
        <v>245</v>
      </c>
      <c r="B248" s="106">
        <f>all_data!B247</f>
        <v>0</v>
      </c>
      <c r="C248" s="57">
        <f>all_data!C247</f>
        <v>0</v>
      </c>
      <c r="D248" s="50">
        <f>all_data!D247</f>
        <v>0</v>
      </c>
      <c r="E248" s="52">
        <f>IF(all_data!E247="",0,all_data!E247)</f>
        <v>0</v>
      </c>
      <c r="F248" s="51">
        <f>all_data!F247</f>
        <v>0</v>
      </c>
      <c r="G248" s="29">
        <f>all_data!H247</f>
        <v>0</v>
      </c>
      <c r="H248" s="62">
        <f>all_data!I247</f>
        <v>0</v>
      </c>
    </row>
    <row r="249" spans="1:8" ht="15.75">
      <c r="A249" s="31">
        <v>246</v>
      </c>
      <c r="B249" s="106">
        <f>all_data!B248</f>
        <v>0</v>
      </c>
      <c r="C249" s="57">
        <f>all_data!C248</f>
        <v>0</v>
      </c>
      <c r="D249" s="50">
        <f>all_data!D248</f>
        <v>0</v>
      </c>
      <c r="E249" s="52">
        <f>IF(all_data!E248="",0,all_data!E248)</f>
        <v>0</v>
      </c>
      <c r="F249" s="51">
        <f>all_data!F248</f>
        <v>0</v>
      </c>
      <c r="G249" s="29">
        <f>all_data!H248</f>
        <v>0</v>
      </c>
      <c r="H249" s="62">
        <f>all_data!I248</f>
        <v>0</v>
      </c>
    </row>
    <row r="250" spans="1:8" ht="15.75">
      <c r="A250" s="31">
        <v>247</v>
      </c>
      <c r="B250" s="106">
        <f>all_data!B249</f>
        <v>0</v>
      </c>
      <c r="C250" s="57">
        <f>all_data!C249</f>
        <v>0</v>
      </c>
      <c r="D250" s="50">
        <f>all_data!D249</f>
        <v>0</v>
      </c>
      <c r="E250" s="52">
        <f>IF(all_data!E249="",0,all_data!E249)</f>
        <v>0</v>
      </c>
      <c r="F250" s="51">
        <f>all_data!F249</f>
        <v>0</v>
      </c>
      <c r="G250" s="29">
        <f>all_data!H249</f>
        <v>0</v>
      </c>
      <c r="H250" s="62">
        <f>all_data!I249</f>
        <v>0</v>
      </c>
    </row>
    <row r="251" spans="1:8" ht="15.75">
      <c r="A251" s="31">
        <v>248</v>
      </c>
      <c r="B251" s="106">
        <f>all_data!B250</f>
        <v>0</v>
      </c>
      <c r="C251" s="57">
        <f>all_data!C250</f>
        <v>0</v>
      </c>
      <c r="D251" s="50">
        <f>all_data!D250</f>
        <v>0</v>
      </c>
      <c r="E251" s="52">
        <f>IF(all_data!E250="",0,all_data!E250)</f>
        <v>0</v>
      </c>
      <c r="F251" s="51">
        <f>all_data!F250</f>
        <v>0</v>
      </c>
      <c r="G251" s="29">
        <f>all_data!H250</f>
        <v>0</v>
      </c>
      <c r="H251" s="62">
        <f>all_data!I250</f>
        <v>0</v>
      </c>
    </row>
    <row r="252" spans="1:8" ht="15.75">
      <c r="A252" s="31">
        <v>249</v>
      </c>
      <c r="B252" s="106">
        <f>all_data!B251</f>
        <v>0</v>
      </c>
      <c r="C252" s="57">
        <f>all_data!C251</f>
        <v>0</v>
      </c>
      <c r="D252" s="50">
        <f>all_data!D251</f>
        <v>0</v>
      </c>
      <c r="E252" s="52">
        <f>IF(all_data!E251="",0,all_data!E251)</f>
        <v>0</v>
      </c>
      <c r="F252" s="51">
        <f>all_data!F251</f>
        <v>0</v>
      </c>
      <c r="G252" s="29">
        <f>all_data!H251</f>
        <v>0</v>
      </c>
      <c r="H252" s="62">
        <f>all_data!I251</f>
        <v>0</v>
      </c>
    </row>
    <row r="253" spans="1:8" ht="15.75">
      <c r="A253" s="31">
        <v>250</v>
      </c>
      <c r="B253" s="106">
        <f>all_data!B252</f>
        <v>0</v>
      </c>
      <c r="C253" s="57">
        <f>all_data!C252</f>
        <v>0</v>
      </c>
      <c r="D253" s="50">
        <f>all_data!D252</f>
        <v>0</v>
      </c>
      <c r="E253" s="52">
        <f>IF(all_data!E252="",0,all_data!E252)</f>
        <v>0</v>
      </c>
      <c r="F253" s="51">
        <f>all_data!F252</f>
        <v>0</v>
      </c>
      <c r="G253" s="29">
        <f>all_data!H252</f>
        <v>0</v>
      </c>
      <c r="H253" s="62">
        <f>all_data!I252</f>
        <v>0</v>
      </c>
    </row>
    <row r="254" spans="1:8" ht="15.75">
      <c r="A254" s="31">
        <v>251</v>
      </c>
      <c r="B254" s="106">
        <f>all_data!B253</f>
        <v>0</v>
      </c>
      <c r="C254" s="57">
        <f>all_data!C253</f>
        <v>0</v>
      </c>
      <c r="D254" s="50">
        <f>all_data!D253</f>
        <v>0</v>
      </c>
      <c r="E254" s="52">
        <f>IF(all_data!E253="",0,all_data!E253)</f>
        <v>0</v>
      </c>
      <c r="F254" s="51">
        <f>all_data!F253</f>
        <v>0</v>
      </c>
      <c r="G254" s="29">
        <f>all_data!H253</f>
        <v>0</v>
      </c>
      <c r="H254" s="62">
        <f>all_data!I253</f>
        <v>0</v>
      </c>
    </row>
    <row r="255" spans="1:8" ht="15.75">
      <c r="A255" s="31">
        <v>252</v>
      </c>
      <c r="B255" s="106">
        <f>all_data!B254</f>
        <v>0</v>
      </c>
      <c r="C255" s="57">
        <f>all_data!C254</f>
        <v>0</v>
      </c>
      <c r="D255" s="50">
        <f>all_data!D254</f>
        <v>0</v>
      </c>
      <c r="E255" s="52">
        <f>IF(all_data!E254="",0,all_data!E254)</f>
        <v>0</v>
      </c>
      <c r="F255" s="51">
        <f>all_data!F254</f>
        <v>0</v>
      </c>
      <c r="G255" s="29">
        <f>all_data!H254</f>
        <v>0</v>
      </c>
      <c r="H255" s="62">
        <f>all_data!I254</f>
        <v>0</v>
      </c>
    </row>
    <row r="256" spans="1:8" ht="15.75">
      <c r="A256" s="31">
        <v>253</v>
      </c>
      <c r="B256" s="106">
        <f>all_data!B255</f>
        <v>0</v>
      </c>
      <c r="C256" s="57">
        <f>all_data!C255</f>
        <v>0</v>
      </c>
      <c r="D256" s="50">
        <f>all_data!D255</f>
        <v>0</v>
      </c>
      <c r="E256" s="52">
        <f>IF(all_data!E255="",0,all_data!E255)</f>
        <v>0</v>
      </c>
      <c r="F256" s="51">
        <f>all_data!F255</f>
        <v>0</v>
      </c>
      <c r="G256" s="29">
        <f>all_data!H255</f>
        <v>0</v>
      </c>
      <c r="H256" s="62">
        <f>all_data!I255</f>
        <v>0</v>
      </c>
    </row>
    <row r="257" spans="1:8" ht="15.75">
      <c r="A257" s="31">
        <v>254</v>
      </c>
      <c r="B257" s="106">
        <f>all_data!B256</f>
        <v>0</v>
      </c>
      <c r="C257" s="57">
        <f>all_data!C256</f>
        <v>0</v>
      </c>
      <c r="D257" s="50">
        <f>all_data!D256</f>
        <v>0</v>
      </c>
      <c r="E257" s="52">
        <f>IF(all_data!E256="",0,all_data!E256)</f>
        <v>0</v>
      </c>
      <c r="F257" s="51">
        <f>all_data!F256</f>
        <v>0</v>
      </c>
      <c r="G257" s="29">
        <f>all_data!H256</f>
        <v>0</v>
      </c>
      <c r="H257" s="62">
        <f>all_data!I256</f>
        <v>0</v>
      </c>
    </row>
    <row r="258" spans="1:8" ht="15.75">
      <c r="A258" s="31">
        <v>255</v>
      </c>
      <c r="B258" s="106">
        <f>all_data!B257</f>
        <v>0</v>
      </c>
      <c r="C258" s="57">
        <f>all_data!C257</f>
        <v>0</v>
      </c>
      <c r="D258" s="50">
        <f>all_data!D257</f>
        <v>0</v>
      </c>
      <c r="E258" s="52">
        <f>IF(all_data!E257="",0,all_data!E257)</f>
        <v>0</v>
      </c>
      <c r="F258" s="51">
        <f>all_data!F257</f>
        <v>0</v>
      </c>
      <c r="G258" s="29">
        <f>all_data!H257</f>
        <v>0</v>
      </c>
      <c r="H258" s="62">
        <f>all_data!I257</f>
        <v>0</v>
      </c>
    </row>
    <row r="259" spans="1:8" ht="15.75">
      <c r="A259" s="31">
        <v>256</v>
      </c>
      <c r="B259" s="106">
        <f>all_data!B258</f>
        <v>0</v>
      </c>
      <c r="C259" s="57">
        <f>all_data!C258</f>
        <v>0</v>
      </c>
      <c r="D259" s="50">
        <f>all_data!D258</f>
        <v>0</v>
      </c>
      <c r="E259" s="52">
        <f>IF(all_data!E258="",0,all_data!E258)</f>
        <v>0</v>
      </c>
      <c r="F259" s="51">
        <f>all_data!F258</f>
        <v>0</v>
      </c>
      <c r="G259" s="29">
        <f>all_data!H258</f>
        <v>0</v>
      </c>
      <c r="H259" s="62">
        <f>all_data!I258</f>
        <v>0</v>
      </c>
    </row>
    <row r="260" spans="1:8" ht="15.75">
      <c r="A260" s="31">
        <v>257</v>
      </c>
      <c r="B260" s="106">
        <f>all_data!B259</f>
        <v>0</v>
      </c>
      <c r="C260" s="57">
        <f>all_data!C259</f>
        <v>0</v>
      </c>
      <c r="D260" s="50">
        <f>all_data!D259</f>
        <v>0</v>
      </c>
      <c r="E260" s="52">
        <f>IF(all_data!E259="",0,all_data!E259)</f>
        <v>0</v>
      </c>
      <c r="F260" s="51">
        <f>all_data!F259</f>
        <v>0</v>
      </c>
      <c r="G260" s="29">
        <f>all_data!H259</f>
        <v>0</v>
      </c>
      <c r="H260" s="62">
        <f>all_data!I259</f>
        <v>0</v>
      </c>
    </row>
    <row r="261" spans="1:8" ht="15.75">
      <c r="A261" s="31">
        <v>258</v>
      </c>
      <c r="B261" s="106">
        <f>all_data!B260</f>
        <v>0</v>
      </c>
      <c r="C261" s="57">
        <f>all_data!C260</f>
        <v>0</v>
      </c>
      <c r="D261" s="50">
        <f>all_data!D260</f>
        <v>0</v>
      </c>
      <c r="E261" s="52">
        <f>IF(all_data!E260="",0,all_data!E260)</f>
        <v>0</v>
      </c>
      <c r="F261" s="51">
        <f>all_data!F260</f>
        <v>0</v>
      </c>
      <c r="G261" s="29">
        <f>all_data!H260</f>
        <v>0</v>
      </c>
      <c r="H261" s="62">
        <f>all_data!I260</f>
        <v>0</v>
      </c>
    </row>
    <row r="262" spans="1:8" ht="15.75">
      <c r="A262" s="31">
        <v>259</v>
      </c>
      <c r="B262" s="106">
        <f>all_data!B261</f>
        <v>0</v>
      </c>
      <c r="C262" s="57">
        <f>all_data!C261</f>
        <v>0</v>
      </c>
      <c r="D262" s="50">
        <f>all_data!D261</f>
        <v>0</v>
      </c>
      <c r="E262" s="52">
        <f>IF(all_data!E261="",0,all_data!E261)</f>
        <v>0</v>
      </c>
      <c r="F262" s="51">
        <f>all_data!F261</f>
        <v>0</v>
      </c>
      <c r="G262" s="29">
        <f>all_data!H261</f>
        <v>0</v>
      </c>
      <c r="H262" s="62">
        <f>all_data!I261</f>
        <v>0</v>
      </c>
    </row>
    <row r="263" spans="1:8" ht="15.75">
      <c r="A263" s="31">
        <v>260</v>
      </c>
      <c r="B263" s="106">
        <f>all_data!B262</f>
        <v>0</v>
      </c>
      <c r="C263" s="57">
        <f>all_data!C262</f>
        <v>0</v>
      </c>
      <c r="D263" s="50">
        <f>all_data!D262</f>
        <v>0</v>
      </c>
      <c r="E263" s="52">
        <f>IF(all_data!E262="",0,all_data!E262)</f>
        <v>0</v>
      </c>
      <c r="F263" s="51">
        <f>all_data!F262</f>
        <v>0</v>
      </c>
      <c r="G263" s="29">
        <f>all_data!H262</f>
        <v>0</v>
      </c>
      <c r="H263" s="62">
        <f>all_data!I262</f>
        <v>0</v>
      </c>
    </row>
    <row r="264" spans="1:8" ht="15.75">
      <c r="A264" s="31">
        <v>261</v>
      </c>
      <c r="B264" s="106">
        <f>all_data!B263</f>
        <v>0</v>
      </c>
      <c r="C264" s="57">
        <f>all_data!C263</f>
        <v>0</v>
      </c>
      <c r="D264" s="50">
        <f>all_data!D263</f>
        <v>0</v>
      </c>
      <c r="E264" s="52">
        <f>IF(all_data!E263="",0,all_data!E263)</f>
        <v>0</v>
      </c>
      <c r="F264" s="51">
        <f>all_data!F263</f>
        <v>0</v>
      </c>
      <c r="G264" s="29">
        <f>all_data!H263</f>
        <v>0</v>
      </c>
      <c r="H264" s="62">
        <f>all_data!I263</f>
        <v>0</v>
      </c>
    </row>
    <row r="265" spans="1:8" ht="15.75">
      <c r="A265" s="31">
        <v>262</v>
      </c>
      <c r="B265" s="106">
        <f>all_data!B264</f>
        <v>0</v>
      </c>
      <c r="C265" s="57">
        <f>all_data!C264</f>
        <v>0</v>
      </c>
      <c r="D265" s="50">
        <f>all_data!D264</f>
        <v>0</v>
      </c>
      <c r="E265" s="52">
        <f>IF(all_data!E264="",0,all_data!E264)</f>
        <v>0</v>
      </c>
      <c r="F265" s="51">
        <f>all_data!F264</f>
        <v>0</v>
      </c>
      <c r="G265" s="29">
        <f>all_data!H264</f>
        <v>0</v>
      </c>
      <c r="H265" s="62">
        <f>all_data!I264</f>
        <v>0</v>
      </c>
    </row>
    <row r="266" spans="1:8" ht="15.75">
      <c r="A266" s="31">
        <v>263</v>
      </c>
      <c r="B266" s="106">
        <f>all_data!B265</f>
        <v>0</v>
      </c>
      <c r="C266" s="57">
        <f>all_data!C265</f>
        <v>0</v>
      </c>
      <c r="D266" s="50">
        <f>all_data!D265</f>
        <v>0</v>
      </c>
      <c r="E266" s="52">
        <f>IF(all_data!E265="",0,all_data!E265)</f>
        <v>0</v>
      </c>
      <c r="F266" s="51">
        <f>all_data!F265</f>
        <v>0</v>
      </c>
      <c r="G266" s="29">
        <f>all_data!H265</f>
        <v>0</v>
      </c>
      <c r="H266" s="62">
        <f>all_data!I265</f>
        <v>0</v>
      </c>
    </row>
    <row r="267" spans="1:8" ht="15.75">
      <c r="A267" s="31">
        <v>264</v>
      </c>
      <c r="B267" s="106">
        <f>all_data!B266</f>
        <v>0</v>
      </c>
      <c r="C267" s="57">
        <f>all_data!C266</f>
        <v>0</v>
      </c>
      <c r="D267" s="50">
        <f>all_data!D266</f>
        <v>0</v>
      </c>
      <c r="E267" s="52">
        <f>IF(all_data!E266="",0,all_data!E266)</f>
        <v>0</v>
      </c>
      <c r="F267" s="51">
        <f>all_data!F266</f>
        <v>0</v>
      </c>
      <c r="G267" s="29">
        <f>all_data!H266</f>
        <v>0</v>
      </c>
      <c r="H267" s="62">
        <f>all_data!I266</f>
        <v>0</v>
      </c>
    </row>
    <row r="268" spans="1:8" ht="15.75">
      <c r="A268" s="31">
        <v>265</v>
      </c>
      <c r="B268" s="106">
        <f>all_data!B267</f>
        <v>0</v>
      </c>
      <c r="C268" s="57">
        <f>all_data!C267</f>
        <v>0</v>
      </c>
      <c r="D268" s="50">
        <f>all_data!D267</f>
        <v>0</v>
      </c>
      <c r="E268" s="52">
        <f>IF(all_data!E267="",0,all_data!E267)</f>
        <v>0</v>
      </c>
      <c r="F268" s="51">
        <f>all_data!F267</f>
        <v>0</v>
      </c>
      <c r="G268" s="29">
        <f>all_data!H267</f>
        <v>0</v>
      </c>
      <c r="H268" s="62">
        <f>all_data!I267</f>
        <v>0</v>
      </c>
    </row>
    <row r="269" spans="1:8" ht="15.75">
      <c r="A269" s="31">
        <v>266</v>
      </c>
      <c r="B269" s="106">
        <f>all_data!B268</f>
        <v>0</v>
      </c>
      <c r="C269" s="57">
        <f>all_data!C268</f>
        <v>0</v>
      </c>
      <c r="D269" s="50">
        <f>all_data!D268</f>
        <v>0</v>
      </c>
      <c r="E269" s="52">
        <f>IF(all_data!E268="",0,all_data!E268)</f>
        <v>0</v>
      </c>
      <c r="F269" s="51">
        <f>all_data!F268</f>
        <v>0</v>
      </c>
      <c r="G269" s="29">
        <f>all_data!H268</f>
        <v>0</v>
      </c>
      <c r="H269" s="62">
        <f>all_data!I268</f>
        <v>0</v>
      </c>
    </row>
    <row r="270" spans="1:8" ht="15.75">
      <c r="A270" s="31">
        <v>267</v>
      </c>
      <c r="B270" s="106">
        <f>all_data!B269</f>
        <v>0</v>
      </c>
      <c r="C270" s="57">
        <f>all_data!C269</f>
        <v>0</v>
      </c>
      <c r="D270" s="50">
        <f>all_data!D269</f>
        <v>0</v>
      </c>
      <c r="E270" s="52">
        <f>IF(all_data!E269="",0,all_data!E269)</f>
        <v>0</v>
      </c>
      <c r="F270" s="51">
        <f>all_data!F269</f>
        <v>0</v>
      </c>
      <c r="G270" s="29">
        <f>all_data!H269</f>
        <v>0</v>
      </c>
      <c r="H270" s="62">
        <f>all_data!I269</f>
        <v>0</v>
      </c>
    </row>
    <row r="271" spans="1:8" ht="15.75">
      <c r="A271" s="31">
        <v>268</v>
      </c>
      <c r="B271" s="106">
        <f>all_data!B270</f>
        <v>0</v>
      </c>
      <c r="C271" s="57">
        <f>all_data!C270</f>
        <v>0</v>
      </c>
      <c r="D271" s="50">
        <f>all_data!D270</f>
        <v>0</v>
      </c>
      <c r="E271" s="52">
        <f>IF(all_data!E270="",0,all_data!E270)</f>
        <v>0</v>
      </c>
      <c r="F271" s="51">
        <f>all_data!F270</f>
        <v>0</v>
      </c>
      <c r="G271" s="29">
        <f>all_data!H270</f>
        <v>0</v>
      </c>
      <c r="H271" s="62">
        <f>all_data!I270</f>
        <v>0</v>
      </c>
    </row>
    <row r="272" spans="1:8" ht="15.75">
      <c r="A272" s="31">
        <v>269</v>
      </c>
      <c r="B272" s="106">
        <f>all_data!B271</f>
        <v>0</v>
      </c>
      <c r="C272" s="57">
        <f>all_data!C271</f>
        <v>0</v>
      </c>
      <c r="D272" s="50">
        <f>all_data!D271</f>
        <v>0</v>
      </c>
      <c r="E272" s="52">
        <f>IF(all_data!E271="",0,all_data!E271)</f>
        <v>0</v>
      </c>
      <c r="F272" s="51">
        <f>all_data!F271</f>
        <v>0</v>
      </c>
      <c r="G272" s="29">
        <f>all_data!H271</f>
        <v>0</v>
      </c>
      <c r="H272" s="62">
        <f>all_data!I271</f>
        <v>0</v>
      </c>
    </row>
    <row r="273" spans="1:8" ht="15.75">
      <c r="A273" s="31">
        <v>270</v>
      </c>
      <c r="B273" s="106">
        <f>all_data!B272</f>
        <v>0</v>
      </c>
      <c r="C273" s="57">
        <f>all_data!C272</f>
        <v>0</v>
      </c>
      <c r="D273" s="50">
        <f>all_data!D272</f>
        <v>0</v>
      </c>
      <c r="E273" s="52">
        <f>IF(all_data!E272="",0,all_data!E272)</f>
        <v>0</v>
      </c>
      <c r="F273" s="51">
        <f>all_data!F272</f>
        <v>0</v>
      </c>
      <c r="G273" s="29">
        <f>all_data!H272</f>
        <v>0</v>
      </c>
      <c r="H273" s="62">
        <f>all_data!I272</f>
        <v>0</v>
      </c>
    </row>
    <row r="274" spans="1:8" ht="15.75">
      <c r="A274" s="31">
        <v>271</v>
      </c>
      <c r="B274" s="106">
        <f>all_data!B273</f>
        <v>0</v>
      </c>
      <c r="C274" s="57">
        <f>all_data!C273</f>
        <v>0</v>
      </c>
      <c r="D274" s="50">
        <f>all_data!D273</f>
        <v>0</v>
      </c>
      <c r="E274" s="52">
        <f>IF(all_data!E273="",0,all_data!E273)</f>
        <v>0</v>
      </c>
      <c r="F274" s="51">
        <f>all_data!F273</f>
        <v>0</v>
      </c>
      <c r="G274" s="29">
        <f>all_data!H273</f>
        <v>0</v>
      </c>
      <c r="H274" s="62">
        <f>all_data!I273</f>
        <v>0</v>
      </c>
    </row>
    <row r="275" spans="1:8" ht="15.75">
      <c r="A275" s="31">
        <v>272</v>
      </c>
      <c r="B275" s="106">
        <f>all_data!B274</f>
        <v>0</v>
      </c>
      <c r="C275" s="57">
        <f>all_data!C274</f>
        <v>0</v>
      </c>
      <c r="D275" s="50">
        <f>all_data!D274</f>
        <v>0</v>
      </c>
      <c r="E275" s="52">
        <f>IF(all_data!E274="",0,all_data!E274)</f>
        <v>0</v>
      </c>
      <c r="F275" s="51">
        <f>all_data!F274</f>
        <v>0</v>
      </c>
      <c r="G275" s="29">
        <f>all_data!H274</f>
        <v>0</v>
      </c>
      <c r="H275" s="62">
        <f>all_data!I274</f>
        <v>0</v>
      </c>
    </row>
    <row r="276" spans="1:8" ht="15.75">
      <c r="A276" s="31">
        <v>273</v>
      </c>
      <c r="B276" s="106">
        <f>all_data!B275</f>
        <v>0</v>
      </c>
      <c r="C276" s="57">
        <f>all_data!C275</f>
        <v>0</v>
      </c>
      <c r="D276" s="50">
        <f>all_data!D275</f>
        <v>0</v>
      </c>
      <c r="E276" s="52">
        <f>IF(all_data!E275="",0,all_data!E275)</f>
        <v>0</v>
      </c>
      <c r="F276" s="51">
        <f>all_data!F275</f>
        <v>0</v>
      </c>
      <c r="G276" s="29">
        <f>all_data!H275</f>
        <v>0</v>
      </c>
      <c r="H276" s="62">
        <f>all_data!I275</f>
        <v>0</v>
      </c>
    </row>
    <row r="277" spans="1:8" ht="15.75">
      <c r="A277" s="31">
        <v>274</v>
      </c>
      <c r="B277" s="106">
        <f>all_data!B276</f>
        <v>0</v>
      </c>
      <c r="C277" s="57">
        <f>all_data!C276</f>
        <v>0</v>
      </c>
      <c r="D277" s="50">
        <f>all_data!D276</f>
        <v>0</v>
      </c>
      <c r="E277" s="52">
        <f>IF(all_data!E276="",0,all_data!E276)</f>
        <v>0</v>
      </c>
      <c r="F277" s="51">
        <f>all_data!F276</f>
        <v>0</v>
      </c>
      <c r="G277" s="29">
        <f>all_data!H276</f>
        <v>0</v>
      </c>
      <c r="H277" s="62">
        <f>all_data!I276</f>
        <v>0</v>
      </c>
    </row>
    <row r="278" spans="1:8" ht="15.75">
      <c r="A278" s="31">
        <v>275</v>
      </c>
      <c r="B278" s="106">
        <f>all_data!B277</f>
        <v>0</v>
      </c>
      <c r="C278" s="57">
        <f>all_data!C277</f>
        <v>0</v>
      </c>
      <c r="D278" s="50">
        <f>all_data!D277</f>
        <v>0</v>
      </c>
      <c r="E278" s="52">
        <f>IF(all_data!E277="",0,all_data!E277)</f>
        <v>0</v>
      </c>
      <c r="F278" s="51">
        <f>all_data!F277</f>
        <v>0</v>
      </c>
      <c r="G278" s="29">
        <f>all_data!H277</f>
        <v>0</v>
      </c>
      <c r="H278" s="62">
        <f>all_data!I277</f>
        <v>0</v>
      </c>
    </row>
    <row r="279" spans="1:8" ht="15.75">
      <c r="A279" s="31">
        <v>276</v>
      </c>
      <c r="B279" s="106">
        <f>all_data!B278</f>
        <v>0</v>
      </c>
      <c r="C279" s="57">
        <f>all_data!C278</f>
        <v>0</v>
      </c>
      <c r="D279" s="50">
        <f>all_data!D278</f>
        <v>0</v>
      </c>
      <c r="E279" s="52">
        <f>IF(all_data!E278="",0,all_data!E278)</f>
        <v>0</v>
      </c>
      <c r="F279" s="51">
        <f>all_data!F278</f>
        <v>0</v>
      </c>
      <c r="G279" s="29">
        <f>all_data!H278</f>
        <v>0</v>
      </c>
      <c r="H279" s="62">
        <f>all_data!I278</f>
        <v>0</v>
      </c>
    </row>
    <row r="280" spans="1:8" ht="15.75">
      <c r="A280" s="31">
        <v>277</v>
      </c>
      <c r="B280" s="106">
        <f>all_data!B279</f>
        <v>0</v>
      </c>
      <c r="C280" s="57">
        <f>all_data!C279</f>
        <v>0</v>
      </c>
      <c r="D280" s="50">
        <f>all_data!D279</f>
        <v>0</v>
      </c>
      <c r="E280" s="52">
        <f>IF(all_data!E279="",0,all_data!E279)</f>
        <v>0</v>
      </c>
      <c r="F280" s="51">
        <f>all_data!F279</f>
        <v>0</v>
      </c>
      <c r="G280" s="29">
        <f>all_data!H279</f>
        <v>0</v>
      </c>
      <c r="H280" s="62">
        <f>all_data!I279</f>
        <v>0</v>
      </c>
    </row>
    <row r="281" spans="1:8" ht="15.75">
      <c r="A281" s="31">
        <v>278</v>
      </c>
      <c r="B281" s="106">
        <f>all_data!B280</f>
        <v>0</v>
      </c>
      <c r="C281" s="57">
        <f>all_data!C280</f>
        <v>0</v>
      </c>
      <c r="D281" s="50">
        <f>all_data!D280</f>
        <v>0</v>
      </c>
      <c r="E281" s="52">
        <f>IF(all_data!E280="",0,all_data!E280)</f>
        <v>0</v>
      </c>
      <c r="F281" s="51">
        <f>all_data!F280</f>
        <v>0</v>
      </c>
      <c r="G281" s="29">
        <f>all_data!H280</f>
        <v>0</v>
      </c>
      <c r="H281" s="62">
        <f>all_data!I280</f>
        <v>0</v>
      </c>
    </row>
    <row r="282" spans="1:8" ht="15.75">
      <c r="A282" s="31">
        <v>279</v>
      </c>
      <c r="B282" s="106">
        <f>all_data!B281</f>
        <v>0</v>
      </c>
      <c r="C282" s="57">
        <f>all_data!C281</f>
        <v>0</v>
      </c>
      <c r="D282" s="50">
        <f>all_data!D281</f>
        <v>0</v>
      </c>
      <c r="E282" s="52">
        <f>IF(all_data!E281="",0,all_data!E281)</f>
        <v>0</v>
      </c>
      <c r="F282" s="51">
        <f>all_data!F281</f>
        <v>0</v>
      </c>
      <c r="G282" s="29">
        <f>all_data!H281</f>
        <v>0</v>
      </c>
      <c r="H282" s="62">
        <f>all_data!I281</f>
        <v>0</v>
      </c>
    </row>
    <row r="283" spans="1:8" ht="15.75">
      <c r="A283" s="31">
        <v>280</v>
      </c>
      <c r="B283" s="106">
        <f>all_data!B282</f>
        <v>0</v>
      </c>
      <c r="C283" s="57">
        <f>all_data!C282</f>
        <v>0</v>
      </c>
      <c r="D283" s="50">
        <f>all_data!D282</f>
        <v>0</v>
      </c>
      <c r="E283" s="52">
        <f>IF(all_data!E282="",0,all_data!E282)</f>
        <v>0</v>
      </c>
      <c r="F283" s="51">
        <f>all_data!F282</f>
        <v>0</v>
      </c>
      <c r="G283" s="29">
        <f>all_data!H282</f>
        <v>0</v>
      </c>
      <c r="H283" s="62">
        <f>all_data!I282</f>
        <v>0</v>
      </c>
    </row>
    <row r="284" spans="1:8" ht="15.75">
      <c r="A284" s="31">
        <v>281</v>
      </c>
      <c r="B284" s="106">
        <f>all_data!B283</f>
        <v>0</v>
      </c>
      <c r="C284" s="57">
        <f>all_data!C283</f>
        <v>0</v>
      </c>
      <c r="D284" s="50">
        <f>all_data!D283</f>
        <v>0</v>
      </c>
      <c r="E284" s="52">
        <f>IF(all_data!E283="",0,all_data!E283)</f>
        <v>0</v>
      </c>
      <c r="F284" s="51">
        <f>all_data!F283</f>
        <v>0</v>
      </c>
      <c r="G284" s="29">
        <f>all_data!H283</f>
        <v>0</v>
      </c>
      <c r="H284" s="62">
        <f>all_data!I283</f>
        <v>0</v>
      </c>
    </row>
    <row r="285" spans="1:8" ht="15.75">
      <c r="A285" s="31">
        <v>282</v>
      </c>
      <c r="B285" s="106">
        <f>all_data!B284</f>
        <v>0</v>
      </c>
      <c r="C285" s="57">
        <f>all_data!C284</f>
        <v>0</v>
      </c>
      <c r="D285" s="50">
        <f>all_data!D284</f>
        <v>0</v>
      </c>
      <c r="E285" s="52">
        <f>IF(all_data!E284="",0,all_data!E284)</f>
        <v>0</v>
      </c>
      <c r="F285" s="51">
        <f>all_data!F284</f>
        <v>0</v>
      </c>
      <c r="G285" s="29">
        <f>all_data!H284</f>
        <v>0</v>
      </c>
      <c r="H285" s="62">
        <f>all_data!I284</f>
        <v>0</v>
      </c>
    </row>
    <row r="286" spans="1:8" ht="15.75">
      <c r="A286" s="31">
        <v>283</v>
      </c>
      <c r="B286" s="106">
        <f>all_data!B285</f>
        <v>0</v>
      </c>
      <c r="C286" s="57">
        <f>all_data!C285</f>
        <v>0</v>
      </c>
      <c r="D286" s="50">
        <f>all_data!D285</f>
        <v>0</v>
      </c>
      <c r="E286" s="52">
        <f>IF(all_data!E285="",0,all_data!E285)</f>
        <v>0</v>
      </c>
      <c r="F286" s="51">
        <f>all_data!F285</f>
        <v>0</v>
      </c>
      <c r="G286" s="29">
        <f>all_data!H285</f>
        <v>0</v>
      </c>
      <c r="H286" s="62">
        <f>all_data!I285</f>
        <v>0</v>
      </c>
    </row>
    <row r="287" spans="1:8" ht="15.75">
      <c r="A287" s="31">
        <v>284</v>
      </c>
      <c r="B287" s="106">
        <f>all_data!B286</f>
        <v>0</v>
      </c>
      <c r="C287" s="57">
        <f>all_data!C286</f>
        <v>0</v>
      </c>
      <c r="D287" s="50">
        <f>all_data!D286</f>
        <v>0</v>
      </c>
      <c r="E287" s="52">
        <f>IF(all_data!E286="",0,all_data!E286)</f>
        <v>0</v>
      </c>
      <c r="F287" s="51">
        <f>all_data!F286</f>
        <v>0</v>
      </c>
      <c r="G287" s="29">
        <f>all_data!H286</f>
        <v>0</v>
      </c>
      <c r="H287" s="62">
        <f>all_data!I286</f>
        <v>0</v>
      </c>
    </row>
    <row r="288" spans="1:8" ht="15.75">
      <c r="A288" s="31">
        <v>285</v>
      </c>
      <c r="B288" s="106">
        <f>all_data!B287</f>
        <v>0</v>
      </c>
      <c r="C288" s="57">
        <f>all_data!C287</f>
        <v>0</v>
      </c>
      <c r="D288" s="50">
        <f>all_data!D287</f>
        <v>0</v>
      </c>
      <c r="E288" s="52">
        <f>IF(all_data!E287="",0,all_data!E287)</f>
        <v>0</v>
      </c>
      <c r="F288" s="51">
        <f>all_data!F287</f>
        <v>0</v>
      </c>
      <c r="G288" s="29">
        <f>all_data!H287</f>
        <v>0</v>
      </c>
      <c r="H288" s="62">
        <f>all_data!I287</f>
        <v>0</v>
      </c>
    </row>
    <row r="289" spans="1:8" ht="15.75">
      <c r="A289" s="31">
        <v>286</v>
      </c>
      <c r="B289" s="106">
        <f>all_data!B288</f>
        <v>0</v>
      </c>
      <c r="C289" s="57">
        <f>all_data!C288</f>
        <v>0</v>
      </c>
      <c r="D289" s="50">
        <f>all_data!D288</f>
        <v>0</v>
      </c>
      <c r="E289" s="52">
        <f>IF(all_data!E288="",0,all_data!E288)</f>
        <v>0</v>
      </c>
      <c r="F289" s="51">
        <f>all_data!F288</f>
        <v>0</v>
      </c>
      <c r="G289" s="29">
        <f>all_data!H288</f>
        <v>0</v>
      </c>
      <c r="H289" s="62">
        <f>all_data!I288</f>
        <v>0</v>
      </c>
    </row>
    <row r="290" spans="1:8" ht="15.75">
      <c r="A290" s="31">
        <v>287</v>
      </c>
      <c r="B290" s="106">
        <f>all_data!B289</f>
        <v>0</v>
      </c>
      <c r="C290" s="57">
        <f>all_data!C289</f>
        <v>0</v>
      </c>
      <c r="D290" s="50">
        <f>all_data!D289</f>
        <v>0</v>
      </c>
      <c r="E290" s="52">
        <f>IF(all_data!E289="",0,all_data!E289)</f>
        <v>0</v>
      </c>
      <c r="F290" s="51">
        <f>all_data!F289</f>
        <v>0</v>
      </c>
      <c r="G290" s="29">
        <f>all_data!H289</f>
        <v>0</v>
      </c>
      <c r="H290" s="62">
        <f>all_data!I289</f>
        <v>0</v>
      </c>
    </row>
    <row r="291" spans="1:8" ht="15.75">
      <c r="A291" s="31">
        <v>288</v>
      </c>
      <c r="B291" s="106">
        <f>all_data!B290</f>
        <v>0</v>
      </c>
      <c r="C291" s="57">
        <f>all_data!C290</f>
        <v>0</v>
      </c>
      <c r="D291" s="50">
        <f>all_data!D290</f>
        <v>0</v>
      </c>
      <c r="E291" s="52">
        <f>IF(all_data!E290="",0,all_data!E290)</f>
        <v>0</v>
      </c>
      <c r="F291" s="51">
        <f>all_data!F290</f>
        <v>0</v>
      </c>
      <c r="G291" s="29">
        <f>all_data!H290</f>
        <v>0</v>
      </c>
      <c r="H291" s="62">
        <f>all_data!I290</f>
        <v>0</v>
      </c>
    </row>
    <row r="292" spans="1:8" ht="15.75">
      <c r="A292" s="31">
        <v>289</v>
      </c>
      <c r="B292" s="106">
        <f>all_data!B291</f>
        <v>0</v>
      </c>
      <c r="C292" s="57">
        <f>all_data!C291</f>
        <v>0</v>
      </c>
      <c r="D292" s="50">
        <f>all_data!D291</f>
        <v>0</v>
      </c>
      <c r="E292" s="52">
        <f>IF(all_data!E291="",0,all_data!E291)</f>
        <v>0</v>
      </c>
      <c r="F292" s="51">
        <f>all_data!F291</f>
        <v>0</v>
      </c>
      <c r="G292" s="29">
        <f>all_data!H291</f>
        <v>0</v>
      </c>
      <c r="H292" s="62">
        <f>all_data!I291</f>
        <v>0</v>
      </c>
    </row>
    <row r="293" spans="1:8" ht="15.75">
      <c r="A293" s="31">
        <v>290</v>
      </c>
      <c r="B293" s="106">
        <f>all_data!B292</f>
        <v>0</v>
      </c>
      <c r="C293" s="57">
        <f>all_data!C292</f>
        <v>0</v>
      </c>
      <c r="D293" s="50">
        <f>all_data!D292</f>
        <v>0</v>
      </c>
      <c r="E293" s="52">
        <f>IF(all_data!E292="",0,all_data!E292)</f>
        <v>0</v>
      </c>
      <c r="F293" s="51">
        <f>all_data!F292</f>
        <v>0</v>
      </c>
      <c r="G293" s="29">
        <f>all_data!H292</f>
        <v>0</v>
      </c>
      <c r="H293" s="62">
        <f>all_data!I292</f>
        <v>0</v>
      </c>
    </row>
    <row r="294" spans="1:8" ht="15.75">
      <c r="A294" s="31">
        <v>291</v>
      </c>
      <c r="B294" s="106">
        <f>all_data!B293</f>
        <v>0</v>
      </c>
      <c r="C294" s="57">
        <f>all_data!C293</f>
        <v>0</v>
      </c>
      <c r="D294" s="50">
        <f>all_data!D293</f>
        <v>0</v>
      </c>
      <c r="E294" s="52">
        <f>IF(all_data!E293="",0,all_data!E293)</f>
        <v>0</v>
      </c>
      <c r="F294" s="51">
        <f>all_data!F293</f>
        <v>0</v>
      </c>
      <c r="G294" s="29">
        <f>all_data!H293</f>
        <v>0</v>
      </c>
      <c r="H294" s="62">
        <f>all_data!I293</f>
        <v>0</v>
      </c>
    </row>
    <row r="295" spans="1:8" ht="15.75">
      <c r="A295" s="31">
        <v>292</v>
      </c>
      <c r="B295" s="106">
        <f>all_data!B294</f>
        <v>0</v>
      </c>
      <c r="C295" s="57">
        <f>all_data!C294</f>
        <v>0</v>
      </c>
      <c r="D295" s="50">
        <f>all_data!D294</f>
        <v>0</v>
      </c>
      <c r="E295" s="52">
        <f>IF(all_data!E294="",0,all_data!E294)</f>
        <v>0</v>
      </c>
      <c r="F295" s="51">
        <f>all_data!F294</f>
        <v>0</v>
      </c>
      <c r="G295" s="29">
        <f>all_data!H294</f>
        <v>0</v>
      </c>
      <c r="H295" s="62">
        <f>all_data!I294</f>
        <v>0</v>
      </c>
    </row>
    <row r="296" spans="1:8" ht="15.75">
      <c r="A296" s="31">
        <v>293</v>
      </c>
      <c r="B296" s="106">
        <f>all_data!B295</f>
        <v>0</v>
      </c>
      <c r="C296" s="57">
        <f>all_data!C295</f>
        <v>0</v>
      </c>
      <c r="D296" s="50">
        <f>all_data!D295</f>
        <v>0</v>
      </c>
      <c r="E296" s="52">
        <f>IF(all_data!E295="",0,all_data!E295)</f>
        <v>0</v>
      </c>
      <c r="F296" s="51">
        <f>all_data!F295</f>
        <v>0</v>
      </c>
      <c r="G296" s="29">
        <f>all_data!H295</f>
        <v>0</v>
      </c>
      <c r="H296" s="62">
        <f>all_data!I295</f>
        <v>0</v>
      </c>
    </row>
    <row r="297" spans="1:8" ht="15.75">
      <c r="A297" s="31">
        <v>294</v>
      </c>
      <c r="B297" s="106">
        <f>all_data!B296</f>
        <v>0</v>
      </c>
      <c r="C297" s="57">
        <f>all_data!C296</f>
        <v>0</v>
      </c>
      <c r="D297" s="50">
        <f>all_data!D296</f>
        <v>0</v>
      </c>
      <c r="E297" s="52">
        <f>IF(all_data!E296="",0,all_data!E296)</f>
        <v>0</v>
      </c>
      <c r="F297" s="51">
        <f>all_data!F296</f>
        <v>0</v>
      </c>
      <c r="G297" s="29">
        <f>all_data!H296</f>
        <v>0</v>
      </c>
      <c r="H297" s="62">
        <f>all_data!I296</f>
        <v>0</v>
      </c>
    </row>
    <row r="298" spans="1:8" ht="15.75">
      <c r="A298" s="31">
        <v>295</v>
      </c>
      <c r="B298" s="106">
        <f>all_data!B297</f>
        <v>0</v>
      </c>
      <c r="C298" s="57">
        <f>all_data!C297</f>
        <v>0</v>
      </c>
      <c r="D298" s="50">
        <f>all_data!D297</f>
        <v>0</v>
      </c>
      <c r="E298" s="52">
        <f>IF(all_data!E297="",0,all_data!E297)</f>
        <v>0</v>
      </c>
      <c r="F298" s="51">
        <f>all_data!F297</f>
        <v>0</v>
      </c>
      <c r="G298" s="29">
        <f>all_data!H297</f>
        <v>0</v>
      </c>
      <c r="H298" s="62">
        <f>all_data!I297</f>
        <v>0</v>
      </c>
    </row>
    <row r="299" spans="1:8" ht="15.75">
      <c r="A299" s="31">
        <v>296</v>
      </c>
      <c r="B299" s="106">
        <f>all_data!B298</f>
        <v>0</v>
      </c>
      <c r="C299" s="57">
        <f>all_data!C298</f>
        <v>0</v>
      </c>
      <c r="D299" s="50">
        <f>all_data!D298</f>
        <v>0</v>
      </c>
      <c r="E299" s="52">
        <f>IF(all_data!E298="",0,all_data!E298)</f>
        <v>0</v>
      </c>
      <c r="F299" s="51">
        <f>all_data!F298</f>
        <v>0</v>
      </c>
      <c r="G299" s="29">
        <f>all_data!H298</f>
        <v>0</v>
      </c>
      <c r="H299" s="62">
        <f>all_data!I298</f>
        <v>0</v>
      </c>
    </row>
    <row r="300" spans="1:8" ht="15.75">
      <c r="A300" s="31">
        <v>297</v>
      </c>
      <c r="B300" s="106">
        <f>all_data!B299</f>
        <v>0</v>
      </c>
      <c r="C300" s="57">
        <f>all_data!C299</f>
        <v>0</v>
      </c>
      <c r="D300" s="50">
        <f>all_data!D299</f>
        <v>0</v>
      </c>
      <c r="E300" s="52">
        <f>IF(all_data!E299="",0,all_data!E299)</f>
        <v>0</v>
      </c>
      <c r="F300" s="51">
        <f>all_data!F299</f>
        <v>0</v>
      </c>
      <c r="G300" s="29">
        <f>all_data!H299</f>
        <v>0</v>
      </c>
      <c r="H300" s="62">
        <f>all_data!I299</f>
        <v>0</v>
      </c>
    </row>
    <row r="301" spans="1:8" ht="15.75">
      <c r="A301" s="31">
        <v>298</v>
      </c>
      <c r="B301" s="106">
        <f>all_data!B300</f>
        <v>0</v>
      </c>
      <c r="C301" s="57">
        <f>all_data!C300</f>
        <v>0</v>
      </c>
      <c r="D301" s="50">
        <f>all_data!D300</f>
        <v>0</v>
      </c>
      <c r="E301" s="52">
        <f>IF(all_data!E300="",0,all_data!E300)</f>
        <v>0</v>
      </c>
      <c r="F301" s="51">
        <f>all_data!F300</f>
        <v>0</v>
      </c>
      <c r="G301" s="29">
        <f>all_data!H300</f>
        <v>0</v>
      </c>
      <c r="H301" s="62">
        <f>all_data!I300</f>
        <v>0</v>
      </c>
    </row>
    <row r="302" spans="1:8" ht="15.75">
      <c r="A302" s="31">
        <v>299</v>
      </c>
      <c r="B302" s="106">
        <f>all_data!B301</f>
        <v>0</v>
      </c>
      <c r="C302" s="57">
        <f>all_data!C301</f>
        <v>0</v>
      </c>
      <c r="D302" s="50">
        <f>all_data!D301</f>
        <v>0</v>
      </c>
      <c r="E302" s="52">
        <f>IF(all_data!E301="",0,all_data!E301)</f>
        <v>0</v>
      </c>
      <c r="F302" s="51">
        <f>all_data!F301</f>
        <v>0</v>
      </c>
      <c r="G302" s="29">
        <f>all_data!H301</f>
        <v>0</v>
      </c>
      <c r="H302" s="62">
        <f>all_data!I301</f>
        <v>0</v>
      </c>
    </row>
    <row r="303" spans="1:8" ht="15.75">
      <c r="A303" s="31">
        <v>300</v>
      </c>
      <c r="B303" s="106">
        <f>all_data!B302</f>
        <v>0</v>
      </c>
      <c r="C303" s="57">
        <f>all_data!C302</f>
        <v>0</v>
      </c>
      <c r="D303" s="50">
        <f>all_data!D302</f>
        <v>0</v>
      </c>
      <c r="E303" s="52">
        <f>IF(all_data!E302="",0,all_data!E302)</f>
        <v>0</v>
      </c>
      <c r="F303" s="51">
        <f>all_data!F302</f>
        <v>0</v>
      </c>
      <c r="G303" s="29">
        <f>all_data!H302</f>
        <v>0</v>
      </c>
      <c r="H303" s="62">
        <f>all_data!I302</f>
        <v>0</v>
      </c>
    </row>
    <row r="304" spans="1:8">
      <c r="A304" s="53"/>
      <c r="B304" s="77"/>
      <c r="C304" s="58"/>
      <c r="D304" s="54"/>
      <c r="E304" s="55"/>
      <c r="F304" s="53"/>
      <c r="G304" s="32"/>
      <c r="H304" s="63"/>
    </row>
    <row r="305" spans="1:8">
      <c r="A305" s="53"/>
      <c r="B305" s="77"/>
      <c r="C305" s="58"/>
      <c r="D305" s="54"/>
      <c r="E305" s="55"/>
      <c r="F305" s="53"/>
      <c r="G305" s="32"/>
      <c r="H305" s="63"/>
    </row>
    <row r="306" spans="1:8">
      <c r="A306" s="53"/>
      <c r="B306" s="77"/>
      <c r="C306" s="58"/>
      <c r="D306" s="54"/>
      <c r="E306" s="55"/>
      <c r="F306" s="53"/>
      <c r="G306" s="32"/>
      <c r="H306" s="63"/>
    </row>
    <row r="307" spans="1:8">
      <c r="A307" s="53"/>
      <c r="B307" s="77"/>
      <c r="C307" s="58"/>
      <c r="D307" s="54"/>
      <c r="E307" s="55"/>
      <c r="F307" s="53"/>
      <c r="G307" s="32"/>
      <c r="H307" s="63"/>
    </row>
    <row r="308" spans="1:8">
      <c r="A308" s="53"/>
      <c r="B308" s="77"/>
      <c r="C308" s="58"/>
      <c r="D308" s="54"/>
      <c r="E308" s="55"/>
      <c r="F308" s="53"/>
      <c r="G308" s="32"/>
      <c r="H308" s="63"/>
    </row>
    <row r="309" spans="1:8">
      <c r="A309" s="53"/>
      <c r="B309" s="77"/>
      <c r="C309" s="58"/>
      <c r="D309" s="54"/>
      <c r="E309" s="55"/>
      <c r="F309" s="53"/>
      <c r="G309" s="32"/>
      <c r="H309" s="63"/>
    </row>
    <row r="310" spans="1:8">
      <c r="A310" s="53"/>
      <c r="B310" s="77"/>
      <c r="C310" s="58"/>
      <c r="D310" s="54"/>
      <c r="E310" s="55"/>
      <c r="F310" s="53"/>
      <c r="G310" s="32"/>
      <c r="H310" s="63"/>
    </row>
    <row r="311" spans="1:8">
      <c r="A311" s="53"/>
      <c r="B311" s="77"/>
      <c r="C311" s="58"/>
      <c r="D311" s="54"/>
      <c r="E311" s="55"/>
      <c r="F311" s="53"/>
      <c r="G311" s="32"/>
      <c r="H311" s="63"/>
    </row>
    <row r="312" spans="1:8">
      <c r="A312" s="53"/>
      <c r="B312" s="77"/>
      <c r="C312" s="58"/>
      <c r="D312" s="54"/>
      <c r="E312" s="55"/>
      <c r="F312" s="53"/>
      <c r="G312" s="32"/>
      <c r="H312" s="63"/>
    </row>
    <row r="313" spans="1:8">
      <c r="A313" s="53"/>
      <c r="B313" s="77"/>
      <c r="C313" s="58"/>
      <c r="D313" s="54"/>
      <c r="E313" s="55"/>
      <c r="F313" s="53"/>
      <c r="G313" s="32"/>
      <c r="H313" s="63"/>
    </row>
    <row r="314" spans="1:8">
      <c r="A314" s="53"/>
      <c r="B314" s="77"/>
      <c r="C314" s="58"/>
      <c r="D314" s="54"/>
      <c r="E314" s="55"/>
      <c r="F314" s="53"/>
      <c r="G314" s="32"/>
      <c r="H314" s="63"/>
    </row>
    <row r="315" spans="1:8">
      <c r="A315" s="53"/>
      <c r="B315" s="77"/>
      <c r="C315" s="58"/>
      <c r="D315" s="54"/>
      <c r="E315" s="55"/>
      <c r="F315" s="53"/>
      <c r="G315" s="32"/>
      <c r="H315" s="63"/>
    </row>
    <row r="316" spans="1:8">
      <c r="A316" s="53"/>
      <c r="B316" s="77"/>
      <c r="C316" s="58"/>
      <c r="D316" s="54"/>
      <c r="E316" s="55"/>
      <c r="F316" s="53"/>
      <c r="G316" s="32"/>
      <c r="H316" s="63"/>
    </row>
    <row r="317" spans="1:8">
      <c r="A317" s="53"/>
      <c r="B317" s="77"/>
      <c r="C317" s="58"/>
      <c r="D317" s="54"/>
      <c r="E317" s="55"/>
      <c r="F317" s="53"/>
      <c r="G317" s="32"/>
      <c r="H317" s="63"/>
    </row>
    <row r="318" spans="1:8">
      <c r="A318" s="53"/>
      <c r="B318" s="77"/>
      <c r="C318" s="58"/>
      <c r="D318" s="54"/>
      <c r="E318" s="55"/>
      <c r="F318" s="53"/>
      <c r="G318" s="32"/>
      <c r="H318" s="63"/>
    </row>
    <row r="319" spans="1:8">
      <c r="A319" s="53"/>
      <c r="B319" s="77"/>
      <c r="C319" s="58"/>
      <c r="D319" s="54"/>
      <c r="E319" s="55"/>
      <c r="F319" s="53"/>
      <c r="G319" s="32"/>
      <c r="H319" s="63"/>
    </row>
    <row r="320" spans="1:8">
      <c r="A320" s="53"/>
      <c r="B320" s="77"/>
      <c r="C320" s="58"/>
      <c r="D320" s="54"/>
      <c r="E320" s="55"/>
      <c r="F320" s="53"/>
      <c r="G320" s="32"/>
      <c r="H320" s="63"/>
    </row>
    <row r="321" spans="1:8">
      <c r="A321" s="53"/>
      <c r="B321" s="77"/>
      <c r="C321" s="58"/>
      <c r="D321" s="54"/>
      <c r="E321" s="55"/>
      <c r="F321" s="53"/>
      <c r="G321" s="32"/>
      <c r="H321" s="63"/>
    </row>
    <row r="322" spans="1:8">
      <c r="A322" s="53"/>
      <c r="B322" s="77"/>
      <c r="C322" s="58"/>
      <c r="D322" s="54"/>
      <c r="E322" s="55"/>
      <c r="F322" s="53"/>
      <c r="G322" s="32"/>
      <c r="H322" s="63"/>
    </row>
    <row r="323" spans="1:8">
      <c r="A323" s="53"/>
      <c r="B323" s="77"/>
      <c r="C323" s="58"/>
      <c r="D323" s="54"/>
      <c r="E323" s="55"/>
      <c r="F323" s="53"/>
      <c r="G323" s="32"/>
      <c r="H323" s="63"/>
    </row>
    <row r="324" spans="1:8">
      <c r="A324" s="53"/>
      <c r="B324" s="77"/>
      <c r="C324" s="58"/>
      <c r="D324" s="54"/>
      <c r="E324" s="55"/>
      <c r="F324" s="53"/>
      <c r="G324" s="32"/>
      <c r="H324" s="63"/>
    </row>
  </sheetData>
  <sortState ref="B4:H300">
    <sortCondition descending="1" ref="E4"/>
  </sortState>
  <customSheetViews>
    <customSheetView guid="{78B3A349-4A6A-4124-974B-C4B81C7019CD}" scale="75" showRuler="0">
      <selection activeCell="I20" sqref="I20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1"/>
      <headerFooter alignWithMargins="0">
        <oddHeader>&amp;L&amp;8Universität Rostock
Fakultät für Maschinbau
Schiffstechnik
Institut für Maritime Systeme und Strömungstechnik&amp;C&amp;"Arial,Fett"&amp;14Papierschiffwettbewerb 2004
Auswertung Kategorie Verhältniss
Tragfähigkeit/Masse leeres Schiff&amp;Rwww.paperboat.de</oddHeader>
        <oddFooter>Seite &amp;P von &amp;N</oddFooter>
      </headerFooter>
    </customSheetView>
    <customSheetView guid="{F48999E8-45B5-4A7E-B3AF-FA7A59AA8144}" scale="75" showRuler="0">
      <selection activeCell="I20" sqref="I20"/>
      <pageMargins left="0.78740157480314965" right="0.78740157480314965" top="1.5748031496062993" bottom="0.98425196850393704" header="0.51181102362204722" footer="0.51181102362204722"/>
      <printOptions horizontalCentered="1" verticalCentered="1"/>
      <pageSetup paperSize="9" orientation="landscape" horizontalDpi="300" verticalDpi="300" r:id="rId2"/>
      <headerFooter alignWithMargins="0">
        <oddHeader>&amp;L&amp;8Universität Rostock
Fakultät für Maschinbau
Schiffstechnik
Institut für Maritime Systeme und Strömungstechnik&amp;C&amp;"Arial,Fett"&amp;14Papierschiffwettbewerb 2004
Auswertung Kategorie Verhältniss
Tragfähigkeit/Masse leeres Schiff&amp;Rwww.paperboat.de</oddHeader>
        <oddFooter>Seite &amp;P von &amp;N</oddFooter>
      </headerFooter>
    </customSheetView>
  </customSheetViews>
  <mergeCells count="1">
    <mergeCell ref="A1:G1"/>
  </mergeCells>
  <phoneticPr fontId="0" type="noConversion"/>
  <printOptions horizontalCentered="1" verticalCentered="1"/>
  <pageMargins left="0.78740157480314965" right="0.78740157480314965" top="1.5748031496062993" bottom="0.98425196850393704" header="0.51181102362204722" footer="0.51181102362204722"/>
  <pageSetup paperSize="9" orientation="landscape" horizontalDpi="300" verticalDpi="300" r:id="rId3"/>
  <headerFooter alignWithMargins="0">
    <oddHeader>&amp;L&amp;8Universität Rostock
Fakultät für Maschinbau
Schiffstechnik
Institut für Maritime Systeme und Strömungstechnik&amp;C&amp;"Arial,Fett"&amp;14Papierschiffwettbewerb 2004
Auswertung Kategorie Verhältniss
Tragfähigkeit/Masse leeres Schiff&amp;Rwww.paperboat.de</oddHeader>
    <oddFooter>Seite &amp;P von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/>
  <dimension ref="A4:I68"/>
  <sheetViews>
    <sheetView zoomScale="75" workbookViewId="0">
      <selection activeCell="G70" sqref="G70"/>
    </sheetView>
  </sheetViews>
  <sheetFormatPr baseColWidth="10" defaultRowHeight="12.75"/>
  <cols>
    <col min="1" max="1" width="6.85546875" style="27" customWidth="1"/>
    <col min="2" max="2" width="18.28515625" style="27" customWidth="1"/>
    <col min="3" max="3" width="10.5703125" style="27" customWidth="1"/>
    <col min="4" max="4" width="13.28515625" style="27" customWidth="1"/>
    <col min="5" max="5" width="11.42578125" style="27"/>
    <col min="6" max="6" width="12.140625" style="27" customWidth="1"/>
    <col min="7" max="7" width="23.28515625" style="27" customWidth="1"/>
    <col min="8" max="8" width="19.85546875" style="27" customWidth="1"/>
    <col min="9" max="9" width="11.42578125" style="27"/>
    <col min="10" max="16384" width="11.42578125" style="25"/>
  </cols>
  <sheetData>
    <row r="4" spans="1:9" s="70" customFormat="1" ht="23.25">
      <c r="A4" s="115" t="s">
        <v>45</v>
      </c>
      <c r="B4" s="116"/>
      <c r="C4" s="116"/>
      <c r="D4" s="116"/>
      <c r="E4" s="116"/>
      <c r="F4" s="116"/>
      <c r="G4" s="116"/>
      <c r="H4" s="116"/>
      <c r="I4" s="116"/>
    </row>
    <row r="5" spans="1:9" s="23" customFormat="1" ht="18">
      <c r="A5" s="37"/>
      <c r="B5" s="27"/>
      <c r="C5" s="27"/>
      <c r="D5" s="27"/>
      <c r="E5" s="27"/>
      <c r="F5" s="27"/>
      <c r="G5" s="27"/>
      <c r="H5" s="27"/>
      <c r="I5" s="27"/>
    </row>
    <row r="6" spans="1:9" s="23" customFormat="1" ht="18">
      <c r="A6" s="37"/>
      <c r="B6" s="27"/>
      <c r="C6" s="27"/>
      <c r="D6" s="27"/>
      <c r="E6" s="27"/>
      <c r="F6" s="27"/>
      <c r="G6" s="27"/>
      <c r="H6" s="27"/>
      <c r="I6" s="27"/>
    </row>
    <row r="7" spans="1:9" s="23" customFormat="1" ht="18">
      <c r="A7" s="37"/>
      <c r="B7" s="27"/>
      <c r="C7" s="27"/>
      <c r="D7" s="27"/>
      <c r="E7" s="27"/>
      <c r="F7" s="27"/>
      <c r="G7" s="27"/>
      <c r="H7" s="27"/>
      <c r="I7" s="27"/>
    </row>
    <row r="8" spans="1:9" ht="31.5">
      <c r="A8" s="24" t="s">
        <v>36</v>
      </c>
      <c r="B8" s="24" t="s">
        <v>38</v>
      </c>
      <c r="C8" s="24" t="s">
        <v>39</v>
      </c>
      <c r="D8" s="38" t="s">
        <v>40</v>
      </c>
      <c r="E8" s="39" t="s">
        <v>37</v>
      </c>
      <c r="F8" s="24" t="s">
        <v>7</v>
      </c>
      <c r="G8" s="24" t="s">
        <v>19</v>
      </c>
      <c r="H8" s="24" t="s">
        <v>20</v>
      </c>
      <c r="I8" s="24" t="s">
        <v>41</v>
      </c>
    </row>
    <row r="9" spans="1:9" ht="38.25">
      <c r="A9" s="31">
        <v>1</v>
      </c>
      <c r="B9" s="40" t="str">
        <f>Ausw_Tragf!B4</f>
        <v>Titanic II</v>
      </c>
      <c r="C9" s="60">
        <f>Ausw_Tragf!C4</f>
        <v>6.9</v>
      </c>
      <c r="D9" s="42">
        <f>Ausw_Tragf!D4</f>
        <v>9.9179999999999993</v>
      </c>
      <c r="E9" s="43">
        <f>Ausw_Tragf!E4</f>
        <v>1.4373913043478259</v>
      </c>
      <c r="F9" s="41">
        <f>Ausw_Tragf!F4</f>
        <v>500</v>
      </c>
      <c r="G9" s="26" t="str">
        <f>Ausw_Tragf!G4</f>
        <v>Felix Grabe
Marcel Bodin
Cora-Katja-Herkommer</v>
      </c>
      <c r="H9" s="26" t="str">
        <f>Ausw_Tragf!H4</f>
        <v>Bertha von Suttner Schule</v>
      </c>
      <c r="I9" s="44" t="s">
        <v>76</v>
      </c>
    </row>
    <row r="10" spans="1:9" ht="25.5">
      <c r="A10" s="31">
        <v>2</v>
      </c>
      <c r="B10" s="40" t="str">
        <f>Ausw_Tragf!B5</f>
        <v>Little Nemo</v>
      </c>
      <c r="C10" s="60">
        <f>Ausw_Tragf!C5</f>
        <v>9.6999999999999993</v>
      </c>
      <c r="D10" s="42">
        <f>Ausw_Tragf!D5</f>
        <v>9.26</v>
      </c>
      <c r="E10" s="43">
        <f>Ausw_Tragf!E5</f>
        <v>0.95463917525773201</v>
      </c>
      <c r="F10" s="41">
        <f>Ausw_Tragf!F5</f>
        <v>1</v>
      </c>
      <c r="G10" s="26" t="str">
        <f>Ausw_Tragf!G5</f>
        <v>Jenny Mandler</v>
      </c>
      <c r="H10" s="26" t="str">
        <f>Ausw_Tragf!H5</f>
        <v>Ernst-Abbe-Gymnasium</v>
      </c>
      <c r="I10" s="44" t="s">
        <v>77</v>
      </c>
    </row>
    <row r="11" spans="1:9" ht="15.75">
      <c r="A11" s="31">
        <v>3</v>
      </c>
      <c r="B11" s="40" t="str">
        <f>Ausw_Tragf!B6</f>
        <v>Hong Nga 1</v>
      </c>
      <c r="C11" s="60">
        <f>Ausw_Tragf!C6</f>
        <v>7</v>
      </c>
      <c r="D11" s="42">
        <f>Ausw_Tragf!D6</f>
        <v>6.165</v>
      </c>
      <c r="E11" s="43">
        <f>Ausw_Tragf!E6</f>
        <v>0.88071428571428567</v>
      </c>
      <c r="F11" s="41">
        <f>Ausw_Tragf!F6</f>
        <v>200</v>
      </c>
      <c r="G11" s="26" t="str">
        <f>Ausw_Tragf!G6</f>
        <v>Hong Nga Ly</v>
      </c>
      <c r="H11" s="26" t="str">
        <f>Ausw_Tragf!H6</f>
        <v>Athenaueum Stade</v>
      </c>
      <c r="I11" s="44" t="s">
        <v>48</v>
      </c>
    </row>
    <row r="12" spans="1:9" ht="25.5">
      <c r="A12" s="31">
        <v>4</v>
      </c>
      <c r="B12" s="40" t="str">
        <f>Ausw_Tragf!B7</f>
        <v>Skipper</v>
      </c>
      <c r="C12" s="60">
        <f>Ausw_Tragf!C7</f>
        <v>9.1999999999999993</v>
      </c>
      <c r="D12" s="42">
        <f>Ausw_Tragf!D7</f>
        <v>3.5619999999999998</v>
      </c>
      <c r="E12" s="43">
        <f>Ausw_Tragf!E7</f>
        <v>0.38717391304347826</v>
      </c>
      <c r="F12" s="41">
        <f>Ausw_Tragf!F7</f>
        <v>350</v>
      </c>
      <c r="G12" s="26" t="str">
        <f>Ausw_Tragf!G7</f>
        <v>Nike</v>
      </c>
      <c r="H12" s="26" t="str">
        <f>Ausw_Tragf!H7</f>
        <v>Jungmannschule Eckernförde</v>
      </c>
      <c r="I12" s="44" t="s">
        <v>50</v>
      </c>
    </row>
    <row r="13" spans="1:9" ht="32.25" customHeight="1">
      <c r="A13" s="31">
        <v>5</v>
      </c>
      <c r="B13" s="40" t="str">
        <f>Ausw_Tragf!B8</f>
        <v>Solida</v>
      </c>
      <c r="C13" s="60">
        <f>Ausw_Tragf!C8</f>
        <v>9.9</v>
      </c>
      <c r="D13" s="42">
        <f>Ausw_Tragf!D8</f>
        <v>0</v>
      </c>
      <c r="E13" s="43">
        <f>Ausw_Tragf!E8</f>
        <v>0</v>
      </c>
      <c r="F13" s="41">
        <f>Ausw_Tragf!F8</f>
        <v>1</v>
      </c>
      <c r="G13" s="26" t="str">
        <f>Ausw_Tragf!G8</f>
        <v>Ingrid Bierkamp-Nienkarken</v>
      </c>
      <c r="H13" s="26">
        <f>Ausw_Tragf!H8</f>
        <v>0</v>
      </c>
      <c r="I13" s="44" t="s">
        <v>50</v>
      </c>
    </row>
    <row r="14" spans="1:9" ht="15.75">
      <c r="A14" s="31">
        <v>6</v>
      </c>
      <c r="B14" s="40" t="str">
        <f>Ausw_Tragf!B9</f>
        <v>Moritz</v>
      </c>
      <c r="C14" s="60">
        <f>Ausw_Tragf!C9</f>
        <v>10</v>
      </c>
      <c r="D14" s="42">
        <f>Ausw_Tragf!D9</f>
        <v>0</v>
      </c>
      <c r="E14" s="43">
        <f>Ausw_Tragf!E9</f>
        <v>0</v>
      </c>
      <c r="F14" s="41">
        <f>Ausw_Tragf!F9</f>
        <v>2000</v>
      </c>
      <c r="G14" s="26" t="str">
        <f>Ausw_Tragf!G9</f>
        <v>Marlene Lüdtke</v>
      </c>
      <c r="H14" s="26">
        <f>Ausw_Tragf!H9</f>
        <v>0</v>
      </c>
      <c r="I14" s="44" t="s">
        <v>50</v>
      </c>
    </row>
    <row r="33" spans="1:9" s="23" customFormat="1" ht="23.25" customHeight="1">
      <c r="A33" s="115" t="s">
        <v>46</v>
      </c>
      <c r="B33" s="120"/>
      <c r="C33" s="120"/>
      <c r="D33" s="120"/>
      <c r="E33" s="120"/>
      <c r="F33" s="120"/>
      <c r="G33" s="120"/>
      <c r="H33" s="120"/>
      <c r="I33" s="120"/>
    </row>
    <row r="34" spans="1:9" s="23" customFormat="1" ht="18">
      <c r="A34" s="37"/>
      <c r="B34" s="27"/>
      <c r="C34" s="27"/>
      <c r="D34" s="27"/>
      <c r="E34" s="27"/>
      <c r="F34" s="27"/>
      <c r="G34" s="27"/>
      <c r="H34" s="27"/>
      <c r="I34" s="27"/>
    </row>
    <row r="35" spans="1:9" s="23" customFormat="1" ht="18">
      <c r="A35" s="37"/>
      <c r="B35" s="27"/>
      <c r="C35" s="27"/>
      <c r="D35" s="27"/>
      <c r="E35" s="27"/>
      <c r="F35" s="27"/>
      <c r="G35" s="27"/>
      <c r="H35" s="27"/>
      <c r="I35" s="27"/>
    </row>
    <row r="36" spans="1:9" ht="31.5">
      <c r="A36" s="24" t="s">
        <v>36</v>
      </c>
      <c r="B36" s="24" t="s">
        <v>38</v>
      </c>
      <c r="C36" s="24" t="s">
        <v>39</v>
      </c>
      <c r="D36" s="45" t="s">
        <v>40</v>
      </c>
      <c r="E36" s="46" t="s">
        <v>37</v>
      </c>
      <c r="F36" s="24" t="s">
        <v>7</v>
      </c>
      <c r="G36" s="24" t="s">
        <v>19</v>
      </c>
      <c r="H36" s="24" t="s">
        <v>20</v>
      </c>
      <c r="I36" s="24" t="s">
        <v>41</v>
      </c>
    </row>
    <row r="37" spans="1:9" ht="38.25">
      <c r="A37" s="31">
        <v>1</v>
      </c>
      <c r="B37" s="40" t="str">
        <f>dw_mls!B4</f>
        <v>Titanic II</v>
      </c>
      <c r="C37" s="60">
        <f>dw_mls!C4</f>
        <v>6.9</v>
      </c>
      <c r="D37" s="47">
        <f>dw_mls!D4</f>
        <v>9.9179999999999993</v>
      </c>
      <c r="E37" s="48">
        <f>dw_mls!E4</f>
        <v>1.4373913043478259</v>
      </c>
      <c r="F37" s="41">
        <f>dw_mls!F4</f>
        <v>500</v>
      </c>
      <c r="G37" s="26" t="str">
        <f>dw_mls!G4</f>
        <v>Felix Grabe
Marcel Bodin
Cora-Katja-Herkommer</v>
      </c>
      <c r="H37" s="26" t="str">
        <f>dw_mls!H4</f>
        <v>Bertha von Suttner Schule</v>
      </c>
      <c r="I37" s="44" t="s">
        <v>42</v>
      </c>
    </row>
    <row r="38" spans="1:9" ht="25.5">
      <c r="A38" s="31">
        <v>2</v>
      </c>
      <c r="B38" s="40" t="str">
        <f>dw_mls!B5</f>
        <v>Little Nemo</v>
      </c>
      <c r="C38" s="60">
        <f>dw_mls!C5</f>
        <v>9.6999999999999993</v>
      </c>
      <c r="D38" s="47">
        <f>dw_mls!D5</f>
        <v>9.26</v>
      </c>
      <c r="E38" s="48">
        <f>dw_mls!E5</f>
        <v>0.95463917525773201</v>
      </c>
      <c r="F38" s="41">
        <f>dw_mls!F5</f>
        <v>1</v>
      </c>
      <c r="G38" s="26" t="str">
        <f>dw_mls!G5</f>
        <v>Jenny Mandler</v>
      </c>
      <c r="H38" s="26" t="str">
        <f>dw_mls!H5</f>
        <v>Ernst-Abbe-Gymnasium</v>
      </c>
      <c r="I38" s="44" t="s">
        <v>48</v>
      </c>
    </row>
    <row r="39" spans="1:9" ht="34.5" customHeight="1">
      <c r="A39" s="31">
        <v>3</v>
      </c>
      <c r="B39" s="40" t="str">
        <f>dw_mls!B6</f>
        <v>Hong Nga 1</v>
      </c>
      <c r="C39" s="60">
        <f>dw_mls!C6</f>
        <v>7</v>
      </c>
      <c r="D39" s="47">
        <f>dw_mls!D6</f>
        <v>6.165</v>
      </c>
      <c r="E39" s="48">
        <f>dw_mls!E6</f>
        <v>0.88071428571428567</v>
      </c>
      <c r="F39" s="41">
        <f>dw_mls!F6</f>
        <v>200</v>
      </c>
      <c r="G39" s="26" t="str">
        <f>dw_mls!G6</f>
        <v>Hong Nga Ly</v>
      </c>
      <c r="H39" s="26" t="str">
        <f>dw_mls!H6</f>
        <v>Athenaueum Stade</v>
      </c>
      <c r="I39" s="44" t="s">
        <v>49</v>
      </c>
    </row>
    <row r="40" spans="1:9" ht="25.5">
      <c r="A40" s="31">
        <v>4</v>
      </c>
      <c r="B40" s="40" t="str">
        <f>dw_mls!B7</f>
        <v>Under Water</v>
      </c>
      <c r="C40" s="60">
        <f>dw_mls!C7</f>
        <v>10.8</v>
      </c>
      <c r="D40" s="47">
        <f>dw_mls!D7</f>
        <v>7.2779999999999996</v>
      </c>
      <c r="E40" s="48">
        <f>dw_mls!E7</f>
        <v>0.67388888888888876</v>
      </c>
      <c r="F40" s="41">
        <f>dw_mls!F7</f>
        <v>1</v>
      </c>
      <c r="G40" s="26" t="str">
        <f>dw_mls!G7</f>
        <v>Lara Wandt
Carolin Blum</v>
      </c>
      <c r="H40" s="26" t="str">
        <f>dw_mls!H7</f>
        <v>Schloßgymnasium Gützkow</v>
      </c>
      <c r="I40" s="44" t="s">
        <v>50</v>
      </c>
    </row>
    <row r="41" spans="1:9" ht="25.5">
      <c r="A41" s="31">
        <v>5</v>
      </c>
      <c r="B41" s="40" t="str">
        <f>dw_mls!B8</f>
        <v>Skipper</v>
      </c>
      <c r="C41" s="60">
        <f>dw_mls!C8</f>
        <v>9.1999999999999993</v>
      </c>
      <c r="D41" s="47">
        <f>dw_mls!D8</f>
        <v>3.5619999999999998</v>
      </c>
      <c r="E41" s="48">
        <f>dw_mls!E8</f>
        <v>0.38717391304347826</v>
      </c>
      <c r="F41" s="41">
        <f>dw_mls!F8</f>
        <v>350</v>
      </c>
      <c r="G41" s="26" t="str">
        <f>dw_mls!G8</f>
        <v>Nike</v>
      </c>
      <c r="H41" s="26" t="str">
        <f>dw_mls!H8</f>
        <v>Jungmannschule Eckernförde</v>
      </c>
      <c r="I41" s="44" t="s">
        <v>50</v>
      </c>
    </row>
    <row r="42" spans="1:9" ht="15.75">
      <c r="A42" s="31">
        <v>6</v>
      </c>
      <c r="B42" s="40" t="str">
        <f>dw_mls!B9</f>
        <v>sensor 2013</v>
      </c>
      <c r="C42" s="60">
        <f>dw_mls!C9</f>
        <v>10.1</v>
      </c>
      <c r="D42" s="47">
        <f>dw_mls!D9</f>
        <v>3.8</v>
      </c>
      <c r="E42" s="48">
        <f>dw_mls!E9</f>
        <v>0.37623762376237624</v>
      </c>
      <c r="F42" s="41">
        <f>dw_mls!F9</f>
        <v>1</v>
      </c>
      <c r="G42" s="26" t="str">
        <f>dw_mls!G9</f>
        <v>Jordan Junior</v>
      </c>
      <c r="H42" s="26">
        <f>dw_mls!H9</f>
        <v>0</v>
      </c>
      <c r="I42" s="44" t="s">
        <v>50</v>
      </c>
    </row>
    <row r="59" spans="1:9">
      <c r="E59" s="119"/>
      <c r="F59" s="119"/>
    </row>
    <row r="60" spans="1:9" s="70" customFormat="1" ht="23.25">
      <c r="A60" s="115" t="s">
        <v>47</v>
      </c>
      <c r="B60" s="120"/>
      <c r="C60" s="120"/>
      <c r="D60" s="120"/>
      <c r="E60" s="120"/>
      <c r="F60" s="120"/>
      <c r="G60" s="120"/>
      <c r="H60" s="120"/>
      <c r="I60" s="120"/>
    </row>
    <row r="61" spans="1:9" s="23" customFormat="1" ht="18">
      <c r="A61" s="37"/>
      <c r="B61" s="27"/>
      <c r="C61" s="27"/>
      <c r="D61" s="27"/>
      <c r="E61" s="121"/>
      <c r="F61" s="121"/>
      <c r="G61" s="27"/>
      <c r="H61" s="27"/>
      <c r="I61" s="27"/>
    </row>
    <row r="62" spans="1:9" s="23" customFormat="1" ht="18">
      <c r="A62" s="24" t="s">
        <v>36</v>
      </c>
      <c r="B62" s="24" t="s">
        <v>38</v>
      </c>
      <c r="C62" s="45" t="s">
        <v>40</v>
      </c>
      <c r="D62" s="24" t="s">
        <v>7</v>
      </c>
      <c r="E62" s="117" t="s">
        <v>43</v>
      </c>
      <c r="F62" s="118"/>
      <c r="G62" s="24" t="s">
        <v>19</v>
      </c>
      <c r="H62" s="24" t="s">
        <v>20</v>
      </c>
      <c r="I62" s="24" t="s">
        <v>41</v>
      </c>
    </row>
    <row r="63" spans="1:9" ht="32.25" customHeight="1">
      <c r="A63" s="31">
        <v>1</v>
      </c>
      <c r="B63" s="40" t="str">
        <f>prognose!B3</f>
        <v>Mumie</v>
      </c>
      <c r="C63" s="60">
        <f>prognose!D3</f>
        <v>3.669</v>
      </c>
      <c r="D63" s="47">
        <f>prognose!F3</f>
        <v>1</v>
      </c>
      <c r="E63" s="122">
        <f>prognose!L3</f>
        <v>72.744617061869718</v>
      </c>
      <c r="F63" s="118"/>
      <c r="G63" s="26" t="str">
        <f>prognose!M3</f>
        <v>Til Salewski
Vincent Niemann</v>
      </c>
      <c r="H63" s="26" t="str">
        <f>prognose!N3</f>
        <v>Schloßgymnasium Gützkow</v>
      </c>
      <c r="I63" s="44" t="str">
        <f>100-E63&amp;" Euro"</f>
        <v>27,2553829381303 Euro</v>
      </c>
    </row>
    <row r="64" spans="1:9" ht="15.75">
      <c r="A64" s="31">
        <v>2</v>
      </c>
      <c r="B64" s="40" t="str">
        <f>prognose!B4</f>
        <v>sensor 2013</v>
      </c>
      <c r="C64" s="60">
        <f>prognose!D4</f>
        <v>3.8</v>
      </c>
      <c r="D64" s="47">
        <f>prognose!F4</f>
        <v>1</v>
      </c>
      <c r="E64" s="122">
        <f>prognose!L4</f>
        <v>73.684210526315795</v>
      </c>
      <c r="F64" s="118"/>
      <c r="G64" s="26" t="str">
        <f>prognose!M4</f>
        <v>Jordan Junior</v>
      </c>
      <c r="H64" s="26">
        <f>prognose!N4</f>
        <v>0</v>
      </c>
      <c r="I64" s="44" t="s">
        <v>50</v>
      </c>
    </row>
    <row r="65" spans="1:9" ht="25.5">
      <c r="A65" s="31">
        <v>3</v>
      </c>
      <c r="B65" s="40" t="str">
        <f>prognose!B5</f>
        <v>Under Water</v>
      </c>
      <c r="C65" s="60">
        <f>prognose!D5</f>
        <v>7.2779999999999996</v>
      </c>
      <c r="D65" s="47">
        <f>prognose!F5</f>
        <v>1</v>
      </c>
      <c r="E65" s="122">
        <f>prognose!L5</f>
        <v>86.259961527892273</v>
      </c>
      <c r="F65" s="118"/>
      <c r="G65" s="26" t="str">
        <f>prognose!M5</f>
        <v>Lara Wandt
Carolin Blum</v>
      </c>
      <c r="H65" s="26" t="str">
        <f>prognose!N5</f>
        <v>Schloßgymnasium Gützkow</v>
      </c>
      <c r="I65" s="44" t="s">
        <v>50</v>
      </c>
    </row>
    <row r="66" spans="1:9" ht="25.5">
      <c r="A66" s="31">
        <v>4</v>
      </c>
      <c r="B66" s="40" t="str">
        <f>prognose!B6</f>
        <v>Little Nemo</v>
      </c>
      <c r="C66" s="60">
        <f>prognose!D6</f>
        <v>9.26</v>
      </c>
      <c r="D66" s="47">
        <f>prognose!F6</f>
        <v>1</v>
      </c>
      <c r="E66" s="122">
        <f>prognose!L6</f>
        <v>89.200863930885532</v>
      </c>
      <c r="F66" s="118"/>
      <c r="G66" s="26" t="str">
        <f>prognose!M6</f>
        <v>Jenny Mandler</v>
      </c>
      <c r="H66" s="26" t="str">
        <f>prognose!N6</f>
        <v>Ernst-Abbe-Gymnasium</v>
      </c>
      <c r="I66" s="44" t="s">
        <v>50</v>
      </c>
    </row>
    <row r="67" spans="1:9" ht="15.75">
      <c r="A67" s="31">
        <v>5</v>
      </c>
      <c r="B67" s="40" t="str">
        <f>prognose!B7</f>
        <v>Hong Nga 1</v>
      </c>
      <c r="C67" s="60">
        <f>prognose!D7</f>
        <v>6.165</v>
      </c>
      <c r="D67" s="47">
        <f>prognose!F7</f>
        <v>200</v>
      </c>
      <c r="E67" s="122">
        <f>prognose!L7</f>
        <v>3144.1200324412002</v>
      </c>
      <c r="F67" s="118"/>
      <c r="G67" s="26" t="str">
        <f>prognose!M7</f>
        <v>Hong Nga Ly</v>
      </c>
      <c r="H67" s="26" t="str">
        <f>prognose!N7</f>
        <v>Athenaueum Stade</v>
      </c>
      <c r="I67" s="44" t="s">
        <v>50</v>
      </c>
    </row>
    <row r="68" spans="1:9" ht="38.25">
      <c r="A68" s="31">
        <v>6</v>
      </c>
      <c r="B68" s="40" t="str">
        <f>prognose!B8</f>
        <v>Titanic II</v>
      </c>
      <c r="C68" s="60">
        <f>prognose!D8</f>
        <v>9.9179999999999993</v>
      </c>
      <c r="D68" s="47">
        <f>prognose!F8</f>
        <v>500</v>
      </c>
      <c r="E68" s="122">
        <f>prognose!L8</f>
        <v>4941.3389796329902</v>
      </c>
      <c r="F68" s="118"/>
      <c r="G68" s="26" t="str">
        <f>prognose!M8</f>
        <v>Felix Grabe
Marcel Bodin
Cora-Katja-Herkommer</v>
      </c>
      <c r="H68" s="26" t="str">
        <f>prognose!N8</f>
        <v>Bertha von Suttner Schule</v>
      </c>
      <c r="I68" s="44" t="s">
        <v>50</v>
      </c>
    </row>
  </sheetData>
  <customSheetViews>
    <customSheetView guid="{78B3A349-4A6A-4124-974B-C4B81C7019CD}" scale="75" showRuler="0" topLeftCell="A47">
      <selection activeCell="G23" sqref="G23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orientation="landscape" horizontalDpi="4294967293" r:id="rId1"/>
      <headerFooter alignWithMargins="0">
        <oddHeader>&amp;C&amp;"Arial,Fett"&amp;12Auswertung Papierschiffwettbewerb 2004&amp;"Arial,Standard"&amp;10
Universität Rostock Fakultät
Maschinenbau/Schiffstechnik
Institut für Maritime Systeme und Strömungstechnik</oddHeader>
        <oddFooter>&amp;C&amp;D  &amp;T  &amp;P/&amp;N</oddFooter>
      </headerFooter>
    </customSheetView>
    <customSheetView guid="{F48999E8-45B5-4A7E-B3AF-FA7A59AA8144}" scale="75" showRuler="0" topLeftCell="A47">
      <selection activeCell="G23" sqref="G23"/>
      <pageMargins left="0.78740157480314965" right="0.78740157480314965" top="0.98425196850393704" bottom="0.98425196850393704" header="0.51181102362204722" footer="0.51181102362204722"/>
      <printOptions horizontalCentered="1" verticalCentered="1"/>
      <pageSetup paperSize="9" orientation="landscape" horizontalDpi="4294967293" r:id="rId2"/>
      <headerFooter alignWithMargins="0">
        <oddHeader>&amp;C&amp;"Arial,Fett"&amp;12Auswertung Papierschiffwettbewerb 2004&amp;"Arial,Standard"&amp;10
Universität Rostock Fakultät
Maschinenbau/Schiffstechnik
Institut für Maritime Systeme und Strömungstechnik</oddHeader>
        <oddFooter>&amp;C&amp;D  &amp;T  &amp;P/&amp;N</oddFooter>
      </headerFooter>
    </customSheetView>
  </customSheetViews>
  <mergeCells count="12">
    <mergeCell ref="E67:F67"/>
    <mergeCell ref="E68:F68"/>
    <mergeCell ref="E63:F63"/>
    <mergeCell ref="E64:F64"/>
    <mergeCell ref="E65:F65"/>
    <mergeCell ref="E66:F66"/>
    <mergeCell ref="A4:I4"/>
    <mergeCell ref="E62:F62"/>
    <mergeCell ref="E59:F59"/>
    <mergeCell ref="A60:I60"/>
    <mergeCell ref="A33:I33"/>
    <mergeCell ref="E61:F61"/>
  </mergeCells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horizontalDpi="4294967293" r:id="rId3"/>
  <headerFooter alignWithMargins="0">
    <oddHeader>&amp;C&amp;"Arial,Fett"&amp;12Auswertung Papierschiffwettbewerb 2007&amp;"Arial,Standard"&amp;10
Universität Rostock
 Lehrstuhl Schiffbau</oddHeader>
    <oddFooter>&amp;C&amp;D  &amp;T  &amp;P/&amp;N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 enableFormatConditionsCalculation="0">
    <tabColor indexed="44"/>
  </sheetPr>
  <dimension ref="A1:H53"/>
  <sheetViews>
    <sheetView zoomScale="50" workbookViewId="0">
      <selection activeCell="O35" sqref="O35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10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Ausw_Tragf!B4</f>
        <v>Titanic II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Ausw_Tragf!D4&amp;" Gramm"</f>
        <v>9,918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Ausw_Tragf!G4</f>
        <v>Felix Grabe
Marcel Bodin
Cora-Katja-Herkommer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A28" sqref="A28:H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H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0" enableFormatConditionsCalculation="0">
    <tabColor indexed="44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11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Ausw_Tragf!B5</f>
        <v>Little Nemo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Ausw_Tragf!D5&amp;" Gramm"</f>
        <v>9,26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Ausw_Tragf!G5</f>
        <v>Jenny Mandler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 enableFormatConditionsCalculation="0">
    <tabColor indexed="44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12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Ausw_Tragf!B6</f>
        <v>Hong Nga 1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Ausw_Tragf!D6&amp;" Gramm"</f>
        <v>6,165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Ausw_Tragf!G6</f>
        <v>Hong Nga Ly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 enableFormatConditionsCalculation="0">
    <tabColor indexed="44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13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Ausw_Tragf!B7</f>
        <v>Skipper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Ausw_Tragf!D7&amp;" Gramm"</f>
        <v>3,562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Ausw_Tragf!G7</f>
        <v>Nike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 enableFormatConditionsCalculation="0">
    <tabColor indexed="44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14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Ausw_Tragf!B8</f>
        <v>Solida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Ausw_Tragf!D8&amp;" Gramm"</f>
        <v>0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Ausw_Tragf!G8</f>
        <v>Ingrid Bierkamp-Nienkarken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4" enableFormatConditionsCalculation="0">
    <tabColor indexed="44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15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Ausw_Tragf!B9</f>
        <v>Moritz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70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 t="str">
        <f>Ausw_Tragf!D9&amp;" Gramm"</f>
        <v>0 Gramm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Ausw_Tragf!G9</f>
        <v>Marlene Lüdtke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10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dw_mls!B4</f>
        <v>Titanic II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dw_mls!E4</f>
        <v>1.4373913043478259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dw_mls!G4</f>
        <v>Felix Grabe
Marcel Bodin
Cora-Katja-Herkommer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6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11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dw_mls!B5</f>
        <v>Little Nemo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dw_mls!E5</f>
        <v>0.95463917525773201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dw_mls!G5</f>
        <v>Jenny Mandler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7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12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dw_mls!B6</f>
        <v>Hong Nga 1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dw_mls!E6</f>
        <v>0.88071428571428567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dw_mls!G6</f>
        <v>Hong Nga Ly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8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13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dw_mls!B7</f>
        <v>Under Water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dw_mls!E7</f>
        <v>0.67388888888888876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dw_mls!G7</f>
        <v>Lara Wandt
Carolin Blum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9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14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dw_mls!B8</f>
        <v>Skipper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dw_mls!E8</f>
        <v>0.38717391304347826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dw_mls!G8</f>
        <v>Nike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0" enableFormatConditionsCalculation="0">
    <tabColor indexed="51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15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57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dw_mls!B9</f>
        <v>sensor 2013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37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36">
        <f>dw_mls!E9</f>
        <v>0.37623762376237624</v>
      </c>
      <c r="B28" s="136"/>
      <c r="C28" s="136"/>
      <c r="D28" s="136"/>
      <c r="E28" s="136"/>
      <c r="F28" s="136"/>
      <c r="G28" s="136"/>
      <c r="H28" s="136"/>
    </row>
    <row r="29" spans="1:8" ht="12.75" customHeight="1">
      <c r="A29" s="136"/>
      <c r="B29" s="136"/>
      <c r="C29" s="136"/>
      <c r="D29" s="136"/>
      <c r="E29" s="136"/>
      <c r="F29" s="136"/>
      <c r="G29" s="136"/>
      <c r="H29" s="136"/>
    </row>
    <row r="30" spans="1:8" ht="12.75" customHeight="1">
      <c r="A30" s="136"/>
      <c r="B30" s="136"/>
      <c r="C30" s="136"/>
      <c r="D30" s="136"/>
      <c r="E30" s="136"/>
      <c r="F30" s="136"/>
      <c r="G30" s="136"/>
      <c r="H30" s="136"/>
    </row>
    <row r="31" spans="1:8" ht="12.75" customHeight="1">
      <c r="A31" s="136"/>
      <c r="B31" s="136"/>
      <c r="C31" s="136"/>
      <c r="D31" s="136"/>
      <c r="E31" s="136"/>
      <c r="F31" s="136"/>
      <c r="G31" s="136"/>
      <c r="H31" s="136"/>
    </row>
    <row r="32" spans="1:8" ht="17.25" customHeight="1">
      <c r="A32" s="136"/>
      <c r="B32" s="136"/>
      <c r="C32" s="136"/>
      <c r="D32" s="136"/>
      <c r="E32" s="136"/>
      <c r="F32" s="136"/>
      <c r="G32" s="136"/>
      <c r="H32" s="136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dw_mls!G9</f>
        <v>Jordan Junior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K58" sqref="K58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K58" sqref="K58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3">
    <mergeCell ref="A1:H7"/>
    <mergeCell ref="F47:H47"/>
    <mergeCell ref="A12:H19"/>
    <mergeCell ref="A34:H43"/>
    <mergeCell ref="A51:H53"/>
    <mergeCell ref="A49:H50"/>
    <mergeCell ref="A9:H11"/>
    <mergeCell ref="A21:H25"/>
    <mergeCell ref="A27:H27"/>
    <mergeCell ref="A33:H33"/>
    <mergeCell ref="A20:H20"/>
    <mergeCell ref="A28:H32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7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10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prognose!B3</f>
        <v>Mumie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prognose!L3</f>
        <v>72.744617061869718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prognose!M3</f>
        <v>Til Salewski
Vincent Niemann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51:H53"/>
    <mergeCell ref="A49:H50"/>
    <mergeCell ref="A9:H11"/>
    <mergeCell ref="A21:H25"/>
    <mergeCell ref="A27:H27"/>
    <mergeCell ref="A33:H33"/>
    <mergeCell ref="A20:H20"/>
    <mergeCell ref="A47:C47"/>
    <mergeCell ref="A28:D32"/>
    <mergeCell ref="A1:H7"/>
    <mergeCell ref="F47:H47"/>
    <mergeCell ref="A12:H19"/>
    <mergeCell ref="A34:H43"/>
    <mergeCell ref="E28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11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prognose!B4</f>
        <v>sensor 2013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prognose!L4</f>
        <v>73.684210526315795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prognose!M4</f>
        <v>Jordan Junior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1:H7"/>
    <mergeCell ref="F47:H47"/>
    <mergeCell ref="A12:H19"/>
    <mergeCell ref="A34:H43"/>
    <mergeCell ref="A28:D32"/>
    <mergeCell ref="E28:H32"/>
    <mergeCell ref="A51:H53"/>
    <mergeCell ref="A49:H50"/>
    <mergeCell ref="A9:H11"/>
    <mergeCell ref="A21:H25"/>
    <mergeCell ref="A27:H27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5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12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prognose!B5</f>
        <v>Under Water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prognose!L5</f>
        <v>86.259961527892273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prognose!M5</f>
        <v>Lara Wandt
Carolin Blum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51:H53"/>
    <mergeCell ref="A49:H50"/>
    <mergeCell ref="A9:H11"/>
    <mergeCell ref="A21:H25"/>
    <mergeCell ref="A27:H27"/>
    <mergeCell ref="A33:H33"/>
    <mergeCell ref="A20:H20"/>
    <mergeCell ref="A47:C47"/>
    <mergeCell ref="A28:D32"/>
    <mergeCell ref="A1:H7"/>
    <mergeCell ref="F47:H47"/>
    <mergeCell ref="A12:H19"/>
    <mergeCell ref="A34:H43"/>
    <mergeCell ref="E28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4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13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prognose!B6</f>
        <v>Little Nemo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prognose!L6</f>
        <v>89.200863930885532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prognose!M6</f>
        <v>Jenny Mandler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O53" sqref="O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O53" sqref="O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1:H7"/>
    <mergeCell ref="F47:H47"/>
    <mergeCell ref="A12:H19"/>
    <mergeCell ref="A34:H43"/>
    <mergeCell ref="A28:D32"/>
    <mergeCell ref="E28:H32"/>
    <mergeCell ref="A51:H53"/>
    <mergeCell ref="A49:H50"/>
    <mergeCell ref="A9:H11"/>
    <mergeCell ref="A21:H25"/>
    <mergeCell ref="A27:H27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3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14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prognose!B7</f>
        <v>Hong Nga 1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prognose!L7</f>
        <v>3144.1200324412002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prognose!M7</f>
        <v>Hong Nga Ly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K57" sqref="K57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K57" sqref="K57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51:H53"/>
    <mergeCell ref="A49:H50"/>
    <mergeCell ref="A9:H11"/>
    <mergeCell ref="A21:H25"/>
    <mergeCell ref="A27:H27"/>
    <mergeCell ref="A33:H33"/>
    <mergeCell ref="A20:H20"/>
    <mergeCell ref="A47:C47"/>
    <mergeCell ref="A28:D32"/>
    <mergeCell ref="A1:H7"/>
    <mergeCell ref="F47:H47"/>
    <mergeCell ref="A12:H19"/>
    <mergeCell ref="A34:H43"/>
    <mergeCell ref="E28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2" enableFormatConditionsCalculation="0">
    <tabColor indexed="13"/>
  </sheetPr>
  <dimension ref="A1:H53"/>
  <sheetViews>
    <sheetView zoomScale="50" workbookViewId="0">
      <selection activeCell="A49" sqref="A49:H50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15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61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tr">
        <f>prognose!B8</f>
        <v>Titanic II</v>
      </c>
      <c r="B21" s="133"/>
      <c r="C21" s="133"/>
      <c r="D21" s="133"/>
      <c r="E21" s="133"/>
      <c r="F21" s="133"/>
      <c r="G21" s="133"/>
      <c r="H21" s="133"/>
    </row>
    <row r="22" spans="1:8">
      <c r="A22" s="133"/>
      <c r="B22" s="133"/>
      <c r="C22" s="133"/>
      <c r="D22" s="133"/>
      <c r="E22" s="133"/>
      <c r="F22" s="133"/>
      <c r="G22" s="133"/>
      <c r="H22" s="133"/>
    </row>
    <row r="23" spans="1:8">
      <c r="A23" s="133"/>
      <c r="B23" s="133"/>
      <c r="C23" s="133"/>
      <c r="D23" s="133"/>
      <c r="E23" s="133"/>
      <c r="F23" s="133"/>
      <c r="G23" s="133"/>
      <c r="H23" s="133"/>
    </row>
    <row r="24" spans="1:8">
      <c r="A24" s="133"/>
      <c r="B24" s="133"/>
      <c r="C24" s="133"/>
      <c r="D24" s="133"/>
      <c r="E24" s="133"/>
      <c r="F24" s="133"/>
      <c r="G24" s="133"/>
      <c r="H24" s="133"/>
    </row>
    <row r="25" spans="1:8">
      <c r="A25" s="133"/>
      <c r="B25" s="133"/>
      <c r="C25" s="133"/>
      <c r="D25" s="133"/>
      <c r="E25" s="133"/>
      <c r="F25" s="133"/>
      <c r="G25" s="133"/>
      <c r="H25" s="133"/>
    </row>
    <row r="26" spans="1:8" ht="15.75" customHeight="1">
      <c r="A26" s="72"/>
      <c r="B26" s="72"/>
      <c r="C26" s="72"/>
      <c r="D26" s="72"/>
      <c r="E26" s="72"/>
      <c r="F26" s="72"/>
      <c r="G26" s="72"/>
      <c r="H26" s="72"/>
    </row>
    <row r="27" spans="1:8" ht="18">
      <c r="A27" s="134" t="s">
        <v>62</v>
      </c>
      <c r="B27" s="135"/>
      <c r="C27" s="135"/>
      <c r="D27" s="135"/>
      <c r="E27" s="135"/>
      <c r="F27" s="135"/>
      <c r="G27" s="135"/>
      <c r="H27" s="135"/>
    </row>
    <row r="28" spans="1:8" ht="12.75" customHeight="1">
      <c r="A28" s="140">
        <f>prognose!L8</f>
        <v>4941.3389796329902</v>
      </c>
      <c r="B28" s="140"/>
      <c r="C28" s="140"/>
      <c r="D28" s="140"/>
      <c r="E28" s="139" t="s">
        <v>63</v>
      </c>
      <c r="F28" s="139"/>
      <c r="G28" s="139"/>
      <c r="H28" s="139"/>
    </row>
    <row r="29" spans="1:8" ht="12.75" customHeight="1">
      <c r="A29" s="140"/>
      <c r="B29" s="140"/>
      <c r="C29" s="140"/>
      <c r="D29" s="140"/>
      <c r="E29" s="139"/>
      <c r="F29" s="139"/>
      <c r="G29" s="139"/>
      <c r="H29" s="139"/>
    </row>
    <row r="30" spans="1:8" ht="12.75" customHeight="1">
      <c r="A30" s="140"/>
      <c r="B30" s="140"/>
      <c r="C30" s="140"/>
      <c r="D30" s="140"/>
      <c r="E30" s="139"/>
      <c r="F30" s="139"/>
      <c r="G30" s="139"/>
      <c r="H30" s="139"/>
    </row>
    <row r="31" spans="1:8" ht="12.75" customHeight="1">
      <c r="A31" s="140"/>
      <c r="B31" s="140"/>
      <c r="C31" s="140"/>
      <c r="D31" s="140"/>
      <c r="E31" s="139"/>
      <c r="F31" s="139"/>
      <c r="G31" s="139"/>
      <c r="H31" s="139"/>
    </row>
    <row r="32" spans="1:8" ht="17.25" customHeight="1">
      <c r="A32" s="140"/>
      <c r="B32" s="140"/>
      <c r="C32" s="140"/>
      <c r="D32" s="140"/>
      <c r="E32" s="139"/>
      <c r="F32" s="139"/>
      <c r="G32" s="139"/>
      <c r="H32" s="139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tr">
        <f>prognose!M8</f>
        <v>Felix Grabe
Marcel Bodin
Cora-Katja-Herkommer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A28" sqref="A28:D3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4294967293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4">
    <mergeCell ref="A1:H7"/>
    <mergeCell ref="F47:H47"/>
    <mergeCell ref="A12:H19"/>
    <mergeCell ref="A34:H43"/>
    <mergeCell ref="A28:D32"/>
    <mergeCell ref="E28:H32"/>
    <mergeCell ref="A51:H53"/>
    <mergeCell ref="A49:H50"/>
    <mergeCell ref="A9:H11"/>
    <mergeCell ref="A21:H25"/>
    <mergeCell ref="A27:H27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4294967293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8" enableFormatConditionsCalculation="0">
    <tabColor indexed="55"/>
  </sheetPr>
  <dimension ref="A1:H53"/>
  <sheetViews>
    <sheetView zoomScale="50" workbookViewId="0">
      <selection activeCell="K29" sqref="K29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10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41" t="s">
        <v>79</v>
      </c>
      <c r="B21" s="141"/>
      <c r="C21" s="141"/>
      <c r="D21" s="141"/>
      <c r="E21" s="141"/>
      <c r="F21" s="141"/>
      <c r="G21" s="141"/>
      <c r="H21" s="141"/>
    </row>
    <row r="22" spans="1:8">
      <c r="A22" s="141"/>
      <c r="B22" s="141"/>
      <c r="C22" s="141"/>
      <c r="D22" s="141"/>
      <c r="E22" s="141"/>
      <c r="F22" s="141"/>
      <c r="G22" s="141"/>
      <c r="H22" s="141"/>
    </row>
    <row r="23" spans="1:8">
      <c r="A23" s="141"/>
      <c r="B23" s="141"/>
      <c r="C23" s="141"/>
      <c r="D23" s="141"/>
      <c r="E23" s="141"/>
      <c r="F23" s="141"/>
      <c r="G23" s="141"/>
      <c r="H23" s="141"/>
    </row>
    <row r="24" spans="1:8">
      <c r="A24" s="141"/>
      <c r="B24" s="141"/>
      <c r="C24" s="141"/>
      <c r="D24" s="141"/>
      <c r="E24" s="141"/>
      <c r="F24" s="141"/>
      <c r="G24" s="141"/>
      <c r="H24" s="141"/>
    </row>
    <row r="25" spans="1:8">
      <c r="A25" s="141"/>
      <c r="B25" s="141"/>
      <c r="C25" s="141"/>
      <c r="D25" s="141"/>
      <c r="E25" s="141"/>
      <c r="F25" s="141"/>
      <c r="G25" s="141"/>
      <c r="H25" s="141"/>
    </row>
    <row r="26" spans="1:8" ht="15.75" customHeight="1">
      <c r="A26" s="142"/>
      <c r="B26" s="142"/>
      <c r="C26" s="142"/>
      <c r="D26" s="142"/>
      <c r="E26" s="142"/>
      <c r="F26" s="142"/>
      <c r="G26" s="142"/>
      <c r="H26" s="142"/>
    </row>
    <row r="27" spans="1:8">
      <c r="A27" s="142"/>
      <c r="B27" s="142"/>
      <c r="C27" s="142"/>
      <c r="D27" s="142"/>
      <c r="E27" s="142"/>
      <c r="F27" s="142"/>
      <c r="G27" s="142"/>
      <c r="H27" s="142"/>
    </row>
    <row r="28" spans="1:8" ht="12.75" customHeight="1">
      <c r="A28" s="142"/>
      <c r="B28" s="142"/>
      <c r="C28" s="142"/>
      <c r="D28" s="142"/>
      <c r="E28" s="142"/>
      <c r="F28" s="142"/>
      <c r="G28" s="142"/>
      <c r="H28" s="142"/>
    </row>
    <row r="29" spans="1:8" ht="12.75" customHeight="1">
      <c r="A29" s="142"/>
      <c r="B29" s="142"/>
      <c r="C29" s="142"/>
      <c r="D29" s="142"/>
      <c r="E29" s="142"/>
      <c r="F29" s="142"/>
      <c r="G29" s="142"/>
      <c r="H29" s="142"/>
    </row>
    <row r="30" spans="1:8" ht="12.75" customHeight="1">
      <c r="A30" s="142"/>
      <c r="B30" s="142"/>
      <c r="C30" s="142"/>
      <c r="D30" s="142"/>
      <c r="E30" s="142"/>
      <c r="F30" s="142"/>
      <c r="G30" s="142"/>
      <c r="H30" s="142"/>
    </row>
    <row r="31" spans="1:8" ht="12.75" customHeight="1">
      <c r="A31" s="142"/>
      <c r="B31" s="142"/>
      <c r="C31" s="142"/>
      <c r="D31" s="142"/>
      <c r="E31" s="142"/>
      <c r="F31" s="142"/>
      <c r="G31" s="142"/>
      <c r="H31" s="142"/>
    </row>
    <row r="32" spans="1:8" ht="17.25" customHeight="1">
      <c r="A32" s="142"/>
      <c r="B32" s="142"/>
      <c r="C32" s="142"/>
      <c r="D32" s="142"/>
      <c r="E32" s="142"/>
      <c r="F32" s="142"/>
      <c r="G32" s="142"/>
      <c r="H32" s="142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78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 topLeftCell="A2">
      <selection activeCell="F60" sqref="F60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 topLeftCell="A2">
      <selection activeCell="F60" sqref="F60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1:H7"/>
    <mergeCell ref="F47:H47"/>
    <mergeCell ref="A12:H19"/>
    <mergeCell ref="A34:H43"/>
    <mergeCell ref="A21:H32"/>
    <mergeCell ref="A51:H53"/>
    <mergeCell ref="A49:H50"/>
    <mergeCell ref="A9:H11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9" enableFormatConditionsCalculation="0">
    <tabColor indexed="55"/>
  </sheetPr>
  <dimension ref="A1:H53"/>
  <sheetViews>
    <sheetView zoomScale="50" workbookViewId="0">
      <selection activeCell="I15" sqref="I15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11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">
        <v>71</v>
      </c>
      <c r="B21" s="132"/>
      <c r="C21" s="132"/>
      <c r="D21" s="132"/>
      <c r="E21" s="132"/>
      <c r="F21" s="132"/>
      <c r="G21" s="132"/>
      <c r="H21" s="132"/>
    </row>
    <row r="22" spans="1:8">
      <c r="A22" s="132"/>
      <c r="B22" s="132"/>
      <c r="C22" s="132"/>
      <c r="D22" s="132"/>
      <c r="E22" s="132"/>
      <c r="F22" s="132"/>
      <c r="G22" s="132"/>
      <c r="H22" s="132"/>
    </row>
    <row r="23" spans="1:8">
      <c r="A23" s="132"/>
      <c r="B23" s="132"/>
      <c r="C23" s="132"/>
      <c r="D23" s="132"/>
      <c r="E23" s="132"/>
      <c r="F23" s="132"/>
      <c r="G23" s="132"/>
      <c r="H23" s="132"/>
    </row>
    <row r="24" spans="1:8">
      <c r="A24" s="132"/>
      <c r="B24" s="132"/>
      <c r="C24" s="132"/>
      <c r="D24" s="132"/>
      <c r="E24" s="132"/>
      <c r="F24" s="132"/>
      <c r="G24" s="132"/>
      <c r="H24" s="132"/>
    </row>
    <row r="25" spans="1:8">
      <c r="A25" s="132"/>
      <c r="B25" s="132"/>
      <c r="C25" s="132"/>
      <c r="D25" s="132"/>
      <c r="E25" s="132"/>
      <c r="F25" s="132"/>
      <c r="G25" s="132"/>
      <c r="H25" s="132"/>
    </row>
    <row r="26" spans="1:8" ht="15.75" customHeight="1">
      <c r="A26" s="143"/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 ht="12.75" customHeight="1">
      <c r="A28" s="143"/>
      <c r="B28" s="143"/>
      <c r="C28" s="143"/>
      <c r="D28" s="143"/>
      <c r="E28" s="143"/>
      <c r="F28" s="143"/>
      <c r="G28" s="143"/>
      <c r="H28" s="143"/>
    </row>
    <row r="29" spans="1:8" ht="12.75" customHeight="1">
      <c r="A29" s="143"/>
      <c r="B29" s="143"/>
      <c r="C29" s="143"/>
      <c r="D29" s="143"/>
      <c r="E29" s="143"/>
      <c r="F29" s="143"/>
      <c r="G29" s="143"/>
      <c r="H29" s="143"/>
    </row>
    <row r="30" spans="1:8" ht="12.75" customHeight="1">
      <c r="A30" s="143"/>
      <c r="B30" s="143"/>
      <c r="C30" s="143"/>
      <c r="D30" s="143"/>
      <c r="E30" s="143"/>
      <c r="F30" s="143"/>
      <c r="G30" s="143"/>
      <c r="H30" s="143"/>
    </row>
    <row r="31" spans="1:8" ht="12.75" customHeight="1">
      <c r="A31" s="143"/>
      <c r="B31" s="143"/>
      <c r="C31" s="143"/>
      <c r="D31" s="143"/>
      <c r="E31" s="143"/>
      <c r="F31" s="143"/>
      <c r="G31" s="143"/>
      <c r="H31" s="143"/>
    </row>
    <row r="32" spans="1:8" ht="17.25" customHeight="1">
      <c r="A32" s="143"/>
      <c r="B32" s="143"/>
      <c r="C32" s="143"/>
      <c r="D32" s="143"/>
      <c r="E32" s="143"/>
      <c r="F32" s="143"/>
      <c r="G32" s="143"/>
      <c r="H32" s="143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72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sqref="A1:H53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51:H53"/>
    <mergeCell ref="A49:H50"/>
    <mergeCell ref="A9:H11"/>
    <mergeCell ref="A33:H33"/>
    <mergeCell ref="A20:H20"/>
    <mergeCell ref="A47:C47"/>
    <mergeCell ref="A1:H7"/>
    <mergeCell ref="F47:H47"/>
    <mergeCell ref="A12:H19"/>
    <mergeCell ref="A34:H43"/>
    <mergeCell ref="A21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 enableFormatConditionsCalculation="0">
    <tabColor indexed="55"/>
  </sheetPr>
  <dimension ref="A1:H53"/>
  <sheetViews>
    <sheetView zoomScale="50" workbookViewId="0">
      <selection activeCell="E55" sqref="E55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12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64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">
        <v>65</v>
      </c>
      <c r="B21" s="132"/>
      <c r="C21" s="132"/>
      <c r="D21" s="132"/>
      <c r="E21" s="132"/>
      <c r="F21" s="132"/>
      <c r="G21" s="132"/>
      <c r="H21" s="132"/>
    </row>
    <row r="22" spans="1:8">
      <c r="A22" s="132"/>
      <c r="B22" s="132"/>
      <c r="C22" s="132"/>
      <c r="D22" s="132"/>
      <c r="E22" s="132"/>
      <c r="F22" s="132"/>
      <c r="G22" s="132"/>
      <c r="H22" s="132"/>
    </row>
    <row r="23" spans="1:8">
      <c r="A23" s="132"/>
      <c r="B23" s="132"/>
      <c r="C23" s="132"/>
      <c r="D23" s="132"/>
      <c r="E23" s="132"/>
      <c r="F23" s="132"/>
      <c r="G23" s="132"/>
      <c r="H23" s="132"/>
    </row>
    <row r="24" spans="1:8">
      <c r="A24" s="132"/>
      <c r="B24" s="132"/>
      <c r="C24" s="132"/>
      <c r="D24" s="132"/>
      <c r="E24" s="132"/>
      <c r="F24" s="132"/>
      <c r="G24" s="132"/>
      <c r="H24" s="132"/>
    </row>
    <row r="25" spans="1:8">
      <c r="A25" s="132"/>
      <c r="B25" s="132"/>
      <c r="C25" s="132"/>
      <c r="D25" s="132"/>
      <c r="E25" s="132"/>
      <c r="F25" s="132"/>
      <c r="G25" s="132"/>
      <c r="H25" s="132"/>
    </row>
    <row r="26" spans="1:8" ht="15.75" customHeight="1">
      <c r="A26" s="143"/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 ht="12.75" customHeight="1">
      <c r="A28" s="143"/>
      <c r="B28" s="143"/>
      <c r="C28" s="143"/>
      <c r="D28" s="143"/>
      <c r="E28" s="143"/>
      <c r="F28" s="143"/>
      <c r="G28" s="143"/>
      <c r="H28" s="143"/>
    </row>
    <row r="29" spans="1:8" ht="12.75" customHeight="1">
      <c r="A29" s="143"/>
      <c r="B29" s="143"/>
      <c r="C29" s="143"/>
      <c r="D29" s="143"/>
      <c r="E29" s="143"/>
      <c r="F29" s="143"/>
      <c r="G29" s="143"/>
      <c r="H29" s="143"/>
    </row>
    <row r="30" spans="1:8" ht="12.75" customHeight="1">
      <c r="A30" s="143"/>
      <c r="B30" s="143"/>
      <c r="C30" s="143"/>
      <c r="D30" s="143"/>
      <c r="E30" s="143"/>
      <c r="F30" s="143"/>
      <c r="G30" s="143"/>
      <c r="H30" s="143"/>
    </row>
    <row r="31" spans="1:8" ht="12.75" customHeight="1">
      <c r="A31" s="143"/>
      <c r="B31" s="143"/>
      <c r="C31" s="143"/>
      <c r="D31" s="143"/>
      <c r="E31" s="143"/>
      <c r="F31" s="143"/>
      <c r="G31" s="143"/>
      <c r="H31" s="143"/>
    </row>
    <row r="32" spans="1:8" ht="17.25" customHeight="1">
      <c r="A32" s="143"/>
      <c r="B32" s="143"/>
      <c r="C32" s="143"/>
      <c r="D32" s="143"/>
      <c r="E32" s="143"/>
      <c r="F32" s="143"/>
      <c r="G32" s="143"/>
      <c r="H32" s="143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66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J56" sqref="J56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J56" sqref="J56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1:H7"/>
    <mergeCell ref="F47:H47"/>
    <mergeCell ref="A12:H19"/>
    <mergeCell ref="A34:H43"/>
    <mergeCell ref="A21:H32"/>
    <mergeCell ref="A51:H53"/>
    <mergeCell ref="A49:H50"/>
    <mergeCell ref="A9:H11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1" enableFormatConditionsCalculation="0">
    <tabColor indexed="29"/>
  </sheetPr>
  <dimension ref="A1:H53"/>
  <sheetViews>
    <sheetView zoomScale="50" workbookViewId="0">
      <selection activeCell="C44" sqref="C44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10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">
        <v>330</v>
      </c>
      <c r="B21" s="132"/>
      <c r="C21" s="132"/>
      <c r="D21" s="132"/>
      <c r="E21" s="132"/>
      <c r="F21" s="132"/>
      <c r="G21" s="132"/>
      <c r="H21" s="132"/>
    </row>
    <row r="22" spans="1:8">
      <c r="A22" s="132"/>
      <c r="B22" s="132"/>
      <c r="C22" s="132"/>
      <c r="D22" s="132"/>
      <c r="E22" s="132"/>
      <c r="F22" s="132"/>
      <c r="G22" s="132"/>
      <c r="H22" s="132"/>
    </row>
    <row r="23" spans="1:8">
      <c r="A23" s="132"/>
      <c r="B23" s="132"/>
      <c r="C23" s="132"/>
      <c r="D23" s="132"/>
      <c r="E23" s="132"/>
      <c r="F23" s="132"/>
      <c r="G23" s="132"/>
      <c r="H23" s="132"/>
    </row>
    <row r="24" spans="1:8">
      <c r="A24" s="132"/>
      <c r="B24" s="132"/>
      <c r="C24" s="132"/>
      <c r="D24" s="132"/>
      <c r="E24" s="132"/>
      <c r="F24" s="132"/>
      <c r="G24" s="132"/>
      <c r="H24" s="132"/>
    </row>
    <row r="25" spans="1:8">
      <c r="A25" s="132"/>
      <c r="B25" s="132"/>
      <c r="C25" s="132"/>
      <c r="D25" s="132"/>
      <c r="E25" s="132"/>
      <c r="F25" s="132"/>
      <c r="G25" s="132"/>
      <c r="H25" s="132"/>
    </row>
    <row r="26" spans="1:8" ht="15.75" customHeight="1">
      <c r="A26" s="143"/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 ht="12.75" customHeight="1">
      <c r="A28" s="143"/>
      <c r="B28" s="143"/>
      <c r="C28" s="143"/>
      <c r="D28" s="143"/>
      <c r="E28" s="143"/>
      <c r="F28" s="143"/>
      <c r="G28" s="143"/>
      <c r="H28" s="143"/>
    </row>
    <row r="29" spans="1:8" ht="12.75" customHeight="1">
      <c r="A29" s="143"/>
      <c r="B29" s="143"/>
      <c r="C29" s="143"/>
      <c r="D29" s="143"/>
      <c r="E29" s="143"/>
      <c r="F29" s="143"/>
      <c r="G29" s="143"/>
      <c r="H29" s="143"/>
    </row>
    <row r="30" spans="1:8" ht="12.75" customHeight="1">
      <c r="A30" s="143"/>
      <c r="B30" s="143"/>
      <c r="C30" s="143"/>
      <c r="D30" s="143"/>
      <c r="E30" s="143"/>
      <c r="F30" s="143"/>
      <c r="G30" s="143"/>
      <c r="H30" s="143"/>
    </row>
    <row r="31" spans="1:8" ht="12.75" customHeight="1">
      <c r="A31" s="143"/>
      <c r="B31" s="143"/>
      <c r="C31" s="143"/>
      <c r="D31" s="143"/>
      <c r="E31" s="143"/>
      <c r="F31" s="143"/>
      <c r="G31" s="143"/>
      <c r="H31" s="143"/>
    </row>
    <row r="32" spans="1:8" ht="17.25" customHeight="1">
      <c r="A32" s="143"/>
      <c r="B32" s="143"/>
      <c r="C32" s="143"/>
      <c r="D32" s="143"/>
      <c r="E32" s="143"/>
      <c r="F32" s="143"/>
      <c r="G32" s="143"/>
      <c r="H32" s="143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331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I52" sqref="I5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I52" sqref="I5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51:H53"/>
    <mergeCell ref="A49:H50"/>
    <mergeCell ref="A9:H11"/>
    <mergeCell ref="A33:H33"/>
    <mergeCell ref="A20:H20"/>
    <mergeCell ref="A47:C47"/>
    <mergeCell ref="A1:H7"/>
    <mergeCell ref="F47:H47"/>
    <mergeCell ref="A12:H19"/>
    <mergeCell ref="A34:H43"/>
    <mergeCell ref="A21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2" enableFormatConditionsCalculation="0">
    <tabColor indexed="29"/>
  </sheetPr>
  <dimension ref="A1:H53"/>
  <sheetViews>
    <sheetView zoomScale="50" workbookViewId="0">
      <selection activeCell="H61" sqref="H61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11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">
        <v>73</v>
      </c>
      <c r="B21" s="132"/>
      <c r="C21" s="132"/>
      <c r="D21" s="132"/>
      <c r="E21" s="132"/>
      <c r="F21" s="132"/>
      <c r="G21" s="132"/>
      <c r="H21" s="132"/>
    </row>
    <row r="22" spans="1:8">
      <c r="A22" s="132"/>
      <c r="B22" s="132"/>
      <c r="C22" s="132"/>
      <c r="D22" s="132"/>
      <c r="E22" s="132"/>
      <c r="F22" s="132"/>
      <c r="G22" s="132"/>
      <c r="H22" s="132"/>
    </row>
    <row r="23" spans="1:8">
      <c r="A23" s="132"/>
      <c r="B23" s="132"/>
      <c r="C23" s="132"/>
      <c r="D23" s="132"/>
      <c r="E23" s="132"/>
      <c r="F23" s="132"/>
      <c r="G23" s="132"/>
      <c r="H23" s="132"/>
    </row>
    <row r="24" spans="1:8">
      <c r="A24" s="132"/>
      <c r="B24" s="132"/>
      <c r="C24" s="132"/>
      <c r="D24" s="132"/>
      <c r="E24" s="132"/>
      <c r="F24" s="132"/>
      <c r="G24" s="132"/>
      <c r="H24" s="132"/>
    </row>
    <row r="25" spans="1:8">
      <c r="A25" s="132"/>
      <c r="B25" s="132"/>
      <c r="C25" s="132"/>
      <c r="D25" s="132"/>
      <c r="E25" s="132"/>
      <c r="F25" s="132"/>
      <c r="G25" s="132"/>
      <c r="H25" s="132"/>
    </row>
    <row r="26" spans="1:8" ht="15.75" customHeight="1">
      <c r="A26" s="143"/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 ht="12.75" customHeight="1">
      <c r="A28" s="143"/>
      <c r="B28" s="143"/>
      <c r="C28" s="143"/>
      <c r="D28" s="143"/>
      <c r="E28" s="143"/>
      <c r="F28" s="143"/>
      <c r="G28" s="143"/>
      <c r="H28" s="143"/>
    </row>
    <row r="29" spans="1:8" ht="12.75" customHeight="1">
      <c r="A29" s="143"/>
      <c r="B29" s="143"/>
      <c r="C29" s="143"/>
      <c r="D29" s="143"/>
      <c r="E29" s="143"/>
      <c r="F29" s="143"/>
      <c r="G29" s="143"/>
      <c r="H29" s="143"/>
    </row>
    <row r="30" spans="1:8" ht="12.75" customHeight="1">
      <c r="A30" s="143"/>
      <c r="B30" s="143"/>
      <c r="C30" s="143"/>
      <c r="D30" s="143"/>
      <c r="E30" s="143"/>
      <c r="F30" s="143"/>
      <c r="G30" s="143"/>
      <c r="H30" s="143"/>
    </row>
    <row r="31" spans="1:8" ht="12.75" customHeight="1">
      <c r="A31" s="143"/>
      <c r="B31" s="143"/>
      <c r="C31" s="143"/>
      <c r="D31" s="143"/>
      <c r="E31" s="143"/>
      <c r="F31" s="143"/>
      <c r="G31" s="143"/>
      <c r="H31" s="143"/>
    </row>
    <row r="32" spans="1:8" ht="17.25" customHeight="1">
      <c r="A32" s="143"/>
      <c r="B32" s="143"/>
      <c r="C32" s="143"/>
      <c r="D32" s="143"/>
      <c r="E32" s="143"/>
      <c r="F32" s="143"/>
      <c r="G32" s="143"/>
      <c r="H32" s="143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74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H62" sqref="H6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H62" sqref="H62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1:H7"/>
    <mergeCell ref="F47:H47"/>
    <mergeCell ref="A12:H19"/>
    <mergeCell ref="A34:H43"/>
    <mergeCell ref="A21:H32"/>
    <mergeCell ref="A51:H53"/>
    <mergeCell ref="A49:H50"/>
    <mergeCell ref="A9:H11"/>
    <mergeCell ref="A33:H33"/>
    <mergeCell ref="A20:H20"/>
    <mergeCell ref="A47:C47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3" enableFormatConditionsCalculation="0">
    <tabColor indexed="29"/>
  </sheetPr>
  <dimension ref="A1:H53"/>
  <sheetViews>
    <sheetView zoomScale="50" workbookViewId="0">
      <selection activeCell="H63" sqref="H63"/>
    </sheetView>
  </sheetViews>
  <sheetFormatPr baseColWidth="10" defaultRowHeight="12.75"/>
  <sheetData>
    <row r="1" spans="1:8" ht="12.75" customHeight="1">
      <c r="A1" s="123" t="s">
        <v>51</v>
      </c>
      <c r="B1" s="123"/>
      <c r="C1" s="123"/>
      <c r="D1" s="123"/>
      <c r="E1" s="123"/>
      <c r="F1" s="123"/>
      <c r="G1" s="123"/>
      <c r="H1" s="123"/>
    </row>
    <row r="2" spans="1:8">
      <c r="A2" s="123"/>
      <c r="B2" s="123"/>
      <c r="C2" s="123"/>
      <c r="D2" s="123"/>
      <c r="E2" s="123"/>
      <c r="F2" s="123"/>
      <c r="G2" s="123"/>
      <c r="H2" s="123"/>
    </row>
    <row r="3" spans="1:8">
      <c r="A3" s="123"/>
      <c r="B3" s="123"/>
      <c r="C3" s="123"/>
      <c r="D3" s="123"/>
      <c r="E3" s="123"/>
      <c r="F3" s="123"/>
      <c r="G3" s="123"/>
      <c r="H3" s="123"/>
    </row>
    <row r="4" spans="1:8">
      <c r="A4" s="123"/>
      <c r="B4" s="123"/>
      <c r="C4" s="123"/>
      <c r="D4" s="123"/>
      <c r="E4" s="123"/>
      <c r="F4" s="123"/>
      <c r="G4" s="123"/>
      <c r="H4" s="123"/>
    </row>
    <row r="5" spans="1:8">
      <c r="A5" s="123"/>
      <c r="B5" s="123"/>
      <c r="C5" s="123"/>
      <c r="D5" s="123"/>
      <c r="E5" s="123"/>
      <c r="F5" s="123"/>
      <c r="G5" s="123"/>
      <c r="H5" s="123"/>
    </row>
    <row r="6" spans="1:8">
      <c r="A6" s="123"/>
      <c r="B6" s="123"/>
      <c r="C6" s="123"/>
      <c r="D6" s="123"/>
      <c r="E6" s="123"/>
      <c r="F6" s="123"/>
      <c r="G6" s="123"/>
      <c r="H6" s="123"/>
    </row>
    <row r="7" spans="1:8">
      <c r="A7" s="123"/>
      <c r="B7" s="123"/>
      <c r="C7" s="123"/>
      <c r="D7" s="123"/>
      <c r="E7" s="123"/>
      <c r="F7" s="123"/>
      <c r="G7" s="123"/>
      <c r="H7" s="123"/>
    </row>
    <row r="8" spans="1:8">
      <c r="A8" s="71"/>
    </row>
    <row r="9" spans="1:8">
      <c r="A9" s="131" t="s">
        <v>12</v>
      </c>
      <c r="B9" s="131"/>
      <c r="C9" s="131"/>
      <c r="D9" s="131"/>
      <c r="E9" s="131"/>
      <c r="F9" s="131"/>
      <c r="G9" s="131"/>
      <c r="H9" s="131"/>
    </row>
    <row r="10" spans="1:8">
      <c r="A10" s="131"/>
      <c r="B10" s="131"/>
      <c r="C10" s="131"/>
      <c r="D10" s="131"/>
      <c r="E10" s="131"/>
      <c r="F10" s="131"/>
      <c r="G10" s="131"/>
      <c r="H10" s="131"/>
    </row>
    <row r="11" spans="1:8">
      <c r="A11" s="131"/>
      <c r="B11" s="131"/>
      <c r="C11" s="131"/>
      <c r="D11" s="131"/>
      <c r="E11" s="131"/>
      <c r="F11" s="131"/>
      <c r="G11" s="131"/>
      <c r="H11" s="131"/>
    </row>
    <row r="12" spans="1:8" ht="12.75" customHeight="1">
      <c r="A12" s="126" t="s">
        <v>67</v>
      </c>
      <c r="B12" s="126"/>
      <c r="C12" s="126"/>
      <c r="D12" s="126"/>
      <c r="E12" s="126"/>
      <c r="F12" s="126"/>
      <c r="G12" s="126"/>
      <c r="H12" s="126"/>
    </row>
    <row r="13" spans="1:8" ht="12.75" customHeight="1">
      <c r="A13" s="126"/>
      <c r="B13" s="126"/>
      <c r="C13" s="126"/>
      <c r="D13" s="126"/>
      <c r="E13" s="126"/>
      <c r="F13" s="126"/>
      <c r="G13" s="126"/>
      <c r="H13" s="126"/>
    </row>
    <row r="14" spans="1:8" ht="12.75" customHeight="1">
      <c r="A14" s="126"/>
      <c r="B14" s="126"/>
      <c r="C14" s="126"/>
      <c r="D14" s="126"/>
      <c r="E14" s="126"/>
      <c r="F14" s="126"/>
      <c r="G14" s="126"/>
      <c r="H14" s="126"/>
    </row>
    <row r="15" spans="1:8" ht="12.75" customHeight="1">
      <c r="A15" s="126"/>
      <c r="B15" s="126"/>
      <c r="C15" s="126"/>
      <c r="D15" s="126"/>
      <c r="E15" s="126"/>
      <c r="F15" s="126"/>
      <c r="G15" s="126"/>
      <c r="H15" s="126"/>
    </row>
    <row r="16" spans="1:8" ht="12.75" customHeight="1">
      <c r="A16" s="126"/>
      <c r="B16" s="126"/>
      <c r="C16" s="126"/>
      <c r="D16" s="126"/>
      <c r="E16" s="126"/>
      <c r="F16" s="126"/>
      <c r="G16" s="126"/>
      <c r="H16" s="126"/>
    </row>
    <row r="17" spans="1:8" ht="12.75" customHeight="1">
      <c r="A17" s="126"/>
      <c r="B17" s="126"/>
      <c r="C17" s="126"/>
      <c r="D17" s="126"/>
      <c r="E17" s="126"/>
      <c r="F17" s="126"/>
      <c r="G17" s="126"/>
      <c r="H17" s="126"/>
    </row>
    <row r="18" spans="1:8">
      <c r="A18" s="126"/>
      <c r="B18" s="126"/>
      <c r="C18" s="126"/>
      <c r="D18" s="126"/>
      <c r="E18" s="126"/>
      <c r="F18" s="126"/>
      <c r="G18" s="126"/>
      <c r="H18" s="126"/>
    </row>
    <row r="19" spans="1:8" ht="25.5" customHeight="1">
      <c r="A19" s="126"/>
      <c r="B19" s="126"/>
      <c r="C19" s="126"/>
      <c r="D19" s="126"/>
      <c r="E19" s="126"/>
      <c r="F19" s="126"/>
      <c r="G19" s="126"/>
      <c r="H19" s="126"/>
    </row>
    <row r="20" spans="1:8" ht="18">
      <c r="A20" s="134" t="s">
        <v>56</v>
      </c>
      <c r="B20" s="135"/>
      <c r="C20" s="135"/>
      <c r="D20" s="135"/>
      <c r="E20" s="135"/>
      <c r="F20" s="135"/>
      <c r="G20" s="135"/>
      <c r="H20" s="135"/>
    </row>
    <row r="21" spans="1:8">
      <c r="A21" s="132" t="s">
        <v>80</v>
      </c>
      <c r="B21" s="132"/>
      <c r="C21" s="132"/>
      <c r="D21" s="132"/>
      <c r="E21" s="132"/>
      <c r="F21" s="132"/>
      <c r="G21" s="132"/>
      <c r="H21" s="132"/>
    </row>
    <row r="22" spans="1:8">
      <c r="A22" s="132"/>
      <c r="B22" s="132"/>
      <c r="C22" s="132"/>
      <c r="D22" s="132"/>
      <c r="E22" s="132"/>
      <c r="F22" s="132"/>
      <c r="G22" s="132"/>
      <c r="H22" s="132"/>
    </row>
    <row r="23" spans="1:8">
      <c r="A23" s="132"/>
      <c r="B23" s="132"/>
      <c r="C23" s="132"/>
      <c r="D23" s="132"/>
      <c r="E23" s="132"/>
      <c r="F23" s="132"/>
      <c r="G23" s="132"/>
      <c r="H23" s="132"/>
    </row>
    <row r="24" spans="1:8">
      <c r="A24" s="132"/>
      <c r="B24" s="132"/>
      <c r="C24" s="132"/>
      <c r="D24" s="132"/>
      <c r="E24" s="132"/>
      <c r="F24" s="132"/>
      <c r="G24" s="132"/>
      <c r="H24" s="132"/>
    </row>
    <row r="25" spans="1:8">
      <c r="A25" s="132"/>
      <c r="B25" s="132"/>
      <c r="C25" s="132"/>
      <c r="D25" s="132"/>
      <c r="E25" s="132"/>
      <c r="F25" s="132"/>
      <c r="G25" s="132"/>
      <c r="H25" s="132"/>
    </row>
    <row r="26" spans="1:8" ht="15.75" customHeight="1">
      <c r="A26" s="143"/>
      <c r="B26" s="143"/>
      <c r="C26" s="143"/>
      <c r="D26" s="143"/>
      <c r="E26" s="143"/>
      <c r="F26" s="143"/>
      <c r="G26" s="143"/>
      <c r="H26" s="143"/>
    </row>
    <row r="27" spans="1:8">
      <c r="A27" s="143"/>
      <c r="B27" s="143"/>
      <c r="C27" s="143"/>
      <c r="D27" s="143"/>
      <c r="E27" s="143"/>
      <c r="F27" s="143"/>
      <c r="G27" s="143"/>
      <c r="H27" s="143"/>
    </row>
    <row r="28" spans="1:8" ht="12.75" customHeight="1">
      <c r="A28" s="143"/>
      <c r="B28" s="143"/>
      <c r="C28" s="143"/>
      <c r="D28" s="143"/>
      <c r="E28" s="143"/>
      <c r="F28" s="143"/>
      <c r="G28" s="143"/>
      <c r="H28" s="143"/>
    </row>
    <row r="29" spans="1:8" ht="12.75" customHeight="1">
      <c r="A29" s="143"/>
      <c r="B29" s="143"/>
      <c r="C29" s="143"/>
      <c r="D29" s="143"/>
      <c r="E29" s="143"/>
      <c r="F29" s="143"/>
      <c r="G29" s="143"/>
      <c r="H29" s="143"/>
    </row>
    <row r="30" spans="1:8" ht="12.75" customHeight="1">
      <c r="A30" s="143"/>
      <c r="B30" s="143"/>
      <c r="C30" s="143"/>
      <c r="D30" s="143"/>
      <c r="E30" s="143"/>
      <c r="F30" s="143"/>
      <c r="G30" s="143"/>
      <c r="H30" s="143"/>
    </row>
    <row r="31" spans="1:8" ht="12.75" customHeight="1">
      <c r="A31" s="143"/>
      <c r="B31" s="143"/>
      <c r="C31" s="143"/>
      <c r="D31" s="143"/>
      <c r="E31" s="143"/>
      <c r="F31" s="143"/>
      <c r="G31" s="143"/>
      <c r="H31" s="143"/>
    </row>
    <row r="32" spans="1:8" ht="17.25" customHeight="1">
      <c r="A32" s="143"/>
      <c r="B32" s="143"/>
      <c r="C32" s="143"/>
      <c r="D32" s="143"/>
      <c r="E32" s="143"/>
      <c r="F32" s="143"/>
      <c r="G32" s="143"/>
      <c r="H32" s="143"/>
    </row>
    <row r="33" spans="1:8" ht="18">
      <c r="A33" s="134" t="s">
        <v>55</v>
      </c>
      <c r="B33" s="135"/>
      <c r="C33" s="135"/>
      <c r="D33" s="135"/>
      <c r="E33" s="135"/>
      <c r="F33" s="135"/>
      <c r="G33" s="135"/>
      <c r="H33" s="135"/>
    </row>
    <row r="34" spans="1:8" ht="12.75" customHeight="1">
      <c r="A34" s="127" t="s">
        <v>75</v>
      </c>
      <c r="B34" s="127"/>
      <c r="C34" s="127"/>
      <c r="D34" s="127"/>
      <c r="E34" s="127"/>
      <c r="F34" s="127"/>
      <c r="G34" s="127"/>
      <c r="H34" s="127"/>
    </row>
    <row r="35" spans="1:8" ht="12.75" customHeight="1">
      <c r="A35" s="127"/>
      <c r="B35" s="127"/>
      <c r="C35" s="127"/>
      <c r="D35" s="127"/>
      <c r="E35" s="127"/>
      <c r="F35" s="127"/>
      <c r="G35" s="127"/>
      <c r="H35" s="127"/>
    </row>
    <row r="36" spans="1:8" ht="12.75" customHeight="1">
      <c r="A36" s="127"/>
      <c r="B36" s="127"/>
      <c r="C36" s="127"/>
      <c r="D36" s="127"/>
      <c r="E36" s="127"/>
      <c r="F36" s="127"/>
      <c r="G36" s="127"/>
      <c r="H36" s="127"/>
    </row>
    <row r="37" spans="1:8" ht="12.75" customHeight="1">
      <c r="A37" s="127"/>
      <c r="B37" s="127"/>
      <c r="C37" s="127"/>
      <c r="D37" s="127"/>
      <c r="E37" s="127"/>
      <c r="F37" s="127"/>
      <c r="G37" s="127"/>
      <c r="H37" s="127"/>
    </row>
    <row r="38" spans="1:8">
      <c r="A38" s="127"/>
      <c r="B38" s="127"/>
      <c r="C38" s="127"/>
      <c r="D38" s="127"/>
      <c r="E38" s="127"/>
      <c r="F38" s="127"/>
      <c r="G38" s="127"/>
      <c r="H38" s="127"/>
    </row>
    <row r="39" spans="1:8">
      <c r="A39" s="127"/>
      <c r="B39" s="127"/>
      <c r="C39" s="127"/>
      <c r="D39" s="127"/>
      <c r="E39" s="127"/>
      <c r="F39" s="127"/>
      <c r="G39" s="127"/>
      <c r="H39" s="127"/>
    </row>
    <row r="40" spans="1:8">
      <c r="A40" s="127"/>
      <c r="B40" s="127"/>
      <c r="C40" s="127"/>
      <c r="D40" s="127"/>
      <c r="E40" s="127"/>
      <c r="F40" s="127"/>
      <c r="G40" s="127"/>
      <c r="H40" s="127"/>
    </row>
    <row r="41" spans="1:8">
      <c r="A41" s="127"/>
      <c r="B41" s="127"/>
      <c r="C41" s="127"/>
      <c r="D41" s="127"/>
      <c r="E41" s="127"/>
      <c r="F41" s="127"/>
      <c r="G41" s="127"/>
      <c r="H41" s="127"/>
    </row>
    <row r="42" spans="1:8">
      <c r="A42" s="127"/>
      <c r="B42" s="127"/>
      <c r="C42" s="127"/>
      <c r="D42" s="127"/>
      <c r="E42" s="127"/>
      <c r="F42" s="127"/>
      <c r="G42" s="127"/>
      <c r="H42" s="127"/>
    </row>
    <row r="43" spans="1:8">
      <c r="A43" s="127"/>
      <c r="B43" s="127"/>
      <c r="C43" s="127"/>
      <c r="D43" s="127"/>
      <c r="E43" s="127"/>
      <c r="F43" s="127"/>
      <c r="G43" s="127"/>
      <c r="H43" s="127"/>
    </row>
    <row r="44" spans="1:8">
      <c r="A44" s="71"/>
    </row>
    <row r="45" spans="1:8">
      <c r="A45" s="71"/>
    </row>
    <row r="46" spans="1:8" ht="15">
      <c r="A46" s="73"/>
      <c r="B46" s="49"/>
      <c r="C46" s="49"/>
    </row>
    <row r="47" spans="1:8" ht="15" customHeight="1">
      <c r="A47" s="137" t="s">
        <v>389</v>
      </c>
      <c r="B47" s="138"/>
      <c r="C47" s="138"/>
      <c r="F47" s="124" t="s">
        <v>52</v>
      </c>
      <c r="G47" s="125"/>
      <c r="H47" s="125"/>
    </row>
    <row r="48" spans="1:8">
      <c r="A48" s="71"/>
    </row>
    <row r="49" spans="1:8">
      <c r="A49" s="130" t="s">
        <v>390</v>
      </c>
      <c r="B49" s="130"/>
      <c r="C49" s="130"/>
      <c r="D49" s="130"/>
      <c r="E49" s="130"/>
      <c r="F49" s="130"/>
      <c r="G49" s="130"/>
      <c r="H49" s="130"/>
    </row>
    <row r="50" spans="1:8">
      <c r="A50" s="130"/>
      <c r="B50" s="130"/>
      <c r="C50" s="130"/>
      <c r="D50" s="130"/>
      <c r="E50" s="130"/>
      <c r="F50" s="130"/>
      <c r="G50" s="130"/>
      <c r="H50" s="130"/>
    </row>
    <row r="51" spans="1:8" ht="12.75" customHeight="1">
      <c r="A51" s="128" t="s">
        <v>53</v>
      </c>
      <c r="B51" s="129"/>
      <c r="C51" s="129"/>
      <c r="D51" s="129"/>
      <c r="E51" s="129"/>
      <c r="F51" s="129"/>
      <c r="G51" s="129"/>
      <c r="H51" s="129"/>
    </row>
    <row r="52" spans="1:8">
      <c r="A52" s="129"/>
      <c r="B52" s="129"/>
      <c r="C52" s="129"/>
      <c r="D52" s="129"/>
      <c r="E52" s="129"/>
      <c r="F52" s="129"/>
      <c r="G52" s="129"/>
      <c r="H52" s="129"/>
    </row>
    <row r="53" spans="1:8">
      <c r="A53" s="129"/>
      <c r="B53" s="129"/>
      <c r="C53" s="129"/>
      <c r="D53" s="129"/>
      <c r="E53" s="129"/>
      <c r="F53" s="129"/>
      <c r="G53" s="129"/>
      <c r="H53" s="129"/>
    </row>
  </sheetData>
  <customSheetViews>
    <customSheetView guid="{78B3A349-4A6A-4124-974B-C4B81C7019CD}" scale="50" showRuler="0">
      <selection activeCell="N57" sqref="N57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1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  <customSheetView guid="{F48999E8-45B5-4A7E-B3AF-FA7A59AA8144}" scale="50" showRuler="0">
      <selection activeCell="N57" sqref="N57"/>
      <pageMargins left="0.55118110236220474" right="0.27559055118110237" top="0.6692913385826772" bottom="1.1811023622047245" header="0.43307086614173229" footer="0.43307086614173229"/>
      <printOptions horizontalCentered="1"/>
      <pageSetup paperSize="9" orientation="portrait" horizontalDpi="300" verticalDpi="300" r:id="rId2"/>
      <headerFooter alignWithMargins="0">
        <oddFooter>&amp;L&amp;G&amp;CUniversität Rostock
Institut für Maritime Systeme und Strömungstechnik
Albert - Einstein - Str. 2  18055 Rostock
www.paperboat.de&amp;R&amp;G</oddFooter>
      </headerFooter>
    </customSheetView>
  </customSheetViews>
  <mergeCells count="11">
    <mergeCell ref="A51:H53"/>
    <mergeCell ref="A49:H50"/>
    <mergeCell ref="A9:H11"/>
    <mergeCell ref="A33:H33"/>
    <mergeCell ref="A20:H20"/>
    <mergeCell ref="A47:C47"/>
    <mergeCell ref="A1:H7"/>
    <mergeCell ref="F47:H47"/>
    <mergeCell ref="A12:H19"/>
    <mergeCell ref="A34:H43"/>
    <mergeCell ref="A21:H32"/>
  </mergeCells>
  <phoneticPr fontId="18" type="noConversion"/>
  <printOptions horizontalCentered="1"/>
  <pageMargins left="0.55118110236220474" right="0.27559055118110237" top="0.6692913385826772" bottom="1.1811023622047245" header="0.43307086614173229" footer="0.43307086614173229"/>
  <pageSetup paperSize="9" orientation="portrait" horizontalDpi="300" verticalDpi="300" r:id="rId3"/>
  <headerFooter alignWithMargins="0">
    <oddFooter>&amp;L&amp;G&amp;CUniversität Rostock
Lehrstuhl für Schiffbau
Albert - Einstein - Str. 2  18055 Rostock
www.paperboat.de&amp;R&amp;G</oddFooter>
  </headerFooter>
  <drawing r:id="rId4"/>
  <legacyDrawingHF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33</vt:i4>
      </vt:variant>
      <vt:variant>
        <vt:lpstr>Diagramme</vt:lpstr>
      </vt:variant>
      <vt:variant>
        <vt:i4>1</vt:i4>
      </vt:variant>
      <vt:variant>
        <vt:lpstr>Benannte Bereiche</vt:lpstr>
      </vt:variant>
      <vt:variant>
        <vt:i4>5</vt:i4>
      </vt:variant>
    </vt:vector>
  </HeadingPairs>
  <TitlesOfParts>
    <vt:vector size="39" baseType="lpstr">
      <vt:lpstr>Start_Daten</vt:lpstr>
      <vt:lpstr>all_data</vt:lpstr>
      <vt:lpstr>d-weight</vt:lpstr>
      <vt:lpstr>verhaeltniss</vt:lpstr>
      <vt:lpstr>prognose</vt:lpstr>
      <vt:lpstr>contest_life</vt:lpstr>
      <vt:lpstr>Ausw_Tragf</vt:lpstr>
      <vt:lpstr>dw_mls</vt:lpstr>
      <vt:lpstr>Druck</vt:lpstr>
      <vt:lpstr>Urk Tragf. Pl1</vt:lpstr>
      <vt:lpstr>Urk Tragf. Pl2</vt:lpstr>
      <vt:lpstr>Urk Tragf. Pl3</vt:lpstr>
      <vt:lpstr>Urk Tragf. Pl4</vt:lpstr>
      <vt:lpstr>Urk Tragf. Pl5</vt:lpstr>
      <vt:lpstr>Urk Tragf. Pl6</vt:lpstr>
      <vt:lpstr>Urk dwmls P1</vt:lpstr>
      <vt:lpstr>Urk dwmls P2</vt:lpstr>
      <vt:lpstr>Urk dwmls P3</vt:lpstr>
      <vt:lpstr>Urk dwmls P4</vt:lpstr>
      <vt:lpstr>Urk dwmls P5</vt:lpstr>
      <vt:lpstr>Urk dwmls P6</vt:lpstr>
      <vt:lpstr>Urk Prog P1</vt:lpstr>
      <vt:lpstr>Urk Prog P2</vt:lpstr>
      <vt:lpstr>Urk Prog P3</vt:lpstr>
      <vt:lpstr>Urk Prog P4</vt:lpstr>
      <vt:lpstr>Urk Prog P5</vt:lpstr>
      <vt:lpstr>Urk Prog P6</vt:lpstr>
      <vt:lpstr>Urk Doku P1</vt:lpstr>
      <vt:lpstr>Urk Doku P2</vt:lpstr>
      <vt:lpstr>Urk Doku P3</vt:lpstr>
      <vt:lpstr>Urk Konstr P1</vt:lpstr>
      <vt:lpstr>Urk Konstr P2</vt:lpstr>
      <vt:lpstr>Urk Konstr P2 (2)</vt:lpstr>
      <vt:lpstr>Diagramm1</vt:lpstr>
      <vt:lpstr>Ausw_Tragf!Druckbereich</vt:lpstr>
      <vt:lpstr>dw_mls!Druckbereich</vt:lpstr>
      <vt:lpstr>'Urk Doku P1'!Druckbereich</vt:lpstr>
      <vt:lpstr>'Urk Doku P2'!Druckbereich</vt:lpstr>
      <vt:lpstr>'Urk Doku P3'!Druckbereich</vt:lpstr>
    </vt:vector>
  </TitlesOfParts>
  <Company>xxx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rg</dc:creator>
  <cp:lastModifiedBy>hannes</cp:lastModifiedBy>
  <cp:lastPrinted>2013-04-25T16:58:35Z</cp:lastPrinted>
  <dcterms:created xsi:type="dcterms:W3CDTF">2001-04-10T11:09:36Z</dcterms:created>
  <dcterms:modified xsi:type="dcterms:W3CDTF">2015-02-06T10:49:07Z</dcterms:modified>
</cp:coreProperties>
</file>
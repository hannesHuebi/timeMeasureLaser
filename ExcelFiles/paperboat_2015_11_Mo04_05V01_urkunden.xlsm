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-15" yWindow="-15" windowWidth="15300" windowHeight="11025" activeTab="5"/>
  </bookViews>
  <sheets>
    <sheet name="Start_Daten" sheetId="28" r:id="rId1"/>
    <sheet name="all_data" sheetId="1" r:id="rId2"/>
    <sheet name="d-weight" sheetId="6" r:id="rId3"/>
    <sheet name="Tabelle1" sheetId="41" r:id="rId4"/>
    <sheet name="verhaeltniss" sheetId="7" r:id="rId5"/>
    <sheet name="contest_life" sheetId="4" r:id="rId6"/>
    <sheet name="Schnellster" sheetId="42" r:id="rId7"/>
    <sheet name="Ausw_Web" sheetId="12" r:id="rId8"/>
    <sheet name="Druck" sheetId="14" r:id="rId9"/>
    <sheet name="Urk Platz1" sheetId="16" r:id="rId10"/>
    <sheet name="Urk Platz2" sheetId="17" r:id="rId11"/>
    <sheet name="Urk Platz3" sheetId="18" r:id="rId12"/>
    <sheet name="Urk Platz 4" sheetId="19" r:id="rId13"/>
    <sheet name="Urk Platz 5" sheetId="20" r:id="rId14"/>
    <sheet name="Urk Platz 6" sheetId="21" r:id="rId15"/>
    <sheet name="UrkAlle" sheetId="44" r:id="rId16"/>
  </sheets>
  <definedNames>
    <definedName name="_xlnm.Print_Area" localSheetId="7">Ausw_Web!$A$1:$E$48</definedName>
    <definedName name="Z_78B3A349_4A6A_4124_974B_C4B81C7019CD_.wvu.PrintArea" localSheetId="7" hidden="1">Ausw_Web!$A$1:$E$48</definedName>
    <definedName name="Z_F48999E8_45B5_4A7E_B3AF_FA7A59AA8144_.wvu.PrintArea" localSheetId="7" hidden="1">Ausw_Web!$A$1:$E$48</definedName>
  </definedNames>
  <calcPr calcId="145621"/>
  <customWorkbookViews>
    <customWorkbookView name="zurück" guid="{78B3A349-4A6A-4124-974B-C4B81C7019CD}" maximized="1" windowWidth="1009" windowHeight="654" activeSheetId="4" showFormulaBar="0" showStatusbar="0"/>
    <customWorkbookView name="meine" guid="{F48999E8-45B5-4A7E-B3AF-FA7A59AA8144}" maximized="1" showHorizontalScroll="0" showVerticalScroll="0" showSheetTabs="0" windowWidth="1020" windowHeight="739" activeSheetId="4" showFormulaBar="0" showStatusbar="0"/>
  </customWorkbookViews>
</workbook>
</file>

<file path=xl/calcChain.xml><?xml version="1.0" encoding="utf-8"?>
<calcChain xmlns="http://schemas.openxmlformats.org/spreadsheetml/2006/main">
  <c r="D5" i="12" l="1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C5" i="12"/>
  <c r="A28" i="17" s="1"/>
  <c r="C6" i="12"/>
  <c r="A28" i="18" s="1"/>
  <c r="C7" i="12"/>
  <c r="A28" i="19" s="1"/>
  <c r="C8" i="12"/>
  <c r="A28" i="20" s="1"/>
  <c r="C9" i="12"/>
  <c r="A28" i="21" s="1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D4" i="12"/>
  <c r="C4" i="12"/>
  <c r="A28" i="16" s="1"/>
  <c r="B4" i="12"/>
  <c r="A21" i="16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K5" i="4" l="1"/>
  <c r="I1" i="4" l="1"/>
  <c r="G1" i="4"/>
  <c r="F1" i="4"/>
  <c r="L100" i="4"/>
  <c r="K20" i="4" s="1"/>
  <c r="K18" i="4"/>
  <c r="A33" i="4" l="1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4" i="4"/>
  <c r="A51" i="4" l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C4" i="41" l="1"/>
  <c r="C5" i="41"/>
  <c r="C6" i="41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3" i="41"/>
  <c r="A7" i="7" l="1"/>
  <c r="A48" i="7"/>
  <c r="A47" i="7"/>
  <c r="A45" i="7"/>
  <c r="A31" i="7"/>
  <c r="A32" i="7"/>
  <c r="A37" i="7"/>
  <c r="A16" i="7"/>
  <c r="A40" i="7"/>
  <c r="A21" i="7"/>
  <c r="A22" i="7"/>
  <c r="A38" i="7"/>
  <c r="A17" i="7"/>
  <c r="A18" i="7"/>
  <c r="A19" i="7"/>
  <c r="A4" i="7"/>
  <c r="A6" i="7"/>
  <c r="A8" i="7"/>
  <c r="A14" i="7"/>
  <c r="A46" i="7"/>
  <c r="A9" i="7"/>
  <c r="A51" i="7"/>
  <c r="A23" i="7"/>
  <c r="A10" i="7"/>
  <c r="A33" i="7"/>
  <c r="A34" i="7"/>
  <c r="A24" i="7"/>
  <c r="A3" i="7"/>
  <c r="A29" i="7"/>
  <c r="A20" i="7"/>
  <c r="A25" i="7"/>
  <c r="A49" i="7"/>
  <c r="A43" i="7"/>
  <c r="A5" i="7"/>
  <c r="A41" i="7"/>
  <c r="A52" i="7"/>
  <c r="A11" i="7"/>
  <c r="A28" i="7"/>
  <c r="A26" i="7"/>
  <c r="A35" i="7"/>
  <c r="A12" i="7"/>
  <c r="A36" i="7"/>
  <c r="A50" i="7"/>
  <c r="A42" i="7"/>
  <c r="A15" i="7"/>
  <c r="A27" i="7"/>
  <c r="A39" i="7"/>
  <c r="A30" i="7"/>
  <c r="A44" i="7"/>
  <c r="A13" i="7"/>
  <c r="E1" i="6"/>
  <c r="E2" i="6"/>
  <c r="E21" i="6"/>
  <c r="E30" i="6"/>
  <c r="E20" i="6"/>
  <c r="E18" i="6"/>
  <c r="E42" i="6"/>
  <c r="E43" i="6"/>
  <c r="E36" i="6"/>
  <c r="E23" i="6"/>
  <c r="E25" i="6"/>
  <c r="E26" i="6"/>
  <c r="E22" i="6"/>
  <c r="E32" i="6"/>
  <c r="E19" i="6"/>
  <c r="E34" i="6"/>
  <c r="E47" i="6"/>
  <c r="E39" i="6"/>
  <c r="E29" i="6"/>
  <c r="E4" i="6"/>
  <c r="E41" i="6"/>
  <c r="E24" i="6"/>
  <c r="E16" i="6"/>
  <c r="E7" i="6"/>
  <c r="E35" i="6"/>
  <c r="E13" i="6"/>
  <c r="E48" i="6"/>
  <c r="E12" i="6"/>
  <c r="E15" i="6"/>
  <c r="E14" i="6"/>
  <c r="E8" i="6"/>
  <c r="E11" i="6"/>
  <c r="E6" i="6"/>
  <c r="E5" i="6"/>
  <c r="E10" i="6"/>
  <c r="E9" i="6"/>
  <c r="E3" i="6"/>
  <c r="D49" i="6"/>
  <c r="D52" i="6"/>
  <c r="D51" i="6"/>
  <c r="D31" i="6"/>
  <c r="D38" i="6"/>
  <c r="D28" i="6"/>
  <c r="D37" i="6"/>
  <c r="D33" i="6"/>
  <c r="D46" i="6"/>
  <c r="D45" i="6"/>
  <c r="D27" i="6"/>
  <c r="D21" i="6"/>
  <c r="D40" i="6"/>
  <c r="D30" i="6"/>
  <c r="D17" i="6"/>
  <c r="D20" i="6"/>
  <c r="D18" i="6"/>
  <c r="D42" i="6"/>
  <c r="D43" i="6"/>
  <c r="D36" i="6"/>
  <c r="D23" i="6"/>
  <c r="D25" i="6"/>
  <c r="D26" i="6"/>
  <c r="D22" i="6"/>
  <c r="D32" i="6"/>
  <c r="D19" i="6"/>
  <c r="D34" i="6"/>
  <c r="D47" i="6"/>
  <c r="D39" i="6"/>
  <c r="D29" i="6"/>
  <c r="D4" i="6"/>
  <c r="D41" i="6"/>
  <c r="D24" i="6"/>
  <c r="D44" i="6"/>
  <c r="D16" i="6"/>
  <c r="D7" i="6"/>
  <c r="D35" i="6"/>
  <c r="D13" i="6"/>
  <c r="D48" i="6"/>
  <c r="D12" i="6"/>
  <c r="D15" i="6"/>
  <c r="D14" i="6"/>
  <c r="D8" i="6"/>
  <c r="D11" i="6"/>
  <c r="D6" i="6"/>
  <c r="D5" i="6"/>
  <c r="D10" i="6"/>
  <c r="D9" i="6"/>
  <c r="D3" i="6"/>
  <c r="D50" i="6"/>
  <c r="A49" i="6"/>
  <c r="A52" i="6"/>
  <c r="A51" i="6"/>
  <c r="A31" i="6"/>
  <c r="A38" i="6"/>
  <c r="A28" i="6"/>
  <c r="A37" i="6"/>
  <c r="A33" i="6"/>
  <c r="A46" i="6"/>
  <c r="A45" i="6"/>
  <c r="A27" i="6"/>
  <c r="A21" i="6"/>
  <c r="A40" i="6"/>
  <c r="A30" i="6"/>
  <c r="A17" i="6"/>
  <c r="A20" i="6"/>
  <c r="A18" i="6"/>
  <c r="A42" i="6"/>
  <c r="A43" i="6"/>
  <c r="A36" i="6"/>
  <c r="A23" i="6"/>
  <c r="A25" i="6"/>
  <c r="A26" i="6"/>
  <c r="A22" i="6"/>
  <c r="A32" i="6"/>
  <c r="A19" i="6"/>
  <c r="A34" i="6"/>
  <c r="A47" i="6"/>
  <c r="A39" i="6"/>
  <c r="A29" i="6"/>
  <c r="A4" i="6"/>
  <c r="A41" i="6"/>
  <c r="A24" i="6"/>
  <c r="A44" i="6"/>
  <c r="A16" i="6"/>
  <c r="A7" i="6"/>
  <c r="A35" i="6"/>
  <c r="A13" i="6"/>
  <c r="A48" i="6"/>
  <c r="A12" i="6"/>
  <c r="A15" i="6"/>
  <c r="A14" i="6"/>
  <c r="A8" i="6"/>
  <c r="A11" i="6"/>
  <c r="A6" i="6"/>
  <c r="A5" i="6"/>
  <c r="A10" i="6"/>
  <c r="A9" i="6"/>
  <c r="A3" i="6"/>
  <c r="A50" i="6"/>
  <c r="G11" i="6" l="1"/>
  <c r="G8" i="6"/>
  <c r="G14" i="6"/>
  <c r="G12" i="6"/>
  <c r="G13" i="6"/>
  <c r="G7" i="6"/>
  <c r="G44" i="6"/>
  <c r="G24" i="6"/>
  <c r="G41" i="6"/>
  <c r="G4" i="6"/>
  <c r="G48" i="6"/>
  <c r="G29" i="6"/>
  <c r="G34" i="6"/>
  <c r="G6" i="6"/>
  <c r="G15" i="6"/>
  <c r="G35" i="6"/>
  <c r="G16" i="6"/>
  <c r="G5" i="6"/>
  <c r="G10" i="6"/>
  <c r="G9" i="6"/>
  <c r="G39" i="6"/>
  <c r="G32" i="6"/>
  <c r="G22" i="6"/>
  <c r="G26" i="6"/>
  <c r="G25" i="6"/>
  <c r="G23" i="6"/>
  <c r="G43" i="6"/>
  <c r="G18" i="6"/>
  <c r="G20" i="6"/>
  <c r="G17" i="6"/>
  <c r="G30" i="6"/>
  <c r="G3" i="6"/>
  <c r="G40" i="6"/>
  <c r="G21" i="6"/>
  <c r="G27" i="6"/>
  <c r="G46" i="6"/>
  <c r="G33" i="6"/>
  <c r="G37" i="6"/>
  <c r="G31" i="6"/>
  <c r="G49" i="6"/>
  <c r="G28" i="6"/>
  <c r="G51" i="6"/>
  <c r="G47" i="6"/>
  <c r="G19" i="6"/>
  <c r="G38" i="6"/>
  <c r="G45" i="6"/>
  <c r="G50" i="6"/>
  <c r="G36" i="6"/>
  <c r="G42" i="6"/>
  <c r="G52" i="6"/>
  <c r="A1" i="7"/>
  <c r="B1" i="7"/>
  <c r="C1" i="7"/>
  <c r="D1" i="7"/>
  <c r="E1" i="7"/>
  <c r="F1" i="7"/>
  <c r="A2" i="7"/>
  <c r="B2" i="7"/>
  <c r="C2" i="7"/>
  <c r="D2" i="7"/>
  <c r="E2" i="7"/>
  <c r="F2" i="7"/>
  <c r="D7" i="7"/>
  <c r="D32" i="7"/>
  <c r="D31" i="7"/>
  <c r="D37" i="7"/>
  <c r="D47" i="7"/>
  <c r="D27" i="7"/>
  <c r="D48" i="7"/>
  <c r="D33" i="7"/>
  <c r="D45" i="7"/>
  <c r="D13" i="7"/>
  <c r="D25" i="7"/>
  <c r="D30" i="7"/>
  <c r="E30" i="7" s="1"/>
  <c r="D29" i="7"/>
  <c r="D17" i="7"/>
  <c r="D19" i="7"/>
  <c r="D35" i="7"/>
  <c r="E35" i="7" s="1"/>
  <c r="D41" i="7"/>
  <c r="D24" i="7"/>
  <c r="D15" i="7"/>
  <c r="E15" i="7" s="1"/>
  <c r="D12" i="7"/>
  <c r="E12" i="7" s="1"/>
  <c r="D52" i="7"/>
  <c r="D44" i="7"/>
  <c r="E44" i="7" s="1"/>
  <c r="D50" i="7"/>
  <c r="D39" i="7"/>
  <c r="E39" i="7" s="1"/>
  <c r="D43" i="7"/>
  <c r="D18" i="7"/>
  <c r="D46" i="7"/>
  <c r="D8" i="7"/>
  <c r="D9" i="7"/>
  <c r="D49" i="7"/>
  <c r="E49" i="7" s="1"/>
  <c r="D4" i="7"/>
  <c r="D36" i="7"/>
  <c r="D5" i="7"/>
  <c r="D42" i="7"/>
  <c r="E42" i="7" s="1"/>
  <c r="D23" i="7"/>
  <c r="D14" i="7"/>
  <c r="D3" i="7"/>
  <c r="D16" i="7"/>
  <c r="D21" i="7"/>
  <c r="D40" i="7"/>
  <c r="D11" i="7"/>
  <c r="E11" i="7" s="1"/>
  <c r="D51" i="7"/>
  <c r="D22" i="7"/>
  <c r="D6" i="7"/>
  <c r="D26" i="7"/>
  <c r="D28" i="7"/>
  <c r="D34" i="7"/>
  <c r="D10" i="7"/>
  <c r="D20" i="7"/>
  <c r="D38" i="7"/>
  <c r="A1" i="6"/>
  <c r="B1" i="6"/>
  <c r="C1" i="6"/>
  <c r="D1" i="6"/>
  <c r="C2" i="6"/>
  <c r="D2" i="6"/>
  <c r="B3" i="1"/>
  <c r="C3" i="1"/>
  <c r="G3" i="1"/>
  <c r="H3" i="1"/>
  <c r="I50" i="6" s="1"/>
  <c r="I3" i="1"/>
  <c r="J3" i="1"/>
  <c r="K3" i="1"/>
  <c r="L3" i="1"/>
  <c r="M3" i="1"/>
  <c r="N3" i="1"/>
  <c r="O3" i="1"/>
  <c r="B4" i="1"/>
  <c r="C4" i="1"/>
  <c r="E4" i="1" s="1"/>
  <c r="G4" i="1"/>
  <c r="H4" i="1"/>
  <c r="I49" i="6" s="1"/>
  <c r="I4" i="1"/>
  <c r="J4" i="1"/>
  <c r="K4" i="1"/>
  <c r="L4" i="1"/>
  <c r="M4" i="1"/>
  <c r="N4" i="1"/>
  <c r="O4" i="1"/>
  <c r="B5" i="1"/>
  <c r="C5" i="1"/>
  <c r="G5" i="1"/>
  <c r="H5" i="1"/>
  <c r="I52" i="6" s="1"/>
  <c r="I5" i="1"/>
  <c r="J5" i="1"/>
  <c r="K5" i="1"/>
  <c r="L5" i="1"/>
  <c r="M5" i="1"/>
  <c r="N5" i="1"/>
  <c r="O5" i="1"/>
  <c r="B6" i="1"/>
  <c r="C6" i="1"/>
  <c r="C47" i="7" s="1"/>
  <c r="G6" i="1"/>
  <c r="H6" i="1"/>
  <c r="I51" i="6" s="1"/>
  <c r="I6" i="1"/>
  <c r="J6" i="1"/>
  <c r="K6" i="1"/>
  <c r="L6" i="1"/>
  <c r="M6" i="1"/>
  <c r="N6" i="1"/>
  <c r="O6" i="1"/>
  <c r="B7" i="1"/>
  <c r="C7" i="1"/>
  <c r="C45" i="7" s="1"/>
  <c r="G7" i="1"/>
  <c r="H7" i="1"/>
  <c r="I31" i="6" s="1"/>
  <c r="I7" i="1"/>
  <c r="J7" i="1"/>
  <c r="K7" i="1"/>
  <c r="L7" i="1"/>
  <c r="M7" i="1"/>
  <c r="N7" i="1"/>
  <c r="O7" i="1"/>
  <c r="B8" i="1"/>
  <c r="C8" i="1"/>
  <c r="C31" i="7" s="1"/>
  <c r="G8" i="1"/>
  <c r="H8" i="1"/>
  <c r="I38" i="6" s="1"/>
  <c r="I8" i="1"/>
  <c r="J8" i="1"/>
  <c r="K8" i="1"/>
  <c r="L8" i="1"/>
  <c r="M8" i="1"/>
  <c r="N8" i="1"/>
  <c r="O8" i="1"/>
  <c r="B9" i="1"/>
  <c r="C9" i="1"/>
  <c r="C32" i="7" s="1"/>
  <c r="G9" i="1"/>
  <c r="H9" i="1"/>
  <c r="I28" i="6" s="1"/>
  <c r="I9" i="1"/>
  <c r="J9" i="1"/>
  <c r="K9" i="1"/>
  <c r="L9" i="1"/>
  <c r="M9" i="1"/>
  <c r="N9" i="1"/>
  <c r="O9" i="1"/>
  <c r="B10" i="1"/>
  <c r="C10" i="1"/>
  <c r="G10" i="1"/>
  <c r="H10" i="1"/>
  <c r="I37" i="6" s="1"/>
  <c r="I10" i="1"/>
  <c r="J10" i="1"/>
  <c r="K10" i="1"/>
  <c r="L10" i="1"/>
  <c r="M10" i="1"/>
  <c r="N10" i="1"/>
  <c r="O10" i="1"/>
  <c r="B11" i="1"/>
  <c r="C11" i="1"/>
  <c r="C16" i="7" s="1"/>
  <c r="G11" i="1"/>
  <c r="H11" i="1"/>
  <c r="I33" i="6" s="1"/>
  <c r="I11" i="1"/>
  <c r="J11" i="1"/>
  <c r="K11" i="1"/>
  <c r="L11" i="1"/>
  <c r="M11" i="1"/>
  <c r="N11" i="1"/>
  <c r="O11" i="1"/>
  <c r="B12" i="1"/>
  <c r="C12" i="1"/>
  <c r="C40" i="7" s="1"/>
  <c r="G12" i="1"/>
  <c r="H12" i="1"/>
  <c r="I46" i="6" s="1"/>
  <c r="I12" i="1"/>
  <c r="J12" i="1"/>
  <c r="K12" i="1"/>
  <c r="L12" i="1"/>
  <c r="M12" i="1"/>
  <c r="N12" i="1"/>
  <c r="O12" i="1"/>
  <c r="B13" i="1"/>
  <c r="C13" i="1"/>
  <c r="E13" i="1" s="1"/>
  <c r="G13" i="1"/>
  <c r="H13" i="1"/>
  <c r="I45" i="6" s="1"/>
  <c r="I13" i="1"/>
  <c r="J13" i="1"/>
  <c r="K13" i="1"/>
  <c r="L13" i="1"/>
  <c r="M13" i="1"/>
  <c r="N13" i="1"/>
  <c r="O13" i="1"/>
  <c r="B14" i="1"/>
  <c r="C14" i="1"/>
  <c r="G14" i="1"/>
  <c r="H14" i="1"/>
  <c r="I27" i="6" s="1"/>
  <c r="I14" i="1"/>
  <c r="J14" i="1"/>
  <c r="K14" i="1"/>
  <c r="L14" i="1"/>
  <c r="M14" i="1"/>
  <c r="N14" i="1"/>
  <c r="O14" i="1"/>
  <c r="B15" i="1"/>
  <c r="C15" i="1"/>
  <c r="G15" i="1"/>
  <c r="H15" i="1"/>
  <c r="I21" i="6" s="1"/>
  <c r="I15" i="1"/>
  <c r="J15" i="1"/>
  <c r="K15" i="1"/>
  <c r="L15" i="1"/>
  <c r="M15" i="1"/>
  <c r="N15" i="1"/>
  <c r="O15" i="1"/>
  <c r="B16" i="1"/>
  <c r="C16" i="1"/>
  <c r="C17" i="7" s="1"/>
  <c r="G16" i="1"/>
  <c r="H16" i="1"/>
  <c r="I40" i="6" s="1"/>
  <c r="I16" i="1"/>
  <c r="J16" i="1"/>
  <c r="K16" i="1"/>
  <c r="L16" i="1"/>
  <c r="M16" i="1"/>
  <c r="N16" i="1"/>
  <c r="O16" i="1"/>
  <c r="B17" i="1"/>
  <c r="C17" i="1"/>
  <c r="C18" i="7" s="1"/>
  <c r="G17" i="1"/>
  <c r="H17" i="1"/>
  <c r="I30" i="6" s="1"/>
  <c r="I17" i="1"/>
  <c r="J17" i="1"/>
  <c r="K17" i="1"/>
  <c r="L17" i="1"/>
  <c r="M17" i="1"/>
  <c r="N17" i="1"/>
  <c r="O17" i="1"/>
  <c r="B18" i="1"/>
  <c r="C18" i="1"/>
  <c r="G18" i="1"/>
  <c r="H18" i="1"/>
  <c r="I17" i="6" s="1"/>
  <c r="I18" i="1"/>
  <c r="J18" i="1"/>
  <c r="K18" i="1"/>
  <c r="L18" i="1"/>
  <c r="M18" i="1"/>
  <c r="N18" i="1"/>
  <c r="O18" i="1"/>
  <c r="B19" i="1"/>
  <c r="C19" i="1"/>
  <c r="C4" i="7" s="1"/>
  <c r="G19" i="1"/>
  <c r="H19" i="1"/>
  <c r="I20" i="6" s="1"/>
  <c r="I19" i="1"/>
  <c r="J19" i="1"/>
  <c r="K19" i="1"/>
  <c r="L19" i="1"/>
  <c r="M19" i="1"/>
  <c r="N19" i="1"/>
  <c r="O19" i="1"/>
  <c r="B20" i="1"/>
  <c r="C20" i="1"/>
  <c r="E20" i="1" s="1"/>
  <c r="G20" i="1"/>
  <c r="H20" i="1"/>
  <c r="I18" i="6" s="1"/>
  <c r="I20" i="1"/>
  <c r="J20" i="1"/>
  <c r="K20" i="1"/>
  <c r="L20" i="1"/>
  <c r="M20" i="1"/>
  <c r="N20" i="1"/>
  <c r="O20" i="1"/>
  <c r="B21" i="1"/>
  <c r="C21" i="1"/>
  <c r="C8" i="7" s="1"/>
  <c r="G21" i="1"/>
  <c r="H21" i="1"/>
  <c r="I42" i="6" s="1"/>
  <c r="I21" i="1"/>
  <c r="J21" i="1"/>
  <c r="K21" i="1"/>
  <c r="L21" i="1"/>
  <c r="M21" i="1"/>
  <c r="N21" i="1"/>
  <c r="O21" i="1"/>
  <c r="B22" i="1"/>
  <c r="C22" i="1"/>
  <c r="C14" i="7" s="1"/>
  <c r="G22" i="1"/>
  <c r="H22" i="1"/>
  <c r="I43" i="6" s="1"/>
  <c r="I22" i="1"/>
  <c r="J22" i="1"/>
  <c r="K22" i="1"/>
  <c r="L22" i="1"/>
  <c r="M22" i="1"/>
  <c r="N22" i="1"/>
  <c r="O22" i="1"/>
  <c r="B23" i="1"/>
  <c r="C23" i="1"/>
  <c r="G23" i="1"/>
  <c r="H23" i="1"/>
  <c r="I36" i="6" s="1"/>
  <c r="I23" i="1"/>
  <c r="J23" i="1"/>
  <c r="K23" i="1"/>
  <c r="L23" i="1"/>
  <c r="M23" i="1"/>
  <c r="N23" i="1"/>
  <c r="O23" i="1"/>
  <c r="B24" i="1"/>
  <c r="C24" i="1"/>
  <c r="G24" i="1"/>
  <c r="H24" i="1"/>
  <c r="I23" i="6" s="1"/>
  <c r="I24" i="1"/>
  <c r="J24" i="1"/>
  <c r="K24" i="1"/>
  <c r="L24" i="1"/>
  <c r="M24" i="1"/>
  <c r="N24" i="1"/>
  <c r="O24" i="1"/>
  <c r="B25" i="1"/>
  <c r="C25" i="1"/>
  <c r="C51" i="7" s="1"/>
  <c r="G25" i="1"/>
  <c r="H25" i="1"/>
  <c r="I25" i="6" s="1"/>
  <c r="I25" i="1"/>
  <c r="J25" i="1"/>
  <c r="K25" i="1"/>
  <c r="L25" i="1"/>
  <c r="M25" i="1"/>
  <c r="N25" i="1"/>
  <c r="O25" i="1"/>
  <c r="B26" i="1"/>
  <c r="C26" i="1"/>
  <c r="C23" i="7" s="1"/>
  <c r="G26" i="1"/>
  <c r="H26" i="1"/>
  <c r="I26" i="6" s="1"/>
  <c r="I26" i="1"/>
  <c r="J26" i="1"/>
  <c r="K26" i="1"/>
  <c r="L26" i="1"/>
  <c r="M26" i="1"/>
  <c r="N26" i="1"/>
  <c r="O26" i="1"/>
  <c r="B27" i="1"/>
  <c r="C27" i="1"/>
  <c r="C10" i="7" s="1"/>
  <c r="G27" i="1"/>
  <c r="H27" i="1"/>
  <c r="I22" i="6" s="1"/>
  <c r="I27" i="1"/>
  <c r="J27" i="1"/>
  <c r="K27" i="1"/>
  <c r="L27" i="1"/>
  <c r="M27" i="1"/>
  <c r="N27" i="1"/>
  <c r="O27" i="1"/>
  <c r="B28" i="1"/>
  <c r="C28" i="1"/>
  <c r="C33" i="7" s="1"/>
  <c r="G28" i="1"/>
  <c r="H28" i="1"/>
  <c r="I32" i="6" s="1"/>
  <c r="I28" i="1"/>
  <c r="J28" i="1"/>
  <c r="K28" i="1"/>
  <c r="L28" i="1"/>
  <c r="M28" i="1"/>
  <c r="N28" i="1"/>
  <c r="O28" i="1"/>
  <c r="B29" i="1"/>
  <c r="C29" i="1"/>
  <c r="C34" i="7" s="1"/>
  <c r="G29" i="1"/>
  <c r="H29" i="1"/>
  <c r="I19" i="6" s="1"/>
  <c r="I29" i="1"/>
  <c r="J29" i="1"/>
  <c r="K29" i="1"/>
  <c r="L29" i="1"/>
  <c r="M29" i="1"/>
  <c r="N29" i="1"/>
  <c r="O29" i="1"/>
  <c r="B30" i="1"/>
  <c r="C30" i="1"/>
  <c r="G30" i="1"/>
  <c r="H30" i="1"/>
  <c r="I34" i="6" s="1"/>
  <c r="I30" i="1"/>
  <c r="J30" i="1"/>
  <c r="K30" i="1"/>
  <c r="L30" i="1"/>
  <c r="M30" i="1"/>
  <c r="N30" i="1"/>
  <c r="O30" i="1"/>
  <c r="B31" i="1"/>
  <c r="C31" i="1"/>
  <c r="C3" i="7" s="1"/>
  <c r="G31" i="1"/>
  <c r="H31" i="1"/>
  <c r="I47" i="6" s="1"/>
  <c r="I31" i="1"/>
  <c r="J31" i="1"/>
  <c r="K31" i="1"/>
  <c r="L31" i="1"/>
  <c r="M31" i="1"/>
  <c r="N31" i="1"/>
  <c r="O31" i="1"/>
  <c r="B32" i="1"/>
  <c r="C32" i="1"/>
  <c r="C29" i="7" s="1"/>
  <c r="G32" i="1"/>
  <c r="H32" i="1"/>
  <c r="I39" i="6" s="1"/>
  <c r="I32" i="1"/>
  <c r="J32" i="1"/>
  <c r="K32" i="1"/>
  <c r="L32" i="1"/>
  <c r="M32" i="1"/>
  <c r="N32" i="1"/>
  <c r="O32" i="1"/>
  <c r="B33" i="1"/>
  <c r="C33" i="1"/>
  <c r="C20" i="7" s="1"/>
  <c r="G33" i="1"/>
  <c r="H33" i="1"/>
  <c r="I29" i="6" s="1"/>
  <c r="I33" i="1"/>
  <c r="J33" i="1"/>
  <c r="K33" i="1"/>
  <c r="L33" i="1"/>
  <c r="M33" i="1"/>
  <c r="N33" i="1"/>
  <c r="O33" i="1"/>
  <c r="B34" i="1"/>
  <c r="C34" i="1"/>
  <c r="C25" i="7" s="1"/>
  <c r="G34" i="1"/>
  <c r="H34" i="1"/>
  <c r="I4" i="6" s="1"/>
  <c r="I34" i="1"/>
  <c r="J34" i="1"/>
  <c r="K34" i="1"/>
  <c r="L34" i="1"/>
  <c r="M34" i="1"/>
  <c r="N34" i="1"/>
  <c r="O34" i="1"/>
  <c r="B35" i="1"/>
  <c r="C35" i="1"/>
  <c r="C49" i="7" s="1"/>
  <c r="G35" i="1"/>
  <c r="H35" i="1"/>
  <c r="I41" i="6" s="1"/>
  <c r="I35" i="1"/>
  <c r="J35" i="1"/>
  <c r="K35" i="1"/>
  <c r="L35" i="1"/>
  <c r="M35" i="1"/>
  <c r="N35" i="1"/>
  <c r="O35" i="1"/>
  <c r="B36" i="1"/>
  <c r="C36" i="1"/>
  <c r="C43" i="7" s="1"/>
  <c r="G36" i="1"/>
  <c r="H36" i="1"/>
  <c r="I24" i="6" s="1"/>
  <c r="I36" i="1"/>
  <c r="J36" i="1"/>
  <c r="K36" i="1"/>
  <c r="L36" i="1"/>
  <c r="M36" i="1"/>
  <c r="N36" i="1"/>
  <c r="O36" i="1"/>
  <c r="B37" i="1"/>
  <c r="C37" i="1"/>
  <c r="C5" i="7" s="1"/>
  <c r="G37" i="1"/>
  <c r="H37" i="1"/>
  <c r="I44" i="6" s="1"/>
  <c r="I37" i="1"/>
  <c r="J37" i="1"/>
  <c r="K37" i="1"/>
  <c r="L37" i="1"/>
  <c r="M37" i="1"/>
  <c r="N37" i="1"/>
  <c r="O37" i="1"/>
  <c r="B38" i="1"/>
  <c r="C38" i="1"/>
  <c r="C41" i="7" s="1"/>
  <c r="G38" i="1"/>
  <c r="H38" i="1"/>
  <c r="I16" i="6" s="1"/>
  <c r="I38" i="1"/>
  <c r="J38" i="1"/>
  <c r="K38" i="1"/>
  <c r="L38" i="1"/>
  <c r="M38" i="1"/>
  <c r="N38" i="1"/>
  <c r="O38" i="1"/>
  <c r="B39" i="1"/>
  <c r="C39" i="1"/>
  <c r="C52" i="7" s="1"/>
  <c r="G39" i="1"/>
  <c r="H39" i="1"/>
  <c r="I7" i="6" s="1"/>
  <c r="I39" i="1"/>
  <c r="J39" i="1"/>
  <c r="K39" i="1"/>
  <c r="L39" i="1"/>
  <c r="M39" i="1"/>
  <c r="N39" i="1"/>
  <c r="O39" i="1"/>
  <c r="B40" i="1"/>
  <c r="C40" i="1"/>
  <c r="E40" i="1" s="1"/>
  <c r="G40" i="1"/>
  <c r="H40" i="1"/>
  <c r="I35" i="6" s="1"/>
  <c r="I40" i="1"/>
  <c r="J40" i="1"/>
  <c r="K40" i="1"/>
  <c r="L40" i="1"/>
  <c r="M40" i="1"/>
  <c r="N40" i="1"/>
  <c r="O40" i="1"/>
  <c r="B41" i="1"/>
  <c r="C41" i="1"/>
  <c r="C28" i="7" s="1"/>
  <c r="G41" i="1"/>
  <c r="H41" i="1"/>
  <c r="I13" i="6" s="1"/>
  <c r="I41" i="1"/>
  <c r="J41" i="1"/>
  <c r="K41" i="1"/>
  <c r="L41" i="1"/>
  <c r="M41" i="1"/>
  <c r="N41" i="1"/>
  <c r="O41" i="1"/>
  <c r="B42" i="1"/>
  <c r="C42" i="1"/>
  <c r="C26" i="7" s="1"/>
  <c r="G42" i="1"/>
  <c r="H42" i="1"/>
  <c r="I48" i="6" s="1"/>
  <c r="I42" i="1"/>
  <c r="J42" i="1"/>
  <c r="K42" i="1"/>
  <c r="L42" i="1"/>
  <c r="M42" i="1"/>
  <c r="N42" i="1"/>
  <c r="O42" i="1"/>
  <c r="B43" i="1"/>
  <c r="C43" i="1"/>
  <c r="C35" i="7" s="1"/>
  <c r="G43" i="1"/>
  <c r="H43" i="1"/>
  <c r="I12" i="6" s="1"/>
  <c r="I43" i="1"/>
  <c r="J43" i="1"/>
  <c r="K43" i="1"/>
  <c r="L43" i="1"/>
  <c r="M43" i="1"/>
  <c r="N43" i="1"/>
  <c r="O43" i="1"/>
  <c r="B44" i="1"/>
  <c r="C44" i="1"/>
  <c r="C12" i="7" s="1"/>
  <c r="G44" i="1"/>
  <c r="H44" i="1"/>
  <c r="I15" i="6" s="1"/>
  <c r="I44" i="1"/>
  <c r="J44" i="1"/>
  <c r="K44" i="1"/>
  <c r="L44" i="1"/>
  <c r="M44" i="1"/>
  <c r="N44" i="1"/>
  <c r="O44" i="1"/>
  <c r="B45" i="1"/>
  <c r="C45" i="1"/>
  <c r="C36" i="7" s="1"/>
  <c r="G45" i="1"/>
  <c r="H45" i="1"/>
  <c r="I14" i="6" s="1"/>
  <c r="I45" i="1"/>
  <c r="J45" i="1"/>
  <c r="K45" i="1"/>
  <c r="L45" i="1"/>
  <c r="M45" i="1"/>
  <c r="N45" i="1"/>
  <c r="O45" i="1"/>
  <c r="B46" i="1"/>
  <c r="C46" i="1"/>
  <c r="C50" i="7" s="1"/>
  <c r="G46" i="1"/>
  <c r="H46" i="1"/>
  <c r="I8" i="6" s="1"/>
  <c r="I46" i="1"/>
  <c r="J46" i="1"/>
  <c r="K46" i="1"/>
  <c r="L46" i="1"/>
  <c r="M46" i="1"/>
  <c r="N46" i="1"/>
  <c r="O46" i="1"/>
  <c r="B47" i="1"/>
  <c r="C47" i="1"/>
  <c r="C42" i="7" s="1"/>
  <c r="G47" i="1"/>
  <c r="H47" i="1"/>
  <c r="I11" i="6" s="1"/>
  <c r="I47" i="1"/>
  <c r="J47" i="1"/>
  <c r="K47" i="1"/>
  <c r="L47" i="1"/>
  <c r="M47" i="1"/>
  <c r="N47" i="1"/>
  <c r="O47" i="1"/>
  <c r="B48" i="1"/>
  <c r="C48" i="1"/>
  <c r="C15" i="7" s="1"/>
  <c r="G48" i="1"/>
  <c r="H48" i="1"/>
  <c r="I6" i="6" s="1"/>
  <c r="I48" i="1"/>
  <c r="J48" i="1"/>
  <c r="K48" i="1"/>
  <c r="L48" i="1"/>
  <c r="M48" i="1"/>
  <c r="N48" i="1"/>
  <c r="O48" i="1"/>
  <c r="B49" i="1"/>
  <c r="C49" i="1"/>
  <c r="C27" i="7" s="1"/>
  <c r="G49" i="1"/>
  <c r="H49" i="1"/>
  <c r="I5" i="6" s="1"/>
  <c r="I49" i="1"/>
  <c r="J49" i="1"/>
  <c r="K49" i="1"/>
  <c r="L49" i="1"/>
  <c r="M49" i="1"/>
  <c r="N49" i="1"/>
  <c r="O49" i="1"/>
  <c r="B50" i="1"/>
  <c r="C50" i="1"/>
  <c r="C39" i="7" s="1"/>
  <c r="G50" i="1"/>
  <c r="H50" i="1"/>
  <c r="I10" i="6" s="1"/>
  <c r="I50" i="1"/>
  <c r="J50" i="1"/>
  <c r="K50" i="1"/>
  <c r="L50" i="1"/>
  <c r="M50" i="1"/>
  <c r="N50" i="1"/>
  <c r="O50" i="1"/>
  <c r="B51" i="1"/>
  <c r="C51" i="1"/>
  <c r="C30" i="7" s="1"/>
  <c r="G51" i="1"/>
  <c r="H51" i="1"/>
  <c r="I9" i="6" s="1"/>
  <c r="I51" i="1"/>
  <c r="J51" i="1"/>
  <c r="K51" i="1"/>
  <c r="L51" i="1"/>
  <c r="M51" i="1"/>
  <c r="N51" i="1"/>
  <c r="O51" i="1"/>
  <c r="B52" i="1"/>
  <c r="C52" i="1"/>
  <c r="C44" i="7" s="1"/>
  <c r="G52" i="1"/>
  <c r="H52" i="1"/>
  <c r="I3" i="6" s="1"/>
  <c r="I52" i="1"/>
  <c r="J52" i="1"/>
  <c r="K52" i="1"/>
  <c r="L52" i="1"/>
  <c r="M52" i="1"/>
  <c r="N52" i="1"/>
  <c r="O52" i="1"/>
  <c r="F42" i="7"/>
  <c r="C4" i="6"/>
  <c r="H4" i="6" s="1"/>
  <c r="F26" i="7"/>
  <c r="C23" i="6"/>
  <c r="H23" i="6" s="1"/>
  <c r="F51" i="7"/>
  <c r="C20" i="6"/>
  <c r="H20" i="6" s="1"/>
  <c r="F23" i="7"/>
  <c r="C7" i="6"/>
  <c r="H7" i="6" s="1"/>
  <c r="F4" i="7"/>
  <c r="F46" i="7"/>
  <c r="F38" i="7"/>
  <c r="F10" i="7"/>
  <c r="C29" i="6"/>
  <c r="H29" i="6" s="1"/>
  <c r="C15" i="6"/>
  <c r="H15" i="6" s="1"/>
  <c r="F6" i="7"/>
  <c r="C47" i="6"/>
  <c r="H47" i="6" s="1"/>
  <c r="F21" i="7"/>
  <c r="C9" i="6"/>
  <c r="H9" i="6" s="1"/>
  <c r="C39" i="6"/>
  <c r="H39" i="6" s="1"/>
  <c r="F5" i="7"/>
  <c r="F9" i="7"/>
  <c r="C48" i="6"/>
  <c r="H48" i="6" s="1"/>
  <c r="C36" i="6"/>
  <c r="H36" i="6" s="1"/>
  <c r="C42" i="6"/>
  <c r="H42" i="6" s="1"/>
  <c r="C12" i="6"/>
  <c r="H12" i="6" s="1"/>
  <c r="C22" i="6"/>
  <c r="H22" i="6" s="1"/>
  <c r="C11" i="6"/>
  <c r="H11" i="6" s="1"/>
  <c r="C8" i="6"/>
  <c r="H8" i="6" s="1"/>
  <c r="C24" i="6"/>
  <c r="H24" i="6" s="1"/>
  <c r="C26" i="6"/>
  <c r="H26" i="6" s="1"/>
  <c r="C19" i="6"/>
  <c r="H19" i="6" s="1"/>
  <c r="C32" i="6"/>
  <c r="H32" i="6" s="1"/>
  <c r="C10" i="6"/>
  <c r="H10" i="6" s="1"/>
  <c r="C35" i="6"/>
  <c r="H35" i="6" s="1"/>
  <c r="C5" i="6"/>
  <c r="H5" i="6" s="1"/>
  <c r="C14" i="6"/>
  <c r="H14" i="6" s="1"/>
  <c r="C13" i="6"/>
  <c r="H13" i="6" s="1"/>
  <c r="C43" i="6"/>
  <c r="H43" i="6" s="1"/>
  <c r="C21" i="6"/>
  <c r="H21" i="6" s="1"/>
  <c r="C51" i="6"/>
  <c r="H51" i="6" s="1"/>
  <c r="C45" i="6"/>
  <c r="H45" i="6" s="1"/>
  <c r="C37" i="6"/>
  <c r="H37" i="6" s="1"/>
  <c r="C38" i="6"/>
  <c r="H38" i="6" s="1"/>
  <c r="C49" i="6"/>
  <c r="H49" i="6" s="1"/>
  <c r="F18" i="7"/>
  <c r="F43" i="7"/>
  <c r="F52" i="7"/>
  <c r="F24" i="7"/>
  <c r="F41" i="7"/>
  <c r="F30" i="7"/>
  <c r="F25" i="7"/>
  <c r="F32" i="7"/>
  <c r="F7" i="7"/>
  <c r="E50" i="1"/>
  <c r="E44" i="1"/>
  <c r="E38" i="1"/>
  <c r="E34" i="1"/>
  <c r="E30" i="1"/>
  <c r="E26" i="1"/>
  <c r="E22" i="1"/>
  <c r="E18" i="1"/>
  <c r="E16" i="1"/>
  <c r="E10" i="1"/>
  <c r="E8" i="1"/>
  <c r="E38" i="6" s="1"/>
  <c r="E6" i="1"/>
  <c r="E49" i="6" s="1"/>
  <c r="C30" i="6"/>
  <c r="H30" i="6" s="1"/>
  <c r="F28" i="7"/>
  <c r="F22" i="7"/>
  <c r="F11" i="7"/>
  <c r="F40" i="7"/>
  <c r="F16" i="7"/>
  <c r="F3" i="7"/>
  <c r="F14" i="7"/>
  <c r="F36" i="7"/>
  <c r="F49" i="7"/>
  <c r="F8" i="7"/>
  <c r="F39" i="7"/>
  <c r="F50" i="7"/>
  <c r="F44" i="7"/>
  <c r="F12" i="7"/>
  <c r="F15" i="7"/>
  <c r="F35" i="7"/>
  <c r="F19" i="7"/>
  <c r="F29" i="7"/>
  <c r="F33" i="7"/>
  <c r="F48" i="7"/>
  <c r="F27" i="7"/>
  <c r="F47" i="7"/>
  <c r="F31" i="7"/>
  <c r="F45" i="7"/>
  <c r="E21" i="1"/>
  <c r="C28" i="6"/>
  <c r="H28" i="6" s="1"/>
  <c r="E5" i="1"/>
  <c r="E45" i="1"/>
  <c r="E37" i="1"/>
  <c r="E33" i="1"/>
  <c r="E25" i="1"/>
  <c r="E17" i="1"/>
  <c r="E47" i="1"/>
  <c r="B50" i="7" l="1"/>
  <c r="B8" i="6"/>
  <c r="B16" i="6"/>
  <c r="B41" i="7"/>
  <c r="B43" i="6"/>
  <c r="B14" i="7"/>
  <c r="B10" i="7"/>
  <c r="B22" i="6"/>
  <c r="B4" i="7"/>
  <c r="B20" i="6"/>
  <c r="B33" i="6"/>
  <c r="B16" i="7"/>
  <c r="B50" i="6"/>
  <c r="B13" i="7"/>
  <c r="E31" i="1"/>
  <c r="B15" i="7"/>
  <c r="B6" i="6"/>
  <c r="B11" i="7"/>
  <c r="B35" i="6"/>
  <c r="B29" i="7"/>
  <c r="B39" i="6"/>
  <c r="B9" i="7"/>
  <c r="B23" i="6"/>
  <c r="B17" i="7"/>
  <c r="B40" i="6"/>
  <c r="B31" i="7"/>
  <c r="B38" i="6"/>
  <c r="E39" i="1"/>
  <c r="E12" i="1"/>
  <c r="E37" i="6" s="1"/>
  <c r="E36" i="1"/>
  <c r="B14" i="6"/>
  <c r="B36" i="7"/>
  <c r="B44" i="6"/>
  <c r="B5" i="7"/>
  <c r="B19" i="6"/>
  <c r="B34" i="7"/>
  <c r="B42" i="6"/>
  <c r="B8" i="7"/>
  <c r="B45" i="6"/>
  <c r="B21" i="7"/>
  <c r="B52" i="6"/>
  <c r="B48" i="7"/>
  <c r="B23" i="7"/>
  <c r="B26" i="6"/>
  <c r="B17" i="6"/>
  <c r="B19" i="7"/>
  <c r="B22" i="7"/>
  <c r="B27" i="6"/>
  <c r="B9" i="6"/>
  <c r="B30" i="7"/>
  <c r="B26" i="7"/>
  <c r="B48" i="6"/>
  <c r="B25" i="7"/>
  <c r="B4" i="6"/>
  <c r="B42" i="7"/>
  <c r="B11" i="6"/>
  <c r="B52" i="7"/>
  <c r="B7" i="6"/>
  <c r="E29" i="1"/>
  <c r="B44" i="7"/>
  <c r="B3" i="6"/>
  <c r="B12" i="7"/>
  <c r="B15" i="6"/>
  <c r="B43" i="7"/>
  <c r="B24" i="6"/>
  <c r="B33" i="7"/>
  <c r="B32" i="6"/>
  <c r="B6" i="7"/>
  <c r="B18" i="6"/>
  <c r="B40" i="7"/>
  <c r="B46" i="6"/>
  <c r="B7" i="7"/>
  <c r="B49" i="6"/>
  <c r="B24" i="7"/>
  <c r="B34" i="6"/>
  <c r="B51" i="6"/>
  <c r="B47" i="7"/>
  <c r="E11" i="1"/>
  <c r="E31" i="6" s="1"/>
  <c r="B35" i="7"/>
  <c r="B12" i="6"/>
  <c r="B41" i="6"/>
  <c r="B49" i="7"/>
  <c r="B10" i="6"/>
  <c r="B39" i="7"/>
  <c r="B37" i="7"/>
  <c r="B37" i="6"/>
  <c r="B3" i="7"/>
  <c r="B47" i="6"/>
  <c r="B46" i="7"/>
  <c r="B36" i="6"/>
  <c r="B38" i="7"/>
  <c r="B21" i="6"/>
  <c r="B45" i="7"/>
  <c r="B31" i="6"/>
  <c r="B27" i="7"/>
  <c r="B5" i="6"/>
  <c r="B28" i="7"/>
  <c r="B13" i="6"/>
  <c r="B20" i="7"/>
  <c r="B29" i="6"/>
  <c r="B51" i="7"/>
  <c r="B25" i="6"/>
  <c r="B30" i="6"/>
  <c r="B18" i="7"/>
  <c r="B32" i="7"/>
  <c r="B28" i="6"/>
  <c r="E15" i="1"/>
  <c r="C38" i="7"/>
  <c r="H38" i="7" s="1"/>
  <c r="C52" i="6"/>
  <c r="H52" i="6" s="1"/>
  <c r="C13" i="7"/>
  <c r="C6" i="7"/>
  <c r="H6" i="7" s="1"/>
  <c r="C37" i="7"/>
  <c r="H37" i="7" s="1"/>
  <c r="C48" i="7"/>
  <c r="E19" i="1"/>
  <c r="E24" i="1"/>
  <c r="E46" i="6" s="1"/>
  <c r="C24" i="7"/>
  <c r="H24" i="7" s="1"/>
  <c r="C22" i="7"/>
  <c r="H22" i="7" s="1"/>
  <c r="C27" i="6"/>
  <c r="H27" i="6" s="1"/>
  <c r="C11" i="7"/>
  <c r="H11" i="7" s="1"/>
  <c r="C7" i="7"/>
  <c r="E7" i="7" s="1"/>
  <c r="E41" i="1"/>
  <c r="E14" i="1"/>
  <c r="E52" i="1"/>
  <c r="C40" i="6"/>
  <c r="H40" i="6" s="1"/>
  <c r="E28" i="1"/>
  <c r="E27" i="6" s="1"/>
  <c r="C9" i="7"/>
  <c r="E43" i="1"/>
  <c r="E32" i="1"/>
  <c r="C33" i="6"/>
  <c r="H33" i="6" s="1"/>
  <c r="C44" i="6"/>
  <c r="H44" i="6" s="1"/>
  <c r="E35" i="1"/>
  <c r="E9" i="1"/>
  <c r="E49" i="1"/>
  <c r="E40" i="6" s="1"/>
  <c r="C50" i="6"/>
  <c r="H50" i="6" s="1"/>
  <c r="C46" i="7"/>
  <c r="H46" i="7" s="1"/>
  <c r="C19" i="7"/>
  <c r="H19" i="7" s="1"/>
  <c r="C21" i="7"/>
  <c r="E3" i="1"/>
  <c r="E52" i="6" s="1"/>
  <c r="E17" i="6"/>
  <c r="E45" i="6"/>
  <c r="E33" i="6"/>
  <c r="E51" i="6"/>
  <c r="E28" i="6"/>
  <c r="H32" i="7"/>
  <c r="C16" i="6"/>
  <c r="H16" i="6" s="1"/>
  <c r="C25" i="6"/>
  <c r="H25" i="6" s="1"/>
  <c r="H29" i="7"/>
  <c r="H35" i="7"/>
  <c r="C6" i="6"/>
  <c r="H6" i="6" s="1"/>
  <c r="F13" i="7"/>
  <c r="F17" i="7"/>
  <c r="C18" i="6"/>
  <c r="H18" i="6" s="1"/>
  <c r="C3" i="6"/>
  <c r="H3" i="6" s="1"/>
  <c r="H20" i="7"/>
  <c r="C41" i="6"/>
  <c r="H41" i="6" s="1"/>
  <c r="E48" i="1"/>
  <c r="E9" i="14"/>
  <c r="E46" i="1"/>
  <c r="E42" i="1"/>
  <c r="F37" i="7"/>
  <c r="F34" i="7"/>
  <c r="C31" i="6"/>
  <c r="H31" i="6" s="1"/>
  <c r="E7" i="1"/>
  <c r="C11" i="14"/>
  <c r="C17" i="6"/>
  <c r="H17" i="6" s="1"/>
  <c r="E13" i="14"/>
  <c r="C46" i="6"/>
  <c r="H46" i="6" s="1"/>
  <c r="F20" i="7"/>
  <c r="C34" i="6"/>
  <c r="H34" i="6" s="1"/>
  <c r="H39" i="7"/>
  <c r="E23" i="1"/>
  <c r="E50" i="6" s="1"/>
  <c r="H49" i="7"/>
  <c r="H12" i="7"/>
  <c r="H25" i="7"/>
  <c r="E9" i="7"/>
  <c r="E34" i="7"/>
  <c r="E25" i="7"/>
  <c r="E24" i="7"/>
  <c r="H5" i="7"/>
  <c r="E21" i="7"/>
  <c r="E6" i="7"/>
  <c r="H13" i="7"/>
  <c r="E52" i="7"/>
  <c r="E18" i="7"/>
  <c r="E20" i="7"/>
  <c r="E3" i="7"/>
  <c r="E45" i="7"/>
  <c r="E10" i="7"/>
  <c r="H10" i="7"/>
  <c r="E38" i="7"/>
  <c r="H14" i="7"/>
  <c r="H17" i="7"/>
  <c r="E43" i="7"/>
  <c r="E51" i="7"/>
  <c r="E17" i="7"/>
  <c r="H23" i="7"/>
  <c r="H30" i="7"/>
  <c r="E26" i="7"/>
  <c r="E13" i="7"/>
  <c r="E41" i="7"/>
  <c r="E46" i="7"/>
  <c r="H3" i="7"/>
  <c r="H44" i="7"/>
  <c r="H28" i="7"/>
  <c r="H42" i="7"/>
  <c r="H8" i="7"/>
  <c r="H15" i="7"/>
  <c r="E19" i="7"/>
  <c r="H26" i="7"/>
  <c r="H34" i="7"/>
  <c r="H41" i="7"/>
  <c r="H52" i="7"/>
  <c r="H43" i="7"/>
  <c r="H18" i="7"/>
  <c r="H51" i="7"/>
  <c r="H21" i="7"/>
  <c r="E28" i="7"/>
  <c r="H45" i="7"/>
  <c r="E14" i="7"/>
  <c r="E29" i="7"/>
  <c r="E32" i="7"/>
  <c r="E4" i="7"/>
  <c r="H4" i="7"/>
  <c r="E23" i="7"/>
  <c r="H9" i="7"/>
  <c r="E5" i="7"/>
  <c r="E16" i="7"/>
  <c r="H16" i="7"/>
  <c r="E50" i="7"/>
  <c r="H50" i="7"/>
  <c r="E22" i="7"/>
  <c r="E8" i="7"/>
  <c r="E27" i="1"/>
  <c r="E51" i="1"/>
  <c r="E44" i="6" s="1"/>
  <c r="E37" i="7" l="1"/>
  <c r="H7" i="7"/>
  <c r="E14" i="14"/>
  <c r="A34" i="18"/>
  <c r="E10" i="14"/>
  <c r="E12" i="14"/>
  <c r="E11" i="14"/>
  <c r="D14" i="14"/>
  <c r="D13" i="14"/>
  <c r="A34" i="19"/>
  <c r="D12" i="14"/>
  <c r="C10" i="14"/>
  <c r="A34" i="21"/>
  <c r="A34" i="20"/>
  <c r="C9" i="14"/>
  <c r="C14" i="14"/>
  <c r="A34" i="16"/>
  <c r="C13" i="14"/>
  <c r="D9" i="14"/>
  <c r="C12" i="14"/>
  <c r="D10" i="14"/>
  <c r="A34" i="17"/>
  <c r="D11" i="14"/>
  <c r="K48" i="6"/>
  <c r="K35" i="6"/>
  <c r="J15" i="6"/>
  <c r="J48" i="6"/>
  <c r="J41" i="6"/>
  <c r="L5" i="6"/>
  <c r="J24" i="6"/>
  <c r="K7" i="6"/>
  <c r="K46" i="6"/>
  <c r="L24" i="6"/>
  <c r="L18" i="6"/>
  <c r="K12" i="6"/>
  <c r="J39" i="6"/>
  <c r="J21" i="6"/>
  <c r="J6" i="6"/>
  <c r="L39" i="6"/>
  <c r="L12" i="6"/>
  <c r="L51" i="6"/>
  <c r="J45" i="6"/>
  <c r="J51" i="6"/>
  <c r="K24" i="6"/>
  <c r="K39" i="6"/>
  <c r="J14" i="6"/>
  <c r="K51" i="6"/>
  <c r="L46" i="6"/>
  <c r="L52" i="6"/>
  <c r="K38" i="6"/>
  <c r="J38" i="6"/>
  <c r="J46" i="6"/>
  <c r="K52" i="6"/>
  <c r="J26" i="6"/>
  <c r="L30" i="6"/>
  <c r="J52" i="6"/>
  <c r="K31" i="6"/>
  <c r="K45" i="6"/>
  <c r="L38" i="6"/>
  <c r="K36" i="6"/>
  <c r="L45" i="6"/>
  <c r="J12" i="6"/>
  <c r="J49" i="6"/>
  <c r="L15" i="6"/>
  <c r="J19" i="6"/>
  <c r="L48" i="6"/>
  <c r="K15" i="6"/>
  <c r="L10" i="6"/>
  <c r="L14" i="6"/>
  <c r="L49" i="6"/>
  <c r="K14" i="6"/>
  <c r="K30" i="6"/>
  <c r="L35" i="6"/>
  <c r="J47" i="6"/>
  <c r="K47" i="6"/>
  <c r="J35" i="6"/>
  <c r="L31" i="6"/>
  <c r="K18" i="6"/>
  <c r="J31" i="6"/>
  <c r="J18" i="6"/>
  <c r="L47" i="6"/>
  <c r="L4" i="6"/>
  <c r="L8" i="6"/>
  <c r="J17" i="6"/>
  <c r="K6" i="6"/>
  <c r="L25" i="6"/>
  <c r="K41" i="6"/>
  <c r="J10" i="6"/>
  <c r="J8" i="6"/>
  <c r="J27" i="6"/>
  <c r="L27" i="6"/>
  <c r="K8" i="6"/>
  <c r="K17" i="6"/>
  <c r="K26" i="6"/>
  <c r="J36" i="6"/>
  <c r="K21" i="6"/>
  <c r="J5" i="6"/>
  <c r="L16" i="6"/>
  <c r="K40" i="6"/>
  <c r="J43" i="6"/>
  <c r="L43" i="6"/>
  <c r="K43" i="6"/>
  <c r="K34" i="6"/>
  <c r="L41" i="6"/>
  <c r="K13" i="6"/>
  <c r="J13" i="6"/>
  <c r="L17" i="6"/>
  <c r="J22" i="6"/>
  <c r="K32" i="6"/>
  <c r="K10" i="6"/>
  <c r="L3" i="6"/>
  <c r="L7" i="6"/>
  <c r="J30" i="6"/>
  <c r="L22" i="6"/>
  <c r="L29" i="6"/>
  <c r="L20" i="6"/>
  <c r="J20" i="6"/>
  <c r="K20" i="6"/>
  <c r="K49" i="6"/>
  <c r="L6" i="6"/>
  <c r="J28" i="6"/>
  <c r="K28" i="6"/>
  <c r="L28" i="6"/>
  <c r="K22" i="6"/>
  <c r="K3" i="6"/>
  <c r="J32" i="6"/>
  <c r="L36" i="6"/>
  <c r="L26" i="6"/>
  <c r="J3" i="6"/>
  <c r="L34" i="6"/>
  <c r="J7" i="6"/>
  <c r="K16" i="6"/>
  <c r="J16" i="6"/>
  <c r="L13" i="6"/>
  <c r="J34" i="6"/>
  <c r="K29" i="6"/>
  <c r="L23" i="6"/>
  <c r="L32" i="6"/>
  <c r="J29" i="6"/>
  <c r="K23" i="6"/>
  <c r="J23" i="6"/>
  <c r="K4" i="6"/>
  <c r="K27" i="6"/>
  <c r="K5" i="6"/>
  <c r="J37" i="6"/>
  <c r="L37" i="6"/>
  <c r="K37" i="6"/>
  <c r="L50" i="6"/>
  <c r="J50" i="6"/>
  <c r="K50" i="6"/>
  <c r="K33" i="6"/>
  <c r="J33" i="6"/>
  <c r="L33" i="6"/>
  <c r="K9" i="6"/>
  <c r="J9" i="6"/>
  <c r="L9" i="6"/>
  <c r="J25" i="6"/>
  <c r="K25" i="6"/>
  <c r="L19" i="6"/>
  <c r="K19" i="6"/>
  <c r="L40" i="6"/>
  <c r="L21" i="6"/>
  <c r="J11" i="6"/>
  <c r="K11" i="6"/>
  <c r="L11" i="6"/>
  <c r="J4" i="6"/>
  <c r="J40" i="6"/>
  <c r="L44" i="6"/>
  <c r="J44" i="6"/>
  <c r="K44" i="6"/>
  <c r="L42" i="6"/>
  <c r="J42" i="6"/>
  <c r="K42" i="6"/>
  <c r="B14" i="14"/>
  <c r="A21" i="21"/>
  <c r="B13" i="14"/>
  <c r="A21" i="20"/>
  <c r="B12" i="14"/>
  <c r="A21" i="19"/>
  <c r="B9" i="14"/>
  <c r="A21" i="18"/>
  <c r="B11" i="14"/>
  <c r="B10" i="14"/>
  <c r="A21" i="17"/>
  <c r="E33" i="7"/>
  <c r="H33" i="7"/>
  <c r="E47" i="7"/>
  <c r="H47" i="7"/>
  <c r="E48" i="7"/>
  <c r="H48" i="7"/>
  <c r="E36" i="7"/>
  <c r="H36" i="7"/>
  <c r="E31" i="7"/>
  <c r="H31" i="7"/>
  <c r="E27" i="7"/>
  <c r="H27" i="7"/>
  <c r="E40" i="7"/>
  <c r="H40" i="7"/>
</calcChain>
</file>

<file path=xl/comments1.xml><?xml version="1.0" encoding="utf-8"?>
<comments xmlns="http://schemas.openxmlformats.org/spreadsheetml/2006/main">
  <authors>
    <author>ziese</author>
  </authors>
  <commentList>
    <comment ref="H1" authorId="0">
      <text>
        <r>
          <rPr>
            <b/>
            <sz val="8"/>
            <color indexed="81"/>
            <rFont val="Tahoma"/>
            <family val="2"/>
          </rPr>
          <t>ziese:</t>
        </r>
        <r>
          <rPr>
            <sz val="8"/>
            <color indexed="81"/>
            <rFont val="Tahoma"/>
            <family val="2"/>
          </rPr>
          <t xml:space="preserve">
Wenn Gewicht grösser 10g
wird der wert auf Null gesetz</t>
        </r>
      </text>
    </comment>
  </commentList>
</comments>
</file>

<file path=xl/comments2.xml><?xml version="1.0" encoding="utf-8"?>
<comments xmlns="http://schemas.openxmlformats.org/spreadsheetml/2006/main">
  <authors>
    <author>ziese</author>
  </authors>
  <commentList>
    <comment ref="H1" authorId="0">
      <text>
        <r>
          <rPr>
            <b/>
            <sz val="8"/>
            <color indexed="81"/>
            <rFont val="Tahoma"/>
            <family val="2"/>
          </rPr>
          <t>ziese:</t>
        </r>
        <r>
          <rPr>
            <sz val="8"/>
            <color indexed="81"/>
            <rFont val="Tahoma"/>
            <family val="2"/>
          </rPr>
          <t xml:space="preserve">
Wenn Gewicht grösser 10g
wird der wert auf Null gesetz</t>
        </r>
      </text>
    </comment>
  </commentList>
</comments>
</file>

<file path=xl/sharedStrings.xml><?xml version="1.0" encoding="utf-8"?>
<sst xmlns="http://schemas.openxmlformats.org/spreadsheetml/2006/main" count="170" uniqueCount="77">
  <si>
    <t>Nr.</t>
  </si>
  <si>
    <t>dw/mLS</t>
  </si>
  <si>
    <t>documentation</t>
  </si>
  <si>
    <t>[g]</t>
  </si>
  <si>
    <t>[-]</t>
  </si>
  <si>
    <t>mLS</t>
  </si>
  <si>
    <t>deadweight</t>
  </si>
  <si>
    <t>prediction</t>
  </si>
  <si>
    <t>prüfung auf 10g</t>
  </si>
  <si>
    <t>1.Platz</t>
  </si>
  <si>
    <t>2.Platz</t>
  </si>
  <si>
    <t>3.Platz</t>
  </si>
  <si>
    <t>4.Platz</t>
  </si>
  <si>
    <t>5.Platz</t>
  </si>
  <si>
    <t>6.Platz</t>
  </si>
  <si>
    <t xml:space="preserve">  </t>
  </si>
  <si>
    <t>Eigner</t>
  </si>
  <si>
    <t>Organisation</t>
  </si>
  <si>
    <t>Beruf</t>
  </si>
  <si>
    <t>Strasse</t>
  </si>
  <si>
    <t>PLZ</t>
  </si>
  <si>
    <t>Ort</t>
  </si>
  <si>
    <t>Telefon</t>
  </si>
  <si>
    <t>Email</t>
  </si>
  <si>
    <t>SchiffsName</t>
  </si>
  <si>
    <t>Prüfung auf 10g</t>
  </si>
  <si>
    <t>für Auswertung Tabelle</t>
  </si>
  <si>
    <t>Für Ausw. Diagramm dw</t>
  </si>
  <si>
    <t>Für Ausw. Diagramm pred.</t>
  </si>
  <si>
    <t>Platz</t>
  </si>
  <si>
    <t>Name</t>
  </si>
  <si>
    <t>Preis</t>
  </si>
  <si>
    <t>100 Euro</t>
  </si>
  <si>
    <t>Sachpreis</t>
  </si>
  <si>
    <t>Urkunde</t>
  </si>
  <si>
    <t>Prof. Dr.-Ing. Robert Bronsart</t>
  </si>
  <si>
    <t>Erbauer:</t>
  </si>
  <si>
    <t>Schiffsname:</t>
  </si>
  <si>
    <t>Design and Construction</t>
  </si>
  <si>
    <t>500 Euro</t>
  </si>
  <si>
    <t>200 Euro</t>
  </si>
  <si>
    <t>PLATZ</t>
  </si>
  <si>
    <t>Zeit in sec</t>
  </si>
  <si>
    <t>Rang</t>
  </si>
  <si>
    <t>Bilder</t>
  </si>
  <si>
    <t/>
  </si>
  <si>
    <t>NAME</t>
  </si>
  <si>
    <t>ZEIT IN SEC</t>
  </si>
  <si>
    <t>COM-Port</t>
  </si>
  <si>
    <t>State</t>
  </si>
  <si>
    <t>MacroName</t>
  </si>
  <si>
    <t>test</t>
  </si>
  <si>
    <t>Connected</t>
  </si>
  <si>
    <t>Schiffsname</t>
  </si>
  <si>
    <t>Egal</t>
  </si>
  <si>
    <t>Reserve</t>
  </si>
  <si>
    <t>Reserve 1</t>
  </si>
  <si>
    <t>Zeit in Sec</t>
  </si>
  <si>
    <t>Criteria maximum Speed</t>
  </si>
  <si>
    <t>Plazierung - Schnellstes Boot</t>
  </si>
  <si>
    <t>Schnellstes Modellboot
unter Einhaltung aller Bedingungen</t>
  </si>
  <si>
    <t>Paperboat 2.0 eDrive</t>
  </si>
  <si>
    <t>17.Internationaler Wettbewerb</t>
  </si>
  <si>
    <t>Rostock den 07. Mai 2015</t>
  </si>
  <si>
    <t>Zeit</t>
  </si>
  <si>
    <t>Refreshzeit [ms]</t>
  </si>
  <si>
    <t>TEST</t>
  </si>
  <si>
    <t>Schiff 1</t>
  </si>
  <si>
    <t>Schiff 2</t>
  </si>
  <si>
    <t>Schiff 3</t>
  </si>
  <si>
    <t>Johannes Riebe</t>
  </si>
  <si>
    <t>Hannes Neumann
Michael Neumann</t>
  </si>
  <si>
    <t>Martin Eckermann</t>
  </si>
  <si>
    <t>Schiff 4</t>
  </si>
  <si>
    <t>Ulf Cantow</t>
  </si>
  <si>
    <t>9,293 Sekunden</t>
  </si>
  <si>
    <t>4. Platz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</si>
</sst>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#,##0.0"/>
  </numFmts>
  <fonts count="40">
    <font>
      <sz val="10"/>
      <name val="Arial"/>
    </font>
    <font>
      <u/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6"/>
      <color indexed="17"/>
      <name val="Arial"/>
      <family val="2"/>
    </font>
    <font>
      <sz val="8"/>
      <name val="Arial"/>
      <family val="2"/>
    </font>
    <font>
      <sz val="36"/>
      <name val="Arial Narrow"/>
      <family val="2"/>
    </font>
    <font>
      <sz val="14"/>
      <name val="Arial"/>
      <family val="2"/>
    </font>
    <font>
      <sz val="28"/>
      <name val="Arial Narrow"/>
      <family val="2"/>
    </font>
    <font>
      <sz val="16"/>
      <color indexed="56"/>
      <name val="Arial Narrow"/>
      <family val="2"/>
    </font>
    <font>
      <sz val="36"/>
      <color indexed="56"/>
      <name val="Arial Narrow"/>
      <family val="2"/>
    </font>
    <font>
      <sz val="22"/>
      <color indexed="56"/>
      <name val="Charlesworth"/>
      <family val="5"/>
    </font>
    <font>
      <sz val="72"/>
      <color indexed="56"/>
      <name val="Charlesworth"/>
      <family val="5"/>
    </font>
    <font>
      <b/>
      <sz val="22"/>
      <name val="Arial Narrow"/>
      <family val="2"/>
    </font>
    <font>
      <b/>
      <sz val="36"/>
      <name val="Arial Narrow"/>
      <family val="2"/>
    </font>
    <font>
      <b/>
      <sz val="12"/>
      <color indexed="62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22"/>
      <color theme="0"/>
      <name val="Arial"/>
      <family val="2"/>
    </font>
    <font>
      <b/>
      <sz val="36"/>
      <color theme="0"/>
      <name val="Arial"/>
      <family val="2"/>
    </font>
    <font>
      <b/>
      <sz val="72"/>
      <name val="Arial"/>
      <family val="2"/>
    </font>
    <font>
      <b/>
      <sz val="12"/>
      <color rgb="FF000000"/>
      <name val="Arial"/>
      <family val="2"/>
    </font>
    <font>
      <b/>
      <sz val="11"/>
      <name val="Arial"/>
      <family val="2"/>
    </font>
    <font>
      <b/>
      <sz val="12"/>
      <color indexed="18"/>
      <name val="Arial"/>
      <family val="2"/>
    </font>
    <font>
      <sz val="10"/>
      <color rgb="FF003366"/>
      <name val="Arial"/>
      <family val="2"/>
    </font>
    <font>
      <b/>
      <sz val="8"/>
      <color indexed="9"/>
      <name val="Webdings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6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52">
    <xf numFmtId="0" fontId="0" fillId="0" borderId="0" xfId="0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1" applyAlignment="1" applyProtection="1"/>
    <xf numFmtId="2" fontId="0" fillId="0" borderId="0" xfId="0" applyNumberFormat="1"/>
    <xf numFmtId="0" fontId="7" fillId="2" borderId="0" xfId="0" applyFont="1" applyFill="1"/>
    <xf numFmtId="0" fontId="7" fillId="2" borderId="0" xfId="0" applyFont="1" applyFill="1" applyAlignment="1">
      <alignment horizontal="center"/>
    </xf>
    <xf numFmtId="2" fontId="7" fillId="2" borderId="0" xfId="0" applyNumberFormat="1" applyFont="1" applyFill="1"/>
    <xf numFmtId="0" fontId="7" fillId="2" borderId="0" xfId="0" applyNumberFormat="1" applyFont="1" applyFill="1"/>
    <xf numFmtId="0" fontId="0" fillId="0" borderId="0" xfId="0" applyNumberFormat="1"/>
    <xf numFmtId="0" fontId="11" fillId="0" borderId="0" xfId="0" applyFont="1" applyAlignment="1">
      <alignment vertical="top"/>
    </xf>
    <xf numFmtId="0" fontId="9" fillId="2" borderId="2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2" borderId="2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9" fillId="0" borderId="0" xfId="0" applyFont="1" applyAlignment="1">
      <alignment horizontal="center" vertical="top"/>
    </xf>
    <xf numFmtId="0" fontId="0" fillId="0" borderId="0" xfId="0" applyFill="1" applyAlignment="1">
      <alignment vertical="top"/>
    </xf>
    <xf numFmtId="0" fontId="9" fillId="4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8" fillId="2" borderId="2" xfId="0" applyFont="1" applyFill="1" applyBorder="1" applyAlignment="1">
      <alignment vertical="top" wrapText="1"/>
    </xf>
    <xf numFmtId="0" fontId="6" fillId="4" borderId="2" xfId="0" applyFont="1" applyFill="1" applyBorder="1" applyAlignment="1">
      <alignment horizontal="center" vertical="top" wrapText="1"/>
    </xf>
    <xf numFmtId="0" fontId="8" fillId="0" borderId="0" xfId="0" applyFont="1" applyAlignment="1"/>
    <xf numFmtId="0" fontId="0" fillId="0" borderId="2" xfId="0" applyBorder="1" applyAlignment="1">
      <alignment horizontal="center" vertical="top" wrapText="1"/>
    </xf>
    <xf numFmtId="165" fontId="9" fillId="2" borderId="2" xfId="0" applyNumberFormat="1" applyFont="1" applyFill="1" applyBorder="1" applyAlignment="1">
      <alignment horizontal="center" vertical="top" wrapText="1"/>
    </xf>
    <xf numFmtId="0" fontId="9" fillId="0" borderId="0" xfId="0" applyFont="1" applyAlignment="1">
      <alignment horizontal="left" vertical="top" shrinkToFit="1"/>
    </xf>
    <xf numFmtId="0" fontId="9" fillId="2" borderId="2" xfId="0" applyFont="1" applyFill="1" applyBorder="1" applyAlignment="1">
      <alignment horizontal="center" vertical="top" shrinkToFit="1"/>
    </xf>
    <xf numFmtId="0" fontId="0" fillId="0" borderId="2" xfId="0" applyBorder="1" applyAlignment="1">
      <alignment vertical="top" shrinkToFit="1"/>
    </xf>
    <xf numFmtId="0" fontId="0" fillId="0" borderId="0" xfId="0" applyAlignment="1">
      <alignment vertical="top" shrinkToFit="1"/>
    </xf>
    <xf numFmtId="0" fontId="12" fillId="0" borderId="0" xfId="0" applyFont="1" applyAlignment="1">
      <alignment vertical="top"/>
    </xf>
    <xf numFmtId="0" fontId="14" fillId="0" borderId="0" xfId="0" applyFont="1" applyAlignment="1">
      <alignment textRotation="90" wrapText="1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wrapText="1"/>
    </xf>
    <xf numFmtId="0" fontId="7" fillId="2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26" fillId="0" borderId="2" xfId="0" applyFont="1" applyBorder="1" applyAlignment="1">
      <alignment vertical="top" wrapText="1"/>
    </xf>
    <xf numFmtId="0" fontId="26" fillId="0" borderId="0" xfId="0" applyFont="1" applyAlignment="1">
      <alignment vertical="top"/>
    </xf>
    <xf numFmtId="0" fontId="5" fillId="0" borderId="0" xfId="0" applyFont="1"/>
    <xf numFmtId="0" fontId="0" fillId="0" borderId="0" xfId="0" applyAlignment="1">
      <alignment horizontal="center" wrapText="1"/>
    </xf>
    <xf numFmtId="0" fontId="0" fillId="7" borderId="0" xfId="0" applyFill="1" applyProtection="1"/>
    <xf numFmtId="0" fontId="0" fillId="7" borderId="0" xfId="0" applyFill="1" applyBorder="1" applyProtection="1"/>
    <xf numFmtId="0" fontId="5" fillId="7" borderId="0" xfId="0" applyFont="1" applyFill="1" applyProtection="1"/>
    <xf numFmtId="0" fontId="5" fillId="7" borderId="0" xfId="0" applyFont="1" applyFill="1" applyBorder="1" applyProtection="1"/>
    <xf numFmtId="0" fontId="4" fillId="7" borderId="0" xfId="0" applyFont="1" applyFill="1" applyProtection="1"/>
    <xf numFmtId="0" fontId="0" fillId="7" borderId="0" xfId="0" applyFill="1" applyProtection="1">
      <protection locked="0"/>
    </xf>
    <xf numFmtId="0" fontId="0" fillId="0" borderId="0" xfId="0" applyAlignment="1">
      <alignment wrapText="1"/>
    </xf>
    <xf numFmtId="49" fontId="7" fillId="2" borderId="0" xfId="0" applyNumberFormat="1" applyFont="1" applyFill="1"/>
    <xf numFmtId="49" fontId="0" fillId="0" borderId="0" xfId="0" applyNumberForma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0" fillId="0" borderId="0" xfId="0"/>
    <xf numFmtId="0" fontId="0" fillId="0" borderId="0" xfId="0" applyAlignment="1">
      <alignment wrapText="1"/>
    </xf>
    <xf numFmtId="0" fontId="27" fillId="7" borderId="0" xfId="0" applyFont="1" applyFill="1" applyBorder="1" applyProtection="1"/>
    <xf numFmtId="0" fontId="28" fillId="7" borderId="0" xfId="0" applyFont="1" applyFill="1" applyBorder="1" applyProtection="1"/>
    <xf numFmtId="2" fontId="27" fillId="7" borderId="0" xfId="0" applyNumberFormat="1" applyFont="1" applyFill="1" applyBorder="1" applyProtection="1"/>
    <xf numFmtId="49" fontId="28" fillId="7" borderId="0" xfId="0" applyNumberFormat="1" applyFont="1" applyFill="1" applyBorder="1" applyProtection="1"/>
    <xf numFmtId="0" fontId="30" fillId="7" borderId="0" xfId="0" applyFont="1" applyFill="1" applyProtection="1"/>
    <xf numFmtId="0" fontId="30" fillId="7" borderId="0" xfId="0" applyFont="1" applyFill="1" applyAlignment="1" applyProtection="1">
      <alignment horizontal="center"/>
    </xf>
    <xf numFmtId="0" fontId="0" fillId="7" borderId="0" xfId="0" applyFill="1" applyAlignment="1" applyProtection="1">
      <alignment horizontal="center"/>
    </xf>
    <xf numFmtId="0" fontId="4" fillId="7" borderId="0" xfId="0" applyFont="1" applyFill="1" applyAlignment="1" applyProtection="1">
      <alignment horizontal="center"/>
    </xf>
    <xf numFmtId="0" fontId="30" fillId="7" borderId="0" xfId="0" applyFont="1" applyFill="1" applyAlignment="1" applyProtection="1">
      <alignment horizontal="left"/>
    </xf>
    <xf numFmtId="164" fontId="30" fillId="7" borderId="0" xfId="0" applyNumberFormat="1" applyFont="1" applyFill="1" applyAlignment="1" applyProtection="1">
      <alignment horizontal="left"/>
    </xf>
    <xf numFmtId="0" fontId="0" fillId="0" borderId="0" xfId="0"/>
    <xf numFmtId="0" fontId="0" fillId="0" borderId="0" xfId="0"/>
    <xf numFmtId="164" fontId="0" fillId="0" borderId="0" xfId="0" applyNumberFormat="1"/>
    <xf numFmtId="49" fontId="28" fillId="7" borderId="0" xfId="0" applyNumberFormat="1" applyFont="1" applyFill="1" applyBorder="1" applyAlignment="1" applyProtection="1">
      <alignment horizontal="center"/>
    </xf>
    <xf numFmtId="0" fontId="5" fillId="7" borderId="0" xfId="0" applyFont="1" applyFill="1" applyBorder="1" applyAlignment="1" applyProtection="1">
      <alignment horizontal="center"/>
    </xf>
    <xf numFmtId="0" fontId="27" fillId="7" borderId="0" xfId="0" applyFont="1" applyFill="1" applyBorder="1" applyAlignment="1" applyProtection="1">
      <alignment horizontal="center"/>
    </xf>
    <xf numFmtId="0" fontId="28" fillId="7" borderId="0" xfId="0" applyFont="1" applyFill="1" applyBorder="1" applyAlignment="1" applyProtection="1">
      <alignment horizontal="center"/>
    </xf>
    <xf numFmtId="164" fontId="31" fillId="7" borderId="0" xfId="0" applyNumberFormat="1" applyFont="1" applyFill="1" applyAlignment="1" applyProtection="1">
      <alignment horizontal="center"/>
    </xf>
    <xf numFmtId="164" fontId="31" fillId="7" borderId="0" xfId="0" applyNumberFormat="1" applyFont="1" applyFill="1" applyBorder="1" applyAlignment="1" applyProtection="1">
      <alignment horizontal="center"/>
    </xf>
    <xf numFmtId="0" fontId="30" fillId="9" borderId="0" xfId="0" applyFont="1" applyFill="1" applyAlignment="1" applyProtection="1">
      <alignment horizontal="center" vertical="center"/>
    </xf>
    <xf numFmtId="0" fontId="30" fillId="9" borderId="0" xfId="0" applyFont="1" applyFill="1" applyAlignment="1" applyProtection="1">
      <alignment horizontal="left" vertical="center"/>
    </xf>
    <xf numFmtId="0" fontId="0" fillId="9" borderId="0" xfId="0" applyFill="1" applyProtection="1"/>
    <xf numFmtId="164" fontId="30" fillId="9" borderId="0" xfId="0" applyNumberFormat="1" applyFont="1" applyFill="1" applyAlignment="1" applyProtection="1">
      <alignment horizontal="center" vertical="center"/>
    </xf>
    <xf numFmtId="164" fontId="30" fillId="7" borderId="0" xfId="0" applyNumberFormat="1" applyFont="1" applyFill="1" applyAlignment="1" applyProtection="1">
      <alignment horizontal="center"/>
    </xf>
    <xf numFmtId="164" fontId="0" fillId="7" borderId="0" xfId="0" applyNumberFormat="1" applyFill="1" applyAlignment="1" applyProtection="1">
      <alignment horizontal="center"/>
    </xf>
    <xf numFmtId="0" fontId="5" fillId="10" borderId="0" xfId="0" applyFont="1" applyFill="1" applyAlignment="1" applyProtection="1">
      <alignment horizontal="center"/>
    </xf>
    <xf numFmtId="0" fontId="5" fillId="10" borderId="0" xfId="0" applyFont="1" applyFill="1" applyProtection="1"/>
    <xf numFmtId="0" fontId="0" fillId="10" borderId="0" xfId="0" applyFill="1" applyProtection="1"/>
    <xf numFmtId="164" fontId="0" fillId="10" borderId="0" xfId="0" applyNumberFormat="1" applyFill="1" applyAlignment="1" applyProtection="1">
      <alignment horizontal="center"/>
    </xf>
    <xf numFmtId="0" fontId="0" fillId="0" borderId="0" xfId="0"/>
    <xf numFmtId="0" fontId="8" fillId="0" borderId="0" xfId="0" applyFont="1" applyAlignment="1">
      <alignment wrapText="1"/>
    </xf>
    <xf numFmtId="0" fontId="0" fillId="0" borderId="0" xfId="0"/>
    <xf numFmtId="0" fontId="36" fillId="0" borderId="0" xfId="0" applyFont="1"/>
    <xf numFmtId="164" fontId="9" fillId="2" borderId="2" xfId="0" applyNumberFormat="1" applyFont="1" applyFill="1" applyBorder="1" applyAlignment="1">
      <alignment horizontal="center" vertical="top" wrapText="1"/>
    </xf>
    <xf numFmtId="164" fontId="0" fillId="0" borderId="2" xfId="0" applyNumberFormat="1" applyBorder="1" applyAlignment="1">
      <alignment horizontal="center" vertical="top" wrapText="1"/>
    </xf>
    <xf numFmtId="164" fontId="0" fillId="0" borderId="0" xfId="0" applyNumberFormat="1" applyAlignment="1">
      <alignment horizontal="center" vertical="top"/>
    </xf>
    <xf numFmtId="0" fontId="9" fillId="3" borderId="2" xfId="1" applyFont="1" applyFill="1" applyBorder="1" applyAlignment="1" applyProtection="1">
      <alignment vertical="top" wrapText="1"/>
    </xf>
    <xf numFmtId="164" fontId="37" fillId="6" borderId="2" xfId="0" applyNumberFormat="1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vertical="top" wrapText="1"/>
    </xf>
    <xf numFmtId="0" fontId="9" fillId="3" borderId="2" xfId="0" applyFont="1" applyFill="1" applyBorder="1" applyAlignment="1">
      <alignment vertical="top" shrinkToFit="1"/>
    </xf>
    <xf numFmtId="164" fontId="0" fillId="0" borderId="0" xfId="0" applyNumberFormat="1" applyAlignment="1">
      <alignment vertical="top" wrapText="1"/>
    </xf>
    <xf numFmtId="164" fontId="10" fillId="2" borderId="2" xfId="0" applyNumberFormat="1" applyFont="1" applyFill="1" applyBorder="1" applyAlignment="1">
      <alignment horizontal="center" vertical="top" wrapText="1"/>
    </xf>
    <xf numFmtId="164" fontId="6" fillId="5" borderId="2" xfId="0" applyNumberFormat="1" applyFont="1" applyFill="1" applyBorder="1" applyAlignment="1">
      <alignment horizontal="center" vertical="top" wrapText="1"/>
    </xf>
    <xf numFmtId="164" fontId="0" fillId="2" borderId="2" xfId="0" applyNumberFormat="1" applyFill="1" applyBorder="1" applyAlignment="1">
      <alignment horizontal="center" vertical="top" wrapText="1"/>
    </xf>
    <xf numFmtId="0" fontId="8" fillId="0" borderId="0" xfId="0" applyFont="1" applyAlignment="1">
      <alignment wrapText="1"/>
    </xf>
    <xf numFmtId="0" fontId="0" fillId="0" borderId="0" xfId="0"/>
    <xf numFmtId="49" fontId="38" fillId="7" borderId="0" xfId="0" applyNumberFormat="1" applyFont="1" applyFill="1" applyBorder="1" applyAlignment="1" applyProtection="1">
      <alignment horizontal="center"/>
    </xf>
    <xf numFmtId="0" fontId="30" fillId="11" borderId="0" xfId="0" applyFont="1" applyFill="1" applyAlignment="1" applyProtection="1">
      <alignment horizontal="center"/>
    </xf>
    <xf numFmtId="0" fontId="30" fillId="11" borderId="0" xfId="0" applyFont="1" applyFill="1" applyProtection="1"/>
    <xf numFmtId="164" fontId="30" fillId="11" borderId="0" xfId="0" applyNumberFormat="1" applyFont="1" applyFill="1" applyAlignment="1" applyProtection="1">
      <alignment horizontal="left"/>
    </xf>
    <xf numFmtId="164" fontId="30" fillId="11" borderId="0" xfId="0" applyNumberFormat="1" applyFont="1" applyFill="1" applyAlignment="1" applyProtection="1">
      <alignment horizontal="center"/>
    </xf>
    <xf numFmtId="0" fontId="0" fillId="11" borderId="0" xfId="0" applyFill="1" applyProtection="1"/>
    <xf numFmtId="0" fontId="30" fillId="11" borderId="0" xfId="0" applyFont="1" applyFill="1" applyAlignment="1" applyProtection="1">
      <alignment horizontal="left"/>
    </xf>
    <xf numFmtId="164" fontId="31" fillId="11" borderId="0" xfId="0" applyNumberFormat="1" applyFont="1" applyFill="1" applyAlignment="1" applyProtection="1">
      <alignment horizontal="center"/>
    </xf>
    <xf numFmtId="164" fontId="39" fillId="7" borderId="0" xfId="0" applyNumberFormat="1" applyFont="1" applyFill="1" applyBorder="1" applyAlignment="1" applyProtection="1">
      <alignment horizontal="center"/>
      <protection locked="0"/>
    </xf>
    <xf numFmtId="164" fontId="34" fillId="8" borderId="0" xfId="0" applyNumberFormat="1" applyFont="1" applyFill="1" applyAlignment="1" applyProtection="1">
      <alignment horizontal="center" vertical="center"/>
    </xf>
    <xf numFmtId="0" fontId="32" fillId="7" borderId="3" xfId="0" applyFont="1" applyFill="1" applyBorder="1" applyAlignment="1" applyProtection="1">
      <alignment horizontal="center" vertical="center"/>
    </xf>
    <xf numFmtId="0" fontId="32" fillId="7" borderId="4" xfId="0" applyFont="1" applyFill="1" applyBorder="1" applyAlignment="1" applyProtection="1">
      <alignment horizontal="center" vertical="center"/>
    </xf>
    <xf numFmtId="0" fontId="32" fillId="7" borderId="5" xfId="0" applyFont="1" applyFill="1" applyBorder="1" applyAlignment="1" applyProtection="1">
      <alignment horizontal="center" vertical="center"/>
    </xf>
    <xf numFmtId="0" fontId="32" fillId="7" borderId="6" xfId="0" applyFont="1" applyFill="1" applyBorder="1" applyAlignment="1" applyProtection="1">
      <alignment horizontal="center" vertical="center"/>
    </xf>
    <xf numFmtId="0" fontId="32" fillId="7" borderId="1" xfId="0" applyFont="1" applyFill="1" applyBorder="1" applyAlignment="1" applyProtection="1">
      <alignment horizontal="center" vertical="center"/>
    </xf>
    <xf numFmtId="0" fontId="32" fillId="7" borderId="7" xfId="0" applyFont="1" applyFill="1" applyBorder="1" applyAlignment="1" applyProtection="1">
      <alignment horizontal="center" vertical="center"/>
    </xf>
    <xf numFmtId="0" fontId="33" fillId="7" borderId="3" xfId="0" applyFont="1" applyFill="1" applyBorder="1" applyAlignment="1" applyProtection="1">
      <alignment horizontal="center" vertical="center"/>
    </xf>
    <xf numFmtId="0" fontId="33" fillId="7" borderId="4" xfId="0" applyFont="1" applyFill="1" applyBorder="1" applyAlignment="1" applyProtection="1">
      <alignment horizontal="center" vertical="center"/>
    </xf>
    <xf numFmtId="0" fontId="33" fillId="7" borderId="5" xfId="0" applyFont="1" applyFill="1" applyBorder="1" applyAlignment="1" applyProtection="1">
      <alignment horizontal="center" vertical="center"/>
    </xf>
    <xf numFmtId="0" fontId="33" fillId="7" borderId="8" xfId="0" applyFont="1" applyFill="1" applyBorder="1" applyAlignment="1" applyProtection="1">
      <alignment horizontal="center" vertical="center"/>
    </xf>
    <xf numFmtId="0" fontId="33" fillId="7" borderId="0" xfId="0" applyFont="1" applyFill="1" applyBorder="1" applyAlignment="1" applyProtection="1">
      <alignment horizontal="center" vertical="center"/>
    </xf>
    <xf numFmtId="0" fontId="33" fillId="7" borderId="9" xfId="0" applyFont="1" applyFill="1" applyBorder="1" applyAlignment="1" applyProtection="1">
      <alignment horizontal="center" vertical="center"/>
    </xf>
    <xf numFmtId="0" fontId="33" fillId="7" borderId="6" xfId="0" applyFont="1" applyFill="1" applyBorder="1" applyAlignment="1" applyProtection="1">
      <alignment horizontal="center" vertical="center"/>
    </xf>
    <xf numFmtId="0" fontId="33" fillId="7" borderId="1" xfId="0" applyFont="1" applyFill="1" applyBorder="1" applyAlignment="1" applyProtection="1">
      <alignment horizontal="center" vertical="center"/>
    </xf>
    <xf numFmtId="0" fontId="33" fillId="7" borderId="7" xfId="0" applyFont="1" applyFill="1" applyBorder="1" applyAlignment="1" applyProtection="1">
      <alignment horizontal="center" vertical="center"/>
    </xf>
    <xf numFmtId="0" fontId="25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1" fontId="9" fillId="0" borderId="0" xfId="0" applyNumberFormat="1" applyFont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3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0" fontId="23" fillId="0" borderId="0" xfId="0" applyFont="1" applyAlignment="1">
      <alignment horizontal="center" vertical="center" wrapText="1"/>
    </xf>
    <xf numFmtId="1" fontId="18" fillId="0" borderId="0" xfId="0" applyNumberFormat="1" applyFont="1" applyAlignment="1">
      <alignment horizontal="center" vertical="top" wrapText="1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 wrapText="1"/>
    </xf>
    <xf numFmtId="0" fontId="16" fillId="0" borderId="0" xfId="0" applyFont="1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4" fillId="0" borderId="0" xfId="0" applyFont="1" applyAlignment="1">
      <alignment wrapText="1"/>
    </xf>
    <xf numFmtId="0" fontId="17" fillId="0" borderId="0" xfId="0" applyFont="1" applyAlignment="1"/>
    <xf numFmtId="0" fontId="17" fillId="0" borderId="0" xfId="0" applyFont="1" applyAlignment="1">
      <alignment wrapText="1"/>
    </xf>
    <xf numFmtId="1" fontId="16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wrapText="1"/>
    </xf>
    <xf numFmtId="0" fontId="0" fillId="0" borderId="0" xfId="0"/>
    <xf numFmtId="164" fontId="16" fillId="0" borderId="0" xfId="0" applyNumberFormat="1" applyFont="1" applyAlignment="1">
      <alignment horizontal="center" vertical="center" wrapText="1"/>
    </xf>
    <xf numFmtId="0" fontId="5" fillId="0" borderId="0" xfId="0" applyFont="1" applyAlignment="1" applyProtection="1">
      <alignment wrapText="1"/>
      <protection locked="0"/>
    </xf>
  </cellXfs>
  <cellStyles count="2">
    <cellStyle name="Hyperlink" xfId="1" builtinId="8"/>
    <cellStyle name="Standard" xfId="0" builtinId="0"/>
  </cellStyles>
  <dxfs count="0"/>
  <tableStyles count="0" defaultTableStyle="TableStyleMedium9" defaultPivotStyle="PivotStyleLight16"/>
  <colors>
    <mruColors>
      <color rgb="FF0033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0" dropStyle="combo" dx="16" fmlaLink="$U$44" fmlaRange="all_data!$B$3:$B$144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0" dropStyle="combo" dx="16" fmlaLink="$U$1" fmlaRange="all_data!$B$3:$B$5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8</xdr:col>
          <xdr:colOff>742950</xdr:colOff>
          <xdr:row>3</xdr:row>
          <xdr:rowOff>28575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Erfassen&amp;Auswerten 2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</xdr:row>
          <xdr:rowOff>76200</xdr:rowOff>
        </xdr:from>
        <xdr:to>
          <xdr:col>12</xdr:col>
          <xdr:colOff>142875</xdr:colOff>
          <xdr:row>3</xdr:row>
          <xdr:rowOff>47625</xdr:rowOff>
        </xdr:to>
        <xdr:sp macro="" textlink="">
          <xdr:nvSpPr>
            <xdr:cNvPr id="36868" name="Drop Down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1409700</xdr:colOff>
          <xdr:row>0</xdr:row>
          <xdr:rowOff>66675</xdr:rowOff>
        </xdr:from>
        <xdr:to>
          <xdr:col>11</xdr:col>
          <xdr:colOff>485775</xdr:colOff>
          <xdr:row>0</xdr:row>
          <xdr:rowOff>314325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Manuelle Eingabe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57150</xdr:rowOff>
        </xdr:from>
        <xdr:to>
          <xdr:col>13</xdr:col>
          <xdr:colOff>742950</xdr:colOff>
          <xdr:row>0</xdr:row>
          <xdr:rowOff>381000</xdr:rowOff>
        </xdr:to>
        <xdr:sp macro="" textlink="">
          <xdr:nvSpPr>
            <xdr:cNvPr id="4107" name="Drop Dow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0</xdr:row>
          <xdr:rowOff>38100</xdr:rowOff>
        </xdr:from>
        <xdr:to>
          <xdr:col>15</xdr:col>
          <xdr:colOff>457200</xdr:colOff>
          <xdr:row>0</xdr:row>
          <xdr:rowOff>314325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Drucke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190500</xdr:rowOff>
        </xdr:from>
        <xdr:to>
          <xdr:col>4</xdr:col>
          <xdr:colOff>238125</xdr:colOff>
          <xdr:row>55</xdr:row>
          <xdr:rowOff>9525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Connect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(Cell B52)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753894</xdr:colOff>
          <xdr:row>0</xdr:row>
          <xdr:rowOff>49449</xdr:rowOff>
        </xdr:from>
        <xdr:to>
          <xdr:col>10</xdr:col>
          <xdr:colOff>381202</xdr:colOff>
          <xdr:row>0</xdr:row>
          <xdr:rowOff>337834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Messen1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419506</xdr:colOff>
          <xdr:row>0</xdr:row>
          <xdr:rowOff>48639</xdr:rowOff>
        </xdr:from>
        <xdr:to>
          <xdr:col>10</xdr:col>
          <xdr:colOff>1303304</xdr:colOff>
          <xdr:row>0</xdr:row>
          <xdr:rowOff>339658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Messen2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165230</xdr:colOff>
      <xdr:row>27</xdr:row>
      <xdr:rowOff>126352</xdr:rowOff>
    </xdr:from>
    <xdr:to>
      <xdr:col>8</xdr:col>
      <xdr:colOff>311977</xdr:colOff>
      <xdr:row>32</xdr:row>
      <xdr:rowOff>87474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230" y="5851071"/>
          <a:ext cx="6104732" cy="10010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1255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135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146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76200</xdr:rowOff>
    </xdr:from>
    <xdr:to>
      <xdr:col>7</xdr:col>
      <xdr:colOff>619125</xdr:colOff>
      <xdr:row>45</xdr:row>
      <xdr:rowOff>85725</xdr:rowOff>
    </xdr:to>
    <xdr:pic>
      <xdr:nvPicPr>
        <xdr:cNvPr id="156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342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166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176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printerSettings" Target="../printerSettings/printerSettings10.bin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vmlDrawing" Target="../drawings/vmlDrawing4.vml"/><Relationship Id="rId10" Type="http://schemas.openxmlformats.org/officeDocument/2006/relationships/ctrlProp" Target="../ctrlProps/ctrlProp7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>
    <tabColor indexed="12"/>
  </sheetPr>
  <dimension ref="A1:O406"/>
  <sheetViews>
    <sheetView showZeros="0" zoomScaleNormal="100" workbookViewId="0">
      <pane ySplit="1" topLeftCell="A2" activePane="bottomLeft" state="frozen"/>
      <selection pane="bottomLeft" activeCell="F39" sqref="F39"/>
    </sheetView>
  </sheetViews>
  <sheetFormatPr baseColWidth="10" defaultRowHeight="12.75"/>
  <cols>
    <col min="1" max="1" width="5.7109375" customWidth="1"/>
    <col min="2" max="2" width="28.7109375" style="51" customWidth="1"/>
    <col min="3" max="3" width="17.140625" style="1" customWidth="1"/>
    <col min="4" max="4" width="3.140625" style="1" customWidth="1"/>
    <col min="5" max="5" width="3.28515625" style="1" customWidth="1"/>
    <col min="6" max="6" width="13.7109375" style="1" customWidth="1"/>
    <col min="7" max="7" width="6.85546875" style="1" customWidth="1"/>
    <col min="8" max="8" width="30.140625" style="37" customWidth="1"/>
    <col min="9" max="9" width="24.42578125" customWidth="1"/>
    <col min="10" max="10" width="5.140625" customWidth="1"/>
    <col min="11" max="11" width="25.5703125" customWidth="1"/>
    <col min="12" max="12" width="9.85546875" customWidth="1"/>
    <col min="13" max="13" width="16.7109375" customWidth="1"/>
    <col min="14" max="14" width="21" customWidth="1"/>
    <col min="15" max="15" width="35.85546875" customWidth="1"/>
  </cols>
  <sheetData>
    <row r="1" spans="1:15" s="6" customFormat="1" ht="15">
      <c r="A1" s="6" t="s">
        <v>0</v>
      </c>
      <c r="B1" s="50" t="s">
        <v>24</v>
      </c>
      <c r="C1" s="7" t="s">
        <v>56</v>
      </c>
      <c r="D1" s="7" t="s">
        <v>6</v>
      </c>
      <c r="E1" s="7" t="s">
        <v>1</v>
      </c>
      <c r="F1" s="7" t="s">
        <v>55</v>
      </c>
      <c r="G1" s="7" t="s">
        <v>2</v>
      </c>
      <c r="H1" s="36" t="s">
        <v>16</v>
      </c>
      <c r="I1" s="6" t="s">
        <v>17</v>
      </c>
      <c r="J1" s="6" t="s">
        <v>18</v>
      </c>
      <c r="K1" s="6" t="s">
        <v>19</v>
      </c>
      <c r="L1" s="6" t="s">
        <v>20</v>
      </c>
      <c r="M1" s="6" t="s">
        <v>21</v>
      </c>
      <c r="N1" s="6" t="s">
        <v>22</v>
      </c>
      <c r="O1" s="6" t="s">
        <v>23</v>
      </c>
    </row>
    <row r="2" spans="1:15" s="6" customFormat="1" ht="15">
      <c r="B2" s="50"/>
      <c r="C2" s="7"/>
      <c r="D2" s="7" t="s">
        <v>3</v>
      </c>
      <c r="E2" s="7" t="s">
        <v>4</v>
      </c>
      <c r="F2" s="7"/>
      <c r="G2" s="7"/>
      <c r="H2" s="36"/>
    </row>
    <row r="3" spans="1:15">
      <c r="A3" s="1">
        <v>1</v>
      </c>
      <c r="B3" s="52" t="s">
        <v>67</v>
      </c>
      <c r="C3" s="2"/>
      <c r="E3" s="3"/>
      <c r="H3" s="151" t="s">
        <v>70</v>
      </c>
      <c r="K3" s="54"/>
      <c r="O3" s="4"/>
    </row>
    <row r="4" spans="1:15" ht="25.5">
      <c r="A4" s="1">
        <v>2</v>
      </c>
      <c r="B4" s="52" t="s">
        <v>68</v>
      </c>
      <c r="C4" s="2"/>
      <c r="E4" s="3"/>
      <c r="H4" s="151" t="s">
        <v>71</v>
      </c>
      <c r="K4" s="54"/>
    </row>
    <row r="5" spans="1:15">
      <c r="A5" s="1">
        <v>3</v>
      </c>
      <c r="B5" s="52" t="s">
        <v>69</v>
      </c>
      <c r="C5" s="2"/>
      <c r="E5" s="3"/>
      <c r="H5" s="151" t="s">
        <v>72</v>
      </c>
      <c r="K5" s="54"/>
      <c r="O5" s="4"/>
    </row>
    <row r="6" spans="1:15">
      <c r="A6" s="1">
        <v>4</v>
      </c>
      <c r="B6" s="52" t="s">
        <v>73</v>
      </c>
      <c r="C6" s="2"/>
      <c r="E6" s="3"/>
      <c r="H6" s="151" t="s">
        <v>74</v>
      </c>
      <c r="K6" s="54"/>
      <c r="O6" s="54"/>
    </row>
    <row r="7" spans="1:15">
      <c r="A7" s="1">
        <v>5</v>
      </c>
      <c r="C7" s="2"/>
      <c r="E7" s="3"/>
      <c r="K7" s="54"/>
      <c r="O7" s="4"/>
    </row>
    <row r="8" spans="1:15">
      <c r="A8" s="1">
        <v>6</v>
      </c>
      <c r="C8" s="2"/>
      <c r="E8" s="3"/>
    </row>
    <row r="9" spans="1:15">
      <c r="A9" s="1">
        <v>7</v>
      </c>
      <c r="C9" s="2"/>
      <c r="E9" s="3"/>
    </row>
    <row r="10" spans="1:15">
      <c r="A10" s="1">
        <v>8</v>
      </c>
      <c r="C10" s="2"/>
      <c r="E10" s="3"/>
      <c r="K10" s="54"/>
    </row>
    <row r="11" spans="1:15">
      <c r="A11" s="1">
        <v>9</v>
      </c>
      <c r="C11" s="2"/>
      <c r="E11" s="3"/>
      <c r="K11" s="54"/>
      <c r="O11" s="4"/>
    </row>
    <row r="12" spans="1:15">
      <c r="A12" s="1">
        <v>10</v>
      </c>
      <c r="C12" s="2"/>
      <c r="E12" s="3"/>
      <c r="O12" s="4"/>
    </row>
    <row r="13" spans="1:15">
      <c r="A13" s="1">
        <v>11</v>
      </c>
      <c r="C13" s="2"/>
      <c r="E13" s="3"/>
      <c r="O13" s="4"/>
    </row>
    <row r="14" spans="1:15">
      <c r="A14" s="1">
        <v>12</v>
      </c>
      <c r="C14" s="2"/>
      <c r="E14" s="3"/>
      <c r="K14" s="54"/>
      <c r="O14" s="4"/>
    </row>
    <row r="15" spans="1:15">
      <c r="A15" s="1">
        <v>13</v>
      </c>
      <c r="C15" s="2"/>
      <c r="E15" s="3"/>
      <c r="O15" s="4"/>
    </row>
    <row r="16" spans="1:15">
      <c r="A16" s="1">
        <v>14</v>
      </c>
      <c r="C16" s="2"/>
      <c r="E16" s="3"/>
      <c r="K16" s="54"/>
      <c r="O16" s="4"/>
    </row>
    <row r="17" spans="1:15">
      <c r="A17" s="1">
        <v>15</v>
      </c>
      <c r="C17" s="2"/>
      <c r="E17" s="3"/>
      <c r="K17" s="54"/>
    </row>
    <row r="18" spans="1:15">
      <c r="A18" s="1">
        <v>16</v>
      </c>
      <c r="C18" s="2"/>
      <c r="E18" s="3"/>
      <c r="O18" s="4"/>
    </row>
    <row r="19" spans="1:15">
      <c r="A19" s="1">
        <v>17</v>
      </c>
      <c r="C19" s="2"/>
      <c r="E19" s="3"/>
      <c r="K19" s="54"/>
    </row>
    <row r="20" spans="1:15">
      <c r="A20" s="1">
        <v>18</v>
      </c>
      <c r="C20" s="2"/>
      <c r="E20" s="3"/>
      <c r="K20" s="54"/>
      <c r="O20" s="4"/>
    </row>
    <row r="21" spans="1:15">
      <c r="A21" s="1">
        <v>19</v>
      </c>
      <c r="C21" s="2"/>
      <c r="E21" s="3"/>
      <c r="K21" s="54"/>
      <c r="O21" s="4"/>
    </row>
    <row r="22" spans="1:15">
      <c r="A22" s="1">
        <v>20</v>
      </c>
      <c r="C22" s="2"/>
      <c r="E22" s="3"/>
      <c r="O22" s="4"/>
    </row>
    <row r="23" spans="1:15">
      <c r="A23" s="1">
        <v>21</v>
      </c>
      <c r="C23" s="2"/>
      <c r="E23" s="3"/>
      <c r="G23" s="42"/>
      <c r="K23" s="54"/>
      <c r="O23" s="4"/>
    </row>
    <row r="24" spans="1:15">
      <c r="A24" s="1">
        <v>22</v>
      </c>
      <c r="C24" s="2"/>
      <c r="E24" s="3"/>
      <c r="O24" s="4"/>
    </row>
    <row r="25" spans="1:15">
      <c r="A25" s="1">
        <v>23</v>
      </c>
      <c r="C25" s="2"/>
      <c r="E25" s="3"/>
      <c r="K25" s="54"/>
    </row>
    <row r="26" spans="1:15">
      <c r="A26" s="1">
        <v>24</v>
      </c>
      <c r="C26" s="2"/>
      <c r="E26" s="3"/>
      <c r="K26" s="54"/>
      <c r="O26" s="4"/>
    </row>
    <row r="27" spans="1:15">
      <c r="A27" s="1">
        <v>25</v>
      </c>
      <c r="C27" s="2"/>
      <c r="E27" s="3"/>
      <c r="O27" s="4"/>
    </row>
    <row r="28" spans="1:15">
      <c r="A28" s="1">
        <v>26</v>
      </c>
      <c r="C28" s="2"/>
      <c r="E28" s="3"/>
      <c r="K28" s="54"/>
      <c r="O28" s="4"/>
    </row>
    <row r="29" spans="1:15">
      <c r="A29" s="1">
        <v>27</v>
      </c>
      <c r="C29" s="2"/>
      <c r="E29" s="3"/>
      <c r="O29" s="4"/>
    </row>
    <row r="30" spans="1:15">
      <c r="A30" s="1">
        <v>28</v>
      </c>
      <c r="C30" s="2"/>
      <c r="E30" s="3"/>
      <c r="K30" s="54"/>
      <c r="O30" s="4"/>
    </row>
    <row r="31" spans="1:15">
      <c r="A31" s="1">
        <v>29</v>
      </c>
      <c r="C31" s="2"/>
      <c r="E31" s="3"/>
      <c r="K31" s="54"/>
      <c r="O31" s="4"/>
    </row>
    <row r="32" spans="1:15">
      <c r="A32" s="1">
        <v>30</v>
      </c>
      <c r="C32" s="2"/>
      <c r="E32" s="3"/>
      <c r="O32" s="4"/>
    </row>
    <row r="33" spans="1:15">
      <c r="A33" s="1">
        <v>31</v>
      </c>
      <c r="C33" s="2"/>
      <c r="E33" s="3"/>
      <c r="K33" s="54"/>
    </row>
    <row r="34" spans="1:15">
      <c r="A34" s="1">
        <v>32</v>
      </c>
      <c r="C34" s="2"/>
      <c r="E34" s="3"/>
      <c r="K34" s="54"/>
      <c r="O34" s="54"/>
    </row>
    <row r="35" spans="1:15">
      <c r="A35" s="1">
        <v>33</v>
      </c>
      <c r="C35" s="2"/>
      <c r="E35" s="3"/>
      <c r="K35" s="54"/>
      <c r="O35" s="4"/>
    </row>
    <row r="36" spans="1:15">
      <c r="A36" s="1">
        <v>34</v>
      </c>
      <c r="C36" s="2"/>
      <c r="E36" s="3"/>
      <c r="K36" s="41"/>
      <c r="O36" s="4"/>
    </row>
    <row r="37" spans="1:15">
      <c r="A37" s="1">
        <v>35</v>
      </c>
      <c r="C37" s="2"/>
      <c r="E37" s="3"/>
      <c r="K37" s="41"/>
      <c r="O37" s="4"/>
    </row>
    <row r="38" spans="1:15">
      <c r="A38" s="1">
        <v>36</v>
      </c>
      <c r="C38" s="2"/>
      <c r="E38" s="3"/>
      <c r="K38" s="41"/>
      <c r="O38" s="4"/>
    </row>
    <row r="39" spans="1:15">
      <c r="A39" s="1">
        <v>37</v>
      </c>
      <c r="C39" s="2"/>
      <c r="E39" s="3"/>
      <c r="K39" s="53"/>
    </row>
    <row r="40" spans="1:15">
      <c r="A40" s="1">
        <v>38</v>
      </c>
      <c r="C40" s="2"/>
      <c r="E40" s="3"/>
      <c r="K40" s="53"/>
      <c r="O40" s="4"/>
    </row>
    <row r="41" spans="1:15">
      <c r="A41" s="1">
        <v>39</v>
      </c>
      <c r="C41" s="2"/>
      <c r="E41" s="3"/>
      <c r="K41" s="53"/>
    </row>
    <row r="42" spans="1:15">
      <c r="A42" s="1">
        <v>40</v>
      </c>
      <c r="C42" s="2"/>
      <c r="E42" s="3"/>
      <c r="K42" s="53"/>
    </row>
    <row r="43" spans="1:15">
      <c r="A43" s="1">
        <v>41</v>
      </c>
      <c r="C43" s="2"/>
      <c r="E43" s="3"/>
      <c r="K43" s="53"/>
      <c r="O43" s="4"/>
    </row>
    <row r="44" spans="1:15">
      <c r="A44" s="1">
        <v>42</v>
      </c>
      <c r="C44" s="2"/>
      <c r="E44" s="3"/>
      <c r="K44" s="53"/>
      <c r="O44" s="4"/>
    </row>
    <row r="45" spans="1:15">
      <c r="A45" s="1">
        <v>43</v>
      </c>
      <c r="C45" s="2"/>
      <c r="E45" s="3"/>
      <c r="K45" s="53"/>
    </row>
    <row r="46" spans="1:15">
      <c r="A46" s="1">
        <v>44</v>
      </c>
      <c r="C46" s="2"/>
      <c r="E46" s="3"/>
      <c r="K46" s="53"/>
      <c r="O46" s="4"/>
    </row>
    <row r="47" spans="1:15">
      <c r="A47" s="1">
        <v>45</v>
      </c>
      <c r="C47" s="2"/>
      <c r="E47" s="3"/>
      <c r="K47" s="53"/>
    </row>
    <row r="48" spans="1:15">
      <c r="A48" s="1">
        <v>46</v>
      </c>
      <c r="C48" s="2"/>
      <c r="E48" s="3"/>
      <c r="K48" s="53"/>
      <c r="O48" s="4"/>
    </row>
    <row r="49" spans="1:15">
      <c r="A49" s="1">
        <v>47</v>
      </c>
      <c r="C49" s="2"/>
      <c r="D49" s="54"/>
      <c r="E49" s="3"/>
      <c r="K49" s="53"/>
      <c r="O49" s="4"/>
    </row>
    <row r="50" spans="1:15">
      <c r="A50" s="1">
        <v>48</v>
      </c>
      <c r="C50" s="2"/>
      <c r="E50" s="3"/>
      <c r="K50" s="53"/>
      <c r="O50" s="4"/>
    </row>
    <row r="51" spans="1:15">
      <c r="A51" s="1">
        <v>49</v>
      </c>
      <c r="C51" s="2"/>
      <c r="E51" s="3"/>
      <c r="K51" s="53"/>
      <c r="O51" s="4"/>
    </row>
    <row r="52" spans="1:15">
      <c r="A52" s="1">
        <v>50</v>
      </c>
      <c r="C52" s="2"/>
      <c r="E52" s="3"/>
      <c r="K52" s="53"/>
    </row>
    <row r="53" spans="1:15">
      <c r="A53" s="1"/>
      <c r="C53" s="2"/>
      <c r="E53" s="3"/>
      <c r="K53" s="53"/>
    </row>
    <row r="54" spans="1:15">
      <c r="A54" s="1"/>
      <c r="C54" s="2"/>
      <c r="E54" s="3"/>
      <c r="K54" s="53"/>
      <c r="O54" s="4"/>
    </row>
    <row r="55" spans="1:15">
      <c r="A55" s="1"/>
      <c r="C55" s="2"/>
      <c r="E55" s="3"/>
      <c r="K55" s="53"/>
    </row>
    <row r="56" spans="1:15">
      <c r="A56" s="1"/>
      <c r="C56" s="2"/>
      <c r="E56" s="3"/>
      <c r="K56" s="53"/>
      <c r="O56" s="4"/>
    </row>
    <row r="57" spans="1:15">
      <c r="A57" s="1"/>
      <c r="C57" s="2"/>
      <c r="E57" s="3"/>
      <c r="K57" s="53"/>
      <c r="O57" s="54"/>
    </row>
    <row r="58" spans="1:15">
      <c r="A58" s="1"/>
      <c r="C58" s="2"/>
      <c r="E58" s="3"/>
      <c r="K58" s="53"/>
      <c r="O58" s="4"/>
    </row>
    <row r="59" spans="1:15">
      <c r="A59" s="1"/>
      <c r="C59" s="2"/>
      <c r="E59" s="3"/>
      <c r="K59" s="53"/>
      <c r="O59" s="4"/>
    </row>
    <row r="60" spans="1:15">
      <c r="A60" s="1"/>
      <c r="C60" s="2"/>
      <c r="E60" s="3"/>
      <c r="K60" s="53"/>
      <c r="O60" s="4"/>
    </row>
    <row r="61" spans="1:15">
      <c r="A61" s="1"/>
      <c r="C61" s="2"/>
      <c r="E61" s="3"/>
      <c r="K61" s="53"/>
      <c r="O61" s="4"/>
    </row>
    <row r="62" spans="1:15">
      <c r="A62" s="1"/>
      <c r="C62" s="2"/>
      <c r="E62" s="3"/>
      <c r="K62" s="53"/>
    </row>
    <row r="63" spans="1:15">
      <c r="A63" s="1"/>
      <c r="C63" s="2"/>
      <c r="E63" s="3"/>
      <c r="K63" s="53"/>
    </row>
    <row r="64" spans="1:15">
      <c r="A64" s="1"/>
      <c r="C64" s="2"/>
      <c r="E64" s="3"/>
      <c r="K64" s="53"/>
    </row>
    <row r="65" spans="1:15">
      <c r="A65" s="1"/>
      <c r="C65" s="2"/>
      <c r="E65" s="3"/>
      <c r="K65" s="53"/>
      <c r="O65" s="54"/>
    </row>
    <row r="66" spans="1:15">
      <c r="A66" s="1"/>
      <c r="C66" s="2"/>
      <c r="E66" s="3"/>
      <c r="K66" s="53"/>
      <c r="O66" s="4"/>
    </row>
    <row r="67" spans="1:15">
      <c r="A67" s="1"/>
      <c r="C67" s="2"/>
      <c r="E67" s="3"/>
      <c r="K67" s="53"/>
      <c r="O67" s="54"/>
    </row>
    <row r="68" spans="1:15">
      <c r="A68" s="1"/>
      <c r="C68" s="2"/>
      <c r="E68" s="3"/>
      <c r="K68" s="53"/>
      <c r="O68" s="54"/>
    </row>
    <row r="69" spans="1:15">
      <c r="A69" s="1"/>
      <c r="C69" s="2"/>
      <c r="E69" s="3"/>
      <c r="K69" s="53"/>
    </row>
    <row r="70" spans="1:15">
      <c r="A70" s="1"/>
      <c r="C70" s="2"/>
      <c r="E70" s="3"/>
      <c r="K70" s="53"/>
      <c r="O70" s="54"/>
    </row>
    <row r="71" spans="1:15">
      <c r="A71" s="1"/>
      <c r="C71" s="2"/>
      <c r="E71" s="3"/>
      <c r="K71" s="53"/>
    </row>
    <row r="72" spans="1:15">
      <c r="A72" s="1"/>
      <c r="C72" s="2"/>
      <c r="E72" s="3"/>
      <c r="H72" s="38"/>
      <c r="K72" s="53"/>
      <c r="O72" s="54"/>
    </row>
    <row r="73" spans="1:15">
      <c r="A73" s="1"/>
      <c r="C73" s="2"/>
      <c r="E73" s="3"/>
      <c r="K73" s="53"/>
      <c r="O73" s="4"/>
    </row>
    <row r="74" spans="1:15">
      <c r="A74" s="1"/>
      <c r="C74" s="2"/>
      <c r="E74" s="3"/>
      <c r="K74" s="55"/>
      <c r="O74" s="4"/>
    </row>
    <row r="75" spans="1:15">
      <c r="A75" s="1"/>
      <c r="C75" s="2"/>
      <c r="E75" s="3"/>
      <c r="K75" s="49"/>
      <c r="O75" s="4"/>
    </row>
    <row r="76" spans="1:15">
      <c r="A76" s="1"/>
      <c r="C76" s="2"/>
      <c r="E76" s="3"/>
      <c r="K76" s="53"/>
      <c r="O76" s="54"/>
    </row>
    <row r="77" spans="1:15">
      <c r="A77" s="1"/>
      <c r="C77" s="2"/>
      <c r="E77" s="3"/>
      <c r="K77" s="53"/>
    </row>
    <row r="78" spans="1:15">
      <c r="A78" s="1"/>
      <c r="C78" s="2"/>
      <c r="E78" s="3"/>
      <c r="I78" s="54"/>
      <c r="K78" s="53"/>
    </row>
    <row r="79" spans="1:15">
      <c r="A79" s="1"/>
      <c r="C79" s="2"/>
      <c r="E79" s="3"/>
      <c r="I79" s="54"/>
      <c r="K79" s="55"/>
      <c r="O79" s="4"/>
    </row>
    <row r="80" spans="1:15">
      <c r="A80" s="1"/>
      <c r="C80" s="2"/>
      <c r="E80" s="3"/>
      <c r="I80" s="54"/>
      <c r="K80" s="53"/>
    </row>
    <row r="81" spans="1:15">
      <c r="A81" s="1"/>
      <c r="C81" s="2"/>
      <c r="E81" s="3"/>
      <c r="I81" s="54"/>
      <c r="K81" s="53"/>
    </row>
    <row r="82" spans="1:15">
      <c r="A82" s="1"/>
      <c r="C82" s="2"/>
      <c r="E82" s="3"/>
      <c r="K82" s="53"/>
    </row>
    <row r="83" spans="1:15">
      <c r="A83" s="1"/>
      <c r="C83" s="2"/>
      <c r="E83" s="3"/>
      <c r="I83" s="54"/>
      <c r="K83" s="53"/>
    </row>
    <row r="84" spans="1:15">
      <c r="A84" s="1"/>
      <c r="C84" s="2"/>
      <c r="E84" s="3"/>
      <c r="I84" s="54"/>
      <c r="K84" s="55"/>
    </row>
    <row r="85" spans="1:15">
      <c r="A85" s="1"/>
      <c r="C85" s="2"/>
      <c r="E85" s="3"/>
      <c r="K85" s="55"/>
    </row>
    <row r="86" spans="1:15">
      <c r="A86" s="1"/>
      <c r="C86" s="2"/>
      <c r="E86" s="3"/>
      <c r="I86" s="54"/>
      <c r="K86" s="55"/>
    </row>
    <row r="87" spans="1:15">
      <c r="A87" s="1"/>
      <c r="C87" s="2"/>
      <c r="E87" s="3"/>
      <c r="I87" s="54"/>
      <c r="K87" s="55"/>
    </row>
    <row r="88" spans="1:15">
      <c r="A88" s="1"/>
      <c r="C88" s="2"/>
      <c r="E88" s="3"/>
      <c r="K88" s="55"/>
    </row>
    <row r="89" spans="1:15">
      <c r="A89" s="1"/>
      <c r="C89" s="2"/>
      <c r="E89" s="3"/>
      <c r="I89" s="54"/>
      <c r="K89" s="55"/>
    </row>
    <row r="90" spans="1:15">
      <c r="A90" s="1"/>
      <c r="C90" s="2"/>
      <c r="E90" s="3"/>
      <c r="O90" s="54"/>
    </row>
    <row r="91" spans="1:15">
      <c r="A91" s="1"/>
      <c r="C91" s="2"/>
      <c r="E91" s="3"/>
    </row>
    <row r="92" spans="1:15">
      <c r="A92" s="1"/>
      <c r="C92" s="2"/>
      <c r="E92" s="3"/>
      <c r="O92" s="54"/>
    </row>
    <row r="93" spans="1:15">
      <c r="A93" s="1"/>
      <c r="C93" s="2"/>
      <c r="E93" s="3"/>
      <c r="O93" s="54"/>
    </row>
    <row r="94" spans="1:15">
      <c r="A94" s="1"/>
      <c r="C94" s="2"/>
      <c r="E94" s="3"/>
      <c r="K94" s="54"/>
      <c r="O94" s="54"/>
    </row>
    <row r="95" spans="1:15">
      <c r="A95" s="1"/>
      <c r="C95" s="2"/>
      <c r="E95" s="3"/>
    </row>
    <row r="96" spans="1:15">
      <c r="A96" s="1"/>
      <c r="C96" s="2"/>
      <c r="E96" s="3"/>
    </row>
    <row r="97" spans="1:15">
      <c r="A97" s="1"/>
      <c r="C97" s="2"/>
      <c r="E97" s="3"/>
      <c r="O97" s="54"/>
    </row>
    <row r="98" spans="1:15">
      <c r="A98" s="1"/>
      <c r="C98" s="2"/>
      <c r="E98" s="3"/>
      <c r="K98" s="54"/>
    </row>
    <row r="99" spans="1:15">
      <c r="A99" s="1"/>
      <c r="C99" s="2"/>
      <c r="E99" s="3"/>
      <c r="O99" s="54"/>
    </row>
    <row r="100" spans="1:15">
      <c r="A100" s="1"/>
      <c r="C100" s="2"/>
      <c r="E100" s="3"/>
      <c r="O100" s="54"/>
    </row>
    <row r="101" spans="1:15">
      <c r="A101" s="1"/>
      <c r="C101" s="2"/>
      <c r="E101" s="3"/>
      <c r="O101" s="54"/>
    </row>
    <row r="102" spans="1:15">
      <c r="A102" s="1"/>
      <c r="C102" s="2"/>
      <c r="E102" s="3"/>
      <c r="K102" s="55"/>
      <c r="O102" s="54"/>
    </row>
    <row r="103" spans="1:15">
      <c r="A103" s="1"/>
      <c r="C103" s="2"/>
      <c r="E103" s="3"/>
      <c r="K103" s="53"/>
      <c r="O103" s="54"/>
    </row>
    <row r="104" spans="1:15">
      <c r="A104" s="1"/>
      <c r="C104" s="2"/>
      <c r="E104" s="3"/>
    </row>
    <row r="105" spans="1:15">
      <c r="A105" s="1"/>
      <c r="C105" s="2"/>
      <c r="E105" s="3"/>
      <c r="O105" s="54"/>
    </row>
    <row r="106" spans="1:15">
      <c r="A106" s="1"/>
      <c r="C106" s="2"/>
      <c r="E106" s="3"/>
      <c r="O106" s="54"/>
    </row>
    <row r="107" spans="1:15">
      <c r="A107" s="1"/>
      <c r="C107" s="2"/>
      <c r="E107" s="3"/>
      <c r="K107" s="55"/>
      <c r="O107" s="54"/>
    </row>
    <row r="108" spans="1:15">
      <c r="A108" s="1"/>
      <c r="C108" s="2"/>
      <c r="E108" s="3"/>
      <c r="O108" s="54"/>
    </row>
    <row r="109" spans="1:15">
      <c r="A109" s="1"/>
      <c r="C109" s="2"/>
      <c r="E109" s="3"/>
      <c r="O109" s="54"/>
    </row>
    <row r="110" spans="1:15">
      <c r="A110" s="1"/>
      <c r="C110" s="2"/>
      <c r="E110" s="3"/>
    </row>
    <row r="111" spans="1:15">
      <c r="A111" s="1"/>
      <c r="C111" s="2"/>
      <c r="E111" s="3"/>
    </row>
    <row r="112" spans="1:15">
      <c r="A112" s="1"/>
      <c r="C112" s="2"/>
      <c r="E112" s="3"/>
      <c r="H112" s="51"/>
      <c r="I112" s="51"/>
      <c r="K112" s="54"/>
    </row>
    <row r="113" spans="1:15">
      <c r="A113" s="1"/>
      <c r="C113" s="2"/>
      <c r="E113" s="3"/>
      <c r="H113" s="51"/>
      <c r="I113" s="51"/>
    </row>
    <row r="114" spans="1:15">
      <c r="A114" s="1"/>
      <c r="C114" s="2"/>
      <c r="E114" s="3"/>
      <c r="H114" s="51"/>
      <c r="I114" s="51"/>
    </row>
    <row r="115" spans="1:15">
      <c r="A115" s="1"/>
      <c r="C115" s="2"/>
      <c r="E115" s="3"/>
      <c r="H115" s="51"/>
      <c r="I115" s="51"/>
    </row>
    <row r="116" spans="1:15">
      <c r="A116" s="1"/>
      <c r="C116" s="2"/>
      <c r="E116" s="3"/>
      <c r="H116" s="51"/>
      <c r="I116" s="51"/>
    </row>
    <row r="117" spans="1:15">
      <c r="A117" s="1"/>
      <c r="C117" s="2"/>
      <c r="E117" s="3"/>
    </row>
    <row r="118" spans="1:15">
      <c r="A118" s="1"/>
      <c r="C118" s="2"/>
      <c r="E118" s="3"/>
    </row>
    <row r="119" spans="1:15">
      <c r="A119" s="1"/>
      <c r="C119" s="2"/>
      <c r="E119" s="3"/>
    </row>
    <row r="120" spans="1:15">
      <c r="A120" s="1"/>
      <c r="C120" s="2"/>
      <c r="E120" s="3"/>
    </row>
    <row r="121" spans="1:15">
      <c r="A121" s="1"/>
      <c r="C121" s="2"/>
      <c r="E121" s="3"/>
      <c r="K121" s="54"/>
    </row>
    <row r="122" spans="1:15">
      <c r="A122" s="1"/>
      <c r="C122" s="2"/>
      <c r="E122" s="3"/>
    </row>
    <row r="123" spans="1:15">
      <c r="A123" s="1"/>
      <c r="C123" s="2"/>
      <c r="E123" s="3"/>
    </row>
    <row r="124" spans="1:15">
      <c r="A124" s="1"/>
      <c r="C124" s="2"/>
      <c r="E124" s="3"/>
    </row>
    <row r="125" spans="1:15">
      <c r="A125" s="1"/>
      <c r="C125" s="2"/>
      <c r="E125" s="3"/>
    </row>
    <row r="126" spans="1:15">
      <c r="A126" s="1"/>
      <c r="C126" s="2"/>
      <c r="E126" s="3"/>
      <c r="O126" s="4"/>
    </row>
    <row r="127" spans="1:15">
      <c r="A127" s="1"/>
      <c r="B127" s="52"/>
      <c r="C127" s="2"/>
      <c r="E127" s="3"/>
      <c r="K127" s="54"/>
      <c r="O127" s="54"/>
    </row>
    <row r="128" spans="1:15">
      <c r="A128" s="1"/>
      <c r="B128" s="52"/>
      <c r="C128" s="2"/>
      <c r="E128" s="3"/>
    </row>
    <row r="129" spans="1:15">
      <c r="A129" s="1"/>
      <c r="B129" s="52"/>
      <c r="C129" s="2"/>
      <c r="E129" s="3"/>
      <c r="O129" s="54"/>
    </row>
    <row r="130" spans="1:15">
      <c r="A130" s="1"/>
      <c r="B130" s="52"/>
      <c r="C130" s="2"/>
      <c r="E130" s="3"/>
    </row>
    <row r="131" spans="1:15">
      <c r="A131" s="1"/>
      <c r="B131" s="52"/>
      <c r="C131" s="2"/>
      <c r="E131" s="3"/>
      <c r="O131" s="54"/>
    </row>
    <row r="132" spans="1:15">
      <c r="A132" s="1"/>
      <c r="B132" s="52"/>
      <c r="C132" s="2"/>
      <c r="E132" s="3"/>
      <c r="K132" s="54"/>
      <c r="O132" s="54"/>
    </row>
    <row r="133" spans="1:15">
      <c r="A133" s="1"/>
      <c r="B133" s="52"/>
      <c r="C133" s="2"/>
      <c r="E133" s="3"/>
    </row>
    <row r="134" spans="1:15">
      <c r="A134" s="1"/>
      <c r="B134" s="52"/>
      <c r="C134" s="2"/>
      <c r="E134" s="3"/>
    </row>
    <row r="135" spans="1:15">
      <c r="A135" s="1"/>
      <c r="B135" s="52"/>
      <c r="C135" s="2"/>
      <c r="E135" s="3"/>
      <c r="H135" s="51"/>
      <c r="I135" s="51"/>
      <c r="K135" s="54"/>
    </row>
    <row r="136" spans="1:15">
      <c r="A136" s="1"/>
      <c r="B136" s="52"/>
      <c r="C136" s="2"/>
      <c r="E136" s="3"/>
      <c r="H136" s="51"/>
      <c r="I136" s="51"/>
    </row>
    <row r="137" spans="1:15">
      <c r="A137" s="1"/>
      <c r="B137" s="52"/>
      <c r="C137" s="2"/>
      <c r="E137" s="3"/>
      <c r="H137" s="51"/>
      <c r="I137" s="51"/>
    </row>
    <row r="138" spans="1:15">
      <c r="A138" s="1"/>
      <c r="B138" s="52"/>
      <c r="C138" s="2"/>
      <c r="E138" s="3"/>
      <c r="H138" s="51"/>
      <c r="I138" s="51"/>
      <c r="K138" s="54"/>
    </row>
    <row r="139" spans="1:15">
      <c r="A139" s="1"/>
      <c r="C139" s="2"/>
      <c r="E139" s="3"/>
    </row>
    <row r="140" spans="1:15">
      <c r="A140" s="1"/>
      <c r="C140" s="2"/>
      <c r="E140" s="3"/>
    </row>
    <row r="141" spans="1:15">
      <c r="A141" s="1"/>
      <c r="C141" s="2"/>
      <c r="E141" s="3"/>
    </row>
    <row r="142" spans="1:15">
      <c r="A142" s="1"/>
      <c r="C142" s="2"/>
      <c r="E142" s="3"/>
    </row>
    <row r="143" spans="1:15">
      <c r="A143" s="1"/>
      <c r="C143" s="2"/>
      <c r="E143" s="3"/>
    </row>
    <row r="144" spans="1:15">
      <c r="A144" s="1"/>
      <c r="C144" s="2"/>
      <c r="E144" s="3"/>
    </row>
    <row r="145" spans="1:5">
      <c r="A145" s="1"/>
      <c r="C145" s="2"/>
      <c r="E145" s="3"/>
    </row>
    <row r="146" spans="1:5">
      <c r="A146" s="1"/>
      <c r="C146" s="2"/>
      <c r="E146" s="3"/>
    </row>
    <row r="147" spans="1:5">
      <c r="A147" s="1"/>
      <c r="C147" s="2"/>
      <c r="E147" s="3"/>
    </row>
    <row r="148" spans="1:5">
      <c r="A148" s="1"/>
      <c r="C148" s="2"/>
      <c r="E148" s="3"/>
    </row>
    <row r="149" spans="1:5">
      <c r="A149" s="1"/>
      <c r="C149" s="2"/>
      <c r="E149" s="3"/>
    </row>
    <row r="150" spans="1:5">
      <c r="A150" s="1"/>
      <c r="C150" s="2"/>
      <c r="E150" s="3"/>
    </row>
    <row r="151" spans="1:5">
      <c r="A151" s="1"/>
      <c r="C151" s="2"/>
      <c r="E151" s="3"/>
    </row>
    <row r="152" spans="1:5">
      <c r="A152" s="1"/>
      <c r="C152" s="2"/>
      <c r="E152" s="3"/>
    </row>
    <row r="153" spans="1:5">
      <c r="A153" s="1"/>
      <c r="C153" s="2"/>
      <c r="E153" s="3"/>
    </row>
    <row r="154" spans="1:5">
      <c r="A154" s="1"/>
      <c r="C154" s="2"/>
      <c r="E154" s="3"/>
    </row>
    <row r="155" spans="1:5">
      <c r="A155" s="1"/>
      <c r="C155" s="2"/>
      <c r="E155" s="3"/>
    </row>
    <row r="156" spans="1:5">
      <c r="A156" s="1"/>
      <c r="C156" s="2"/>
      <c r="E156" s="3"/>
    </row>
    <row r="157" spans="1:5">
      <c r="A157" s="1"/>
      <c r="C157" s="2"/>
      <c r="E157" s="3"/>
    </row>
    <row r="158" spans="1:5">
      <c r="A158" s="1"/>
      <c r="C158" s="2"/>
      <c r="E158" s="3"/>
    </row>
    <row r="159" spans="1:5">
      <c r="A159" s="1"/>
      <c r="C159" s="2"/>
      <c r="E159" s="3"/>
    </row>
    <row r="160" spans="1:5">
      <c r="A160" s="1"/>
      <c r="C160" s="2"/>
      <c r="E160" s="3"/>
    </row>
    <row r="161" spans="1:5">
      <c r="A161" s="1"/>
      <c r="C161" s="2"/>
      <c r="E161" s="3"/>
    </row>
    <row r="162" spans="1:5">
      <c r="A162" s="1"/>
      <c r="C162" s="2"/>
      <c r="E162" s="3"/>
    </row>
    <row r="163" spans="1:5">
      <c r="A163" s="1"/>
      <c r="C163" s="2"/>
      <c r="E163" s="3"/>
    </row>
    <row r="164" spans="1:5">
      <c r="A164" s="1"/>
      <c r="C164" s="2"/>
      <c r="E164" s="3"/>
    </row>
    <row r="165" spans="1:5">
      <c r="A165" s="1"/>
      <c r="C165" s="2"/>
      <c r="E165" s="3"/>
    </row>
    <row r="166" spans="1:5">
      <c r="A166" s="1"/>
      <c r="C166" s="2"/>
      <c r="E166" s="3"/>
    </row>
    <row r="167" spans="1:5">
      <c r="A167" s="1"/>
      <c r="C167" s="2"/>
      <c r="E167" s="3"/>
    </row>
    <row r="168" spans="1:5">
      <c r="A168" s="1"/>
      <c r="C168" s="2"/>
      <c r="E168" s="3"/>
    </row>
    <row r="169" spans="1:5">
      <c r="A169" s="1"/>
      <c r="C169" s="2"/>
      <c r="E169" s="3"/>
    </row>
    <row r="170" spans="1:5">
      <c r="A170" s="1"/>
      <c r="C170" s="2"/>
      <c r="E170" s="3"/>
    </row>
    <row r="171" spans="1:5">
      <c r="A171" s="1"/>
      <c r="C171" s="2"/>
      <c r="E171" s="3"/>
    </row>
    <row r="172" spans="1:5">
      <c r="A172" s="1"/>
      <c r="C172" s="2"/>
      <c r="E172" s="3"/>
    </row>
    <row r="173" spans="1:5">
      <c r="A173" s="1"/>
      <c r="C173" s="2"/>
      <c r="E173" s="3"/>
    </row>
    <row r="174" spans="1:5">
      <c r="A174" s="1"/>
      <c r="C174" s="2"/>
      <c r="E174" s="3"/>
    </row>
    <row r="175" spans="1:5">
      <c r="A175" s="1"/>
      <c r="C175" s="2"/>
      <c r="E175" s="3"/>
    </row>
    <row r="176" spans="1:5">
      <c r="A176" s="1"/>
      <c r="C176" s="2"/>
      <c r="E176" s="3"/>
    </row>
    <row r="177" spans="1:15">
      <c r="A177" s="1"/>
      <c r="C177" s="2"/>
      <c r="E177" s="3"/>
    </row>
    <row r="178" spans="1:15">
      <c r="A178" s="1"/>
      <c r="C178" s="2"/>
      <c r="E178" s="3"/>
    </row>
    <row r="179" spans="1:15">
      <c r="A179" s="1"/>
      <c r="C179" s="2"/>
      <c r="E179" s="3"/>
    </row>
    <row r="180" spans="1:15">
      <c r="A180" s="1"/>
      <c r="C180" s="2"/>
      <c r="E180" s="3"/>
    </row>
    <row r="181" spans="1:15">
      <c r="A181" s="1"/>
      <c r="C181" s="2"/>
      <c r="E181" s="3"/>
    </row>
    <row r="182" spans="1:15">
      <c r="A182" s="1"/>
      <c r="C182" s="2"/>
      <c r="E182" s="3"/>
    </row>
    <row r="183" spans="1:15">
      <c r="A183" s="1"/>
      <c r="C183" s="2"/>
      <c r="E183" s="3"/>
    </row>
    <row r="184" spans="1:15">
      <c r="A184" s="1"/>
      <c r="C184" s="2"/>
      <c r="E184" s="3"/>
    </row>
    <row r="185" spans="1:15">
      <c r="A185" s="1"/>
      <c r="C185" s="2"/>
      <c r="E185" s="3"/>
    </row>
    <row r="186" spans="1:15">
      <c r="A186" s="1"/>
      <c r="C186" s="2"/>
      <c r="E186" s="3"/>
    </row>
    <row r="187" spans="1:15">
      <c r="A187" s="1"/>
      <c r="C187" s="2"/>
      <c r="E187" s="3"/>
      <c r="K187" s="49"/>
    </row>
    <row r="188" spans="1:15">
      <c r="A188" s="1"/>
      <c r="C188" s="2"/>
      <c r="E188" s="3"/>
      <c r="K188" s="49"/>
    </row>
    <row r="189" spans="1:15">
      <c r="A189" s="1"/>
      <c r="C189" s="2"/>
      <c r="E189" s="3"/>
      <c r="K189" s="49"/>
    </row>
    <row r="190" spans="1:15">
      <c r="A190" s="1"/>
      <c r="C190" s="2"/>
      <c r="E190" s="3"/>
    </row>
    <row r="191" spans="1:15">
      <c r="A191" s="1"/>
      <c r="C191" s="2"/>
      <c r="E191" s="3"/>
      <c r="K191" s="49"/>
      <c r="O191" s="4"/>
    </row>
    <row r="192" spans="1:15">
      <c r="A192" s="1"/>
      <c r="C192" s="2"/>
      <c r="E192" s="3"/>
    </row>
    <row r="193" spans="1:11">
      <c r="A193" s="1"/>
      <c r="C193" s="2"/>
      <c r="E193" s="3"/>
      <c r="K193" s="49"/>
    </row>
    <row r="194" spans="1:11">
      <c r="A194" s="1"/>
      <c r="C194" s="2"/>
      <c r="E194" s="3"/>
    </row>
    <row r="195" spans="1:11">
      <c r="A195" s="1"/>
      <c r="C195" s="2"/>
      <c r="E195" s="3"/>
      <c r="K195" s="49"/>
    </row>
    <row r="196" spans="1:11">
      <c r="A196" s="1"/>
      <c r="C196" s="2"/>
      <c r="E196" s="3"/>
      <c r="K196" s="49"/>
    </row>
    <row r="197" spans="1:11">
      <c r="A197" s="1"/>
      <c r="C197" s="2"/>
      <c r="E197" s="3"/>
    </row>
    <row r="198" spans="1:11">
      <c r="A198" s="1"/>
      <c r="C198" s="2"/>
      <c r="E198" s="3"/>
      <c r="K198" s="49"/>
    </row>
    <row r="199" spans="1:11">
      <c r="A199" s="1"/>
      <c r="C199" s="2"/>
      <c r="E199" s="3"/>
      <c r="K199" s="49"/>
    </row>
    <row r="200" spans="1:11">
      <c r="A200" s="1"/>
      <c r="C200" s="2"/>
      <c r="E200" s="3"/>
      <c r="K200" s="49"/>
    </row>
    <row r="201" spans="1:11">
      <c r="A201" s="1"/>
      <c r="C201" s="2"/>
      <c r="E201" s="3"/>
      <c r="K201" s="49"/>
    </row>
    <row r="202" spans="1:11">
      <c r="A202" s="1"/>
      <c r="C202" s="2"/>
      <c r="E202" s="3"/>
      <c r="K202" s="49"/>
    </row>
    <row r="203" spans="1:11">
      <c r="A203" s="1"/>
      <c r="C203" s="2"/>
      <c r="E203" s="3"/>
      <c r="K203" s="49"/>
    </row>
    <row r="204" spans="1:11">
      <c r="A204" s="1"/>
      <c r="C204" s="2"/>
      <c r="E204" s="3"/>
      <c r="K204" s="49"/>
    </row>
    <row r="205" spans="1:11">
      <c r="A205" s="1"/>
      <c r="C205" s="2"/>
      <c r="E205" s="3"/>
      <c r="K205" s="49"/>
    </row>
    <row r="206" spans="1:11">
      <c r="A206" s="1"/>
      <c r="C206" s="2"/>
      <c r="E206" s="3"/>
      <c r="K206" s="49"/>
    </row>
    <row r="207" spans="1:11">
      <c r="A207" s="1"/>
      <c r="C207" s="2"/>
      <c r="E207" s="3"/>
      <c r="K207" s="49"/>
    </row>
    <row r="208" spans="1:11">
      <c r="A208" s="1"/>
      <c r="C208" s="2"/>
      <c r="E208" s="3"/>
      <c r="K208" s="49"/>
    </row>
    <row r="209" spans="1:11">
      <c r="A209" s="1"/>
      <c r="C209" s="2"/>
      <c r="E209" s="3"/>
      <c r="K209" s="49"/>
    </row>
    <row r="210" spans="1:11">
      <c r="A210" s="1"/>
      <c r="C210" s="2"/>
      <c r="E210" s="3"/>
    </row>
    <row r="211" spans="1:11">
      <c r="A211" s="1"/>
      <c r="C211" s="2"/>
      <c r="E211" s="3"/>
    </row>
    <row r="212" spans="1:11">
      <c r="A212" s="1"/>
      <c r="C212" s="2"/>
      <c r="E212" s="3"/>
    </row>
    <row r="213" spans="1:11">
      <c r="A213" s="1"/>
      <c r="C213" s="2"/>
      <c r="E213" s="3"/>
    </row>
    <row r="214" spans="1:11">
      <c r="A214" s="1"/>
      <c r="C214" s="2"/>
      <c r="E214" s="3"/>
    </row>
    <row r="215" spans="1:11">
      <c r="A215" s="1"/>
      <c r="C215" s="2"/>
      <c r="E215" s="3"/>
    </row>
    <row r="216" spans="1:11">
      <c r="A216" s="1"/>
      <c r="C216" s="2"/>
      <c r="E216" s="3"/>
    </row>
    <row r="217" spans="1:11">
      <c r="A217" s="1"/>
      <c r="C217" s="2"/>
      <c r="E217" s="3"/>
    </row>
    <row r="218" spans="1:11">
      <c r="A218" s="1"/>
      <c r="C218" s="2"/>
      <c r="E218" s="3"/>
    </row>
    <row r="219" spans="1:11">
      <c r="A219" s="1"/>
      <c r="C219" s="2"/>
      <c r="E219" s="3"/>
    </row>
    <row r="220" spans="1:11">
      <c r="A220" s="1"/>
      <c r="C220" s="2"/>
      <c r="E220" s="3"/>
    </row>
    <row r="221" spans="1:11">
      <c r="A221" s="1"/>
      <c r="C221" s="2"/>
      <c r="E221" s="3"/>
    </row>
    <row r="222" spans="1:11">
      <c r="A222" s="1"/>
      <c r="C222" s="2"/>
      <c r="E222" s="3"/>
    </row>
    <row r="223" spans="1:11">
      <c r="A223" s="1"/>
      <c r="C223" s="2"/>
      <c r="E223" s="3"/>
    </row>
    <row r="224" spans="1:11">
      <c r="A224" s="1"/>
      <c r="C224" s="2"/>
      <c r="E224" s="3"/>
    </row>
    <row r="225" spans="1:5">
      <c r="A225" s="1"/>
      <c r="C225" s="2"/>
      <c r="E225" s="3"/>
    </row>
    <row r="226" spans="1:5">
      <c r="A226" s="1"/>
      <c r="C226" s="2"/>
      <c r="E226" s="3"/>
    </row>
    <row r="227" spans="1:5">
      <c r="A227" s="1"/>
      <c r="C227" s="2"/>
      <c r="E227" s="3"/>
    </row>
    <row r="228" spans="1:5">
      <c r="A228" s="1"/>
      <c r="C228" s="2"/>
      <c r="E228" s="3"/>
    </row>
    <row r="229" spans="1:5">
      <c r="A229" s="1"/>
      <c r="C229" s="2"/>
      <c r="E229" s="3"/>
    </row>
    <row r="230" spans="1:5">
      <c r="A230" s="1"/>
      <c r="C230" s="2"/>
      <c r="E230" s="3"/>
    </row>
    <row r="231" spans="1:5">
      <c r="A231" s="1"/>
      <c r="C231" s="2"/>
      <c r="E231" s="3"/>
    </row>
    <row r="232" spans="1:5">
      <c r="A232" s="1"/>
      <c r="C232" s="2"/>
      <c r="E232" s="3"/>
    </row>
    <row r="233" spans="1:5">
      <c r="A233" s="1"/>
      <c r="C233" s="2"/>
      <c r="E233" s="3"/>
    </row>
    <row r="234" spans="1:5">
      <c r="A234" s="1"/>
      <c r="C234" s="2"/>
      <c r="E234" s="3"/>
    </row>
    <row r="235" spans="1:5">
      <c r="A235" s="1"/>
      <c r="C235" s="2"/>
      <c r="E235" s="3"/>
    </row>
    <row r="236" spans="1:5">
      <c r="A236" s="1"/>
      <c r="C236" s="2"/>
      <c r="E236" s="3"/>
    </row>
    <row r="237" spans="1:5">
      <c r="A237" s="1"/>
      <c r="C237" s="2"/>
      <c r="E237" s="3"/>
    </row>
    <row r="238" spans="1:5">
      <c r="A238" s="1"/>
      <c r="C238" s="2"/>
      <c r="E238" s="3"/>
    </row>
    <row r="239" spans="1:5">
      <c r="A239" s="1"/>
      <c r="C239" s="2"/>
      <c r="E239" s="3"/>
    </row>
    <row r="240" spans="1:5">
      <c r="A240" s="1"/>
      <c r="C240" s="2"/>
      <c r="E240" s="3"/>
    </row>
    <row r="241" spans="1:5">
      <c r="A241" s="1"/>
      <c r="C241" s="2"/>
      <c r="E241" s="3"/>
    </row>
    <row r="242" spans="1:5">
      <c r="A242" s="1"/>
      <c r="C242" s="2"/>
      <c r="E242" s="3"/>
    </row>
    <row r="243" spans="1:5">
      <c r="A243" s="1"/>
      <c r="C243" s="2"/>
      <c r="E243" s="3"/>
    </row>
    <row r="244" spans="1:5">
      <c r="A244" s="1"/>
      <c r="C244" s="2"/>
      <c r="E244" s="3"/>
    </row>
    <row r="245" spans="1:5">
      <c r="A245" s="1"/>
      <c r="C245" s="2"/>
      <c r="E245" s="3"/>
    </row>
    <row r="246" spans="1:5">
      <c r="A246" s="1"/>
      <c r="C246" s="2"/>
      <c r="E246" s="3"/>
    </row>
    <row r="247" spans="1:5">
      <c r="A247" s="1"/>
      <c r="C247" s="2"/>
      <c r="E247" s="3"/>
    </row>
    <row r="248" spans="1:5">
      <c r="A248" s="1"/>
      <c r="C248" s="2"/>
      <c r="E248" s="3"/>
    </row>
    <row r="249" spans="1:5">
      <c r="A249" s="1"/>
      <c r="C249" s="2"/>
      <c r="E249" s="3"/>
    </row>
    <row r="250" spans="1:5">
      <c r="A250" s="1"/>
      <c r="C250" s="2"/>
      <c r="E250" s="3"/>
    </row>
    <row r="251" spans="1:5">
      <c r="A251" s="1"/>
      <c r="C251" s="2"/>
      <c r="E251" s="3"/>
    </row>
    <row r="252" spans="1:5">
      <c r="A252" s="1"/>
      <c r="C252" s="2"/>
      <c r="E252" s="3"/>
    </row>
    <row r="253" spans="1:5">
      <c r="A253" s="1"/>
      <c r="C253" s="2"/>
      <c r="E253" s="3"/>
    </row>
    <row r="254" spans="1:5">
      <c r="A254" s="1"/>
      <c r="C254" s="2"/>
      <c r="E254" s="3"/>
    </row>
    <row r="255" spans="1:5">
      <c r="A255" s="1"/>
      <c r="C255" s="2"/>
      <c r="E255" s="3"/>
    </row>
    <row r="256" spans="1:5">
      <c r="A256" s="1"/>
      <c r="C256" s="2"/>
      <c r="E256" s="3"/>
    </row>
    <row r="257" spans="1:5">
      <c r="A257" s="1"/>
      <c r="C257" s="2"/>
      <c r="E257" s="3"/>
    </row>
    <row r="258" spans="1:5">
      <c r="A258" s="1"/>
      <c r="C258" s="2"/>
      <c r="E258" s="3"/>
    </row>
    <row r="259" spans="1:5">
      <c r="A259" s="1"/>
      <c r="C259" s="2"/>
      <c r="E259" s="3"/>
    </row>
    <row r="260" spans="1:5">
      <c r="A260" s="1"/>
      <c r="C260" s="2"/>
      <c r="E260" s="3"/>
    </row>
    <row r="261" spans="1:5">
      <c r="A261" s="1"/>
      <c r="C261" s="2"/>
      <c r="E261" s="3"/>
    </row>
    <row r="262" spans="1:5">
      <c r="A262" s="1"/>
      <c r="C262" s="2"/>
      <c r="E262" s="3"/>
    </row>
    <row r="263" spans="1:5">
      <c r="A263" s="1"/>
      <c r="C263" s="2"/>
      <c r="E263" s="3"/>
    </row>
    <row r="264" spans="1:5">
      <c r="A264" s="1"/>
      <c r="C264" s="2"/>
      <c r="E264" s="3"/>
    </row>
    <row r="265" spans="1:5">
      <c r="A265" s="1"/>
      <c r="C265" s="2"/>
      <c r="E265" s="3"/>
    </row>
    <row r="266" spans="1:5">
      <c r="A266" s="1"/>
      <c r="C266" s="2"/>
      <c r="E266" s="3"/>
    </row>
    <row r="267" spans="1:5">
      <c r="A267" s="1"/>
      <c r="C267" s="2"/>
      <c r="E267" s="3"/>
    </row>
    <row r="268" spans="1:5">
      <c r="A268" s="1"/>
      <c r="C268" s="2"/>
      <c r="E268" s="3"/>
    </row>
    <row r="269" spans="1:5">
      <c r="A269" s="1"/>
      <c r="C269" s="2"/>
      <c r="E269" s="3"/>
    </row>
    <row r="270" spans="1:5">
      <c r="A270" s="1"/>
      <c r="C270" s="2"/>
      <c r="E270" s="3"/>
    </row>
    <row r="271" spans="1:5">
      <c r="A271" s="1"/>
      <c r="C271" s="2"/>
      <c r="E271" s="3"/>
    </row>
    <row r="272" spans="1:5">
      <c r="A272" s="1"/>
      <c r="C272" s="2"/>
      <c r="E272" s="3"/>
    </row>
    <row r="273" spans="1:5">
      <c r="A273" s="1"/>
      <c r="C273" s="2"/>
      <c r="E273" s="3"/>
    </row>
    <row r="274" spans="1:5">
      <c r="A274" s="1"/>
      <c r="C274" s="2"/>
      <c r="E274" s="3"/>
    </row>
    <row r="275" spans="1:5">
      <c r="A275" s="1"/>
      <c r="C275" s="2"/>
      <c r="E275" s="3"/>
    </row>
    <row r="276" spans="1:5">
      <c r="A276" s="1"/>
      <c r="C276" s="2"/>
      <c r="E276" s="3"/>
    </row>
    <row r="277" spans="1:5">
      <c r="A277" s="1"/>
      <c r="C277" s="2"/>
      <c r="E277" s="3"/>
    </row>
    <row r="278" spans="1:5">
      <c r="A278" s="1"/>
      <c r="C278" s="2"/>
      <c r="E278" s="3"/>
    </row>
    <row r="279" spans="1:5">
      <c r="A279" s="1"/>
      <c r="C279" s="2"/>
      <c r="E279" s="3"/>
    </row>
    <row r="280" spans="1:5">
      <c r="A280" s="1"/>
      <c r="C280" s="2"/>
      <c r="E280" s="3"/>
    </row>
    <row r="281" spans="1:5">
      <c r="A281" s="1"/>
      <c r="C281" s="2"/>
      <c r="E281" s="3"/>
    </row>
    <row r="282" spans="1:5">
      <c r="A282" s="1"/>
      <c r="C282" s="2"/>
      <c r="E282" s="3"/>
    </row>
    <row r="283" spans="1:5">
      <c r="A283" s="1"/>
      <c r="C283" s="2"/>
      <c r="E283" s="3"/>
    </row>
    <row r="284" spans="1:5">
      <c r="A284" s="1"/>
      <c r="C284" s="2"/>
      <c r="E284" s="3"/>
    </row>
    <row r="285" spans="1:5">
      <c r="A285" s="1"/>
      <c r="C285" s="2"/>
      <c r="E285" s="3"/>
    </row>
    <row r="286" spans="1:5">
      <c r="A286" s="1"/>
      <c r="C286" s="2"/>
      <c r="E286" s="3"/>
    </row>
    <row r="287" spans="1:5">
      <c r="A287" s="1"/>
      <c r="C287" s="2"/>
      <c r="E287" s="3"/>
    </row>
    <row r="288" spans="1:5">
      <c r="A288" s="1"/>
      <c r="C288" s="2"/>
      <c r="E288" s="3"/>
    </row>
    <row r="289" spans="1:5">
      <c r="A289" s="1"/>
      <c r="C289" s="2"/>
      <c r="E289" s="3"/>
    </row>
    <row r="290" spans="1:5">
      <c r="A290" s="1"/>
      <c r="C290" s="2"/>
      <c r="E290" s="3"/>
    </row>
    <row r="291" spans="1:5">
      <c r="A291" s="1"/>
      <c r="C291" s="2"/>
      <c r="E291" s="3"/>
    </row>
    <row r="292" spans="1:5">
      <c r="A292" s="1"/>
      <c r="C292" s="2"/>
      <c r="E292" s="3"/>
    </row>
    <row r="293" spans="1:5">
      <c r="A293" s="1"/>
      <c r="C293" s="2"/>
      <c r="E293" s="3"/>
    </row>
    <row r="294" spans="1:5">
      <c r="A294" s="1"/>
      <c r="C294" s="2"/>
      <c r="E294" s="3"/>
    </row>
    <row r="295" spans="1:5">
      <c r="A295" s="1"/>
      <c r="C295" s="2"/>
      <c r="E295" s="3"/>
    </row>
    <row r="296" spans="1:5">
      <c r="A296" s="1"/>
      <c r="C296" s="2"/>
      <c r="E296" s="3"/>
    </row>
    <row r="297" spans="1:5">
      <c r="A297" s="1"/>
      <c r="C297" s="2"/>
      <c r="E297" s="3"/>
    </row>
    <row r="298" spans="1:5">
      <c r="A298" s="1"/>
      <c r="C298" s="2"/>
      <c r="E298" s="3"/>
    </row>
    <row r="299" spans="1:5">
      <c r="A299" s="1"/>
      <c r="C299" s="2"/>
      <c r="E299" s="3"/>
    </row>
    <row r="300" spans="1:5">
      <c r="A300" s="1"/>
      <c r="C300" s="2"/>
    </row>
    <row r="301" spans="1:5">
      <c r="A301" s="1"/>
      <c r="C301" s="2"/>
    </row>
    <row r="302" spans="1:5">
      <c r="A302" s="1"/>
      <c r="C302" s="2"/>
    </row>
    <row r="303" spans="1:5">
      <c r="C303" s="2"/>
    </row>
    <row r="304" spans="1:5">
      <c r="C304" s="2"/>
    </row>
    <row r="305" spans="3:3">
      <c r="C305" s="2"/>
    </row>
    <row r="306" spans="3:3">
      <c r="C306" s="2"/>
    </row>
    <row r="307" spans="3:3">
      <c r="C307" s="2"/>
    </row>
    <row r="308" spans="3:3">
      <c r="C308" s="2"/>
    </row>
    <row r="309" spans="3:3">
      <c r="C309" s="2"/>
    </row>
    <row r="310" spans="3:3">
      <c r="C310" s="2"/>
    </row>
    <row r="311" spans="3:3">
      <c r="C311" s="2"/>
    </row>
    <row r="312" spans="3:3">
      <c r="C312" s="2"/>
    </row>
    <row r="313" spans="3:3">
      <c r="C313" s="2"/>
    </row>
    <row r="314" spans="3:3">
      <c r="C314" s="2"/>
    </row>
    <row r="315" spans="3:3">
      <c r="C315" s="2"/>
    </row>
    <row r="316" spans="3:3">
      <c r="C316" s="2"/>
    </row>
    <row r="317" spans="3:3">
      <c r="C317" s="2"/>
    </row>
    <row r="318" spans="3:3">
      <c r="C318" s="2"/>
    </row>
    <row r="319" spans="3:3">
      <c r="C319" s="2"/>
    </row>
    <row r="320" spans="3:3">
      <c r="C320" s="2"/>
    </row>
    <row r="321" spans="3:3">
      <c r="C321" s="2"/>
    </row>
    <row r="322" spans="3:3">
      <c r="C322" s="2"/>
    </row>
    <row r="323" spans="3:3">
      <c r="C323" s="2"/>
    </row>
    <row r="324" spans="3:3">
      <c r="C324" s="2"/>
    </row>
    <row r="325" spans="3:3">
      <c r="C325" s="2"/>
    </row>
    <row r="326" spans="3:3">
      <c r="C326" s="2"/>
    </row>
    <row r="327" spans="3:3">
      <c r="C327" s="2"/>
    </row>
    <row r="328" spans="3:3">
      <c r="C328" s="2"/>
    </row>
    <row r="329" spans="3:3">
      <c r="C329" s="2"/>
    </row>
    <row r="330" spans="3:3">
      <c r="C330" s="2"/>
    </row>
    <row r="331" spans="3:3">
      <c r="C331" s="2"/>
    </row>
    <row r="332" spans="3:3">
      <c r="C332" s="2"/>
    </row>
    <row r="333" spans="3:3">
      <c r="C333" s="2"/>
    </row>
    <row r="334" spans="3:3">
      <c r="C334" s="2"/>
    </row>
    <row r="335" spans="3:3">
      <c r="C335" s="2"/>
    </row>
    <row r="336" spans="3:3">
      <c r="C336" s="2"/>
    </row>
    <row r="337" spans="3:3">
      <c r="C337" s="2"/>
    </row>
    <row r="338" spans="3:3">
      <c r="C338" s="2"/>
    </row>
    <row r="339" spans="3:3">
      <c r="C339" s="2"/>
    </row>
    <row r="340" spans="3:3">
      <c r="C340" s="2"/>
    </row>
    <row r="341" spans="3:3">
      <c r="C341" s="2"/>
    </row>
    <row r="342" spans="3:3">
      <c r="C342" s="2"/>
    </row>
    <row r="343" spans="3:3">
      <c r="C343" s="2"/>
    </row>
    <row r="344" spans="3:3">
      <c r="C344" s="2"/>
    </row>
    <row r="345" spans="3:3">
      <c r="C345" s="2"/>
    </row>
    <row r="346" spans="3:3">
      <c r="C346" s="2"/>
    </row>
    <row r="347" spans="3:3">
      <c r="C347" s="2"/>
    </row>
    <row r="348" spans="3:3">
      <c r="C348" s="2"/>
    </row>
    <row r="349" spans="3:3">
      <c r="C349" s="2"/>
    </row>
    <row r="350" spans="3:3">
      <c r="C350" s="2"/>
    </row>
    <row r="351" spans="3:3">
      <c r="C351" s="2"/>
    </row>
    <row r="352" spans="3:3">
      <c r="C352" s="2"/>
    </row>
    <row r="353" spans="3:3">
      <c r="C353" s="2"/>
    </row>
    <row r="354" spans="3:3">
      <c r="C354" s="2"/>
    </row>
    <row r="355" spans="3:3">
      <c r="C355" s="2"/>
    </row>
    <row r="356" spans="3:3">
      <c r="C356" s="2"/>
    </row>
    <row r="357" spans="3:3">
      <c r="C357" s="2"/>
    </row>
    <row r="358" spans="3:3">
      <c r="C358" s="2"/>
    </row>
    <row r="359" spans="3:3">
      <c r="C359" s="2"/>
    </row>
    <row r="360" spans="3:3">
      <c r="C360" s="2"/>
    </row>
    <row r="361" spans="3:3">
      <c r="C361" s="2"/>
    </row>
    <row r="362" spans="3:3">
      <c r="C362" s="2"/>
    </row>
    <row r="363" spans="3:3">
      <c r="C363" s="2"/>
    </row>
    <row r="364" spans="3:3">
      <c r="C364" s="2"/>
    </row>
    <row r="365" spans="3:3">
      <c r="C365" s="2"/>
    </row>
    <row r="366" spans="3:3">
      <c r="C366" s="2"/>
    </row>
    <row r="367" spans="3:3">
      <c r="C367" s="2"/>
    </row>
    <row r="368" spans="3:3">
      <c r="C368" s="2"/>
    </row>
    <row r="369" spans="3:3">
      <c r="C369" s="2"/>
    </row>
    <row r="370" spans="3:3">
      <c r="C370" s="2"/>
    </row>
    <row r="371" spans="3:3">
      <c r="C371" s="2"/>
    </row>
    <row r="372" spans="3:3">
      <c r="C372" s="2"/>
    </row>
    <row r="373" spans="3:3">
      <c r="C373" s="2"/>
    </row>
    <row r="374" spans="3:3">
      <c r="C374" s="2"/>
    </row>
    <row r="375" spans="3:3">
      <c r="C375" s="2"/>
    </row>
    <row r="376" spans="3:3">
      <c r="C376" s="2"/>
    </row>
    <row r="377" spans="3:3">
      <c r="C377" s="2"/>
    </row>
    <row r="378" spans="3:3">
      <c r="C378" s="2"/>
    </row>
    <row r="379" spans="3:3">
      <c r="C379" s="2"/>
    </row>
    <row r="380" spans="3:3">
      <c r="C380" s="2"/>
    </row>
    <row r="381" spans="3:3">
      <c r="C381" s="2"/>
    </row>
    <row r="382" spans="3:3">
      <c r="C382" s="2"/>
    </row>
    <row r="383" spans="3:3">
      <c r="C383" s="2"/>
    </row>
    <row r="384" spans="3:3">
      <c r="C384" s="2"/>
    </row>
    <row r="385" spans="3:3">
      <c r="C385" s="2"/>
    </row>
    <row r="386" spans="3:3">
      <c r="C386" s="2"/>
    </row>
    <row r="387" spans="3:3">
      <c r="C387" s="2"/>
    </row>
    <row r="388" spans="3:3">
      <c r="C388" s="2"/>
    </row>
    <row r="389" spans="3:3">
      <c r="C389" s="2"/>
    </row>
    <row r="390" spans="3:3">
      <c r="C390" s="2"/>
    </row>
    <row r="391" spans="3:3">
      <c r="C391" s="2"/>
    </row>
    <row r="392" spans="3:3">
      <c r="C392" s="2"/>
    </row>
    <row r="393" spans="3:3">
      <c r="C393" s="2"/>
    </row>
    <row r="394" spans="3:3">
      <c r="C394" s="2"/>
    </row>
    <row r="395" spans="3:3">
      <c r="C395" s="2"/>
    </row>
    <row r="396" spans="3:3">
      <c r="C396" s="2"/>
    </row>
    <row r="397" spans="3:3">
      <c r="C397" s="2"/>
    </row>
    <row r="398" spans="3:3">
      <c r="C398" s="2"/>
    </row>
    <row r="399" spans="3:3">
      <c r="C399" s="2"/>
    </row>
    <row r="400" spans="3:3">
      <c r="C400" s="2"/>
    </row>
    <row r="401" spans="3:3">
      <c r="C401" s="2"/>
    </row>
    <row r="402" spans="3:3">
      <c r="C402" s="2"/>
    </row>
    <row r="403" spans="3:3">
      <c r="C403" s="2"/>
    </row>
    <row r="404" spans="3:3">
      <c r="C404" s="2"/>
    </row>
    <row r="405" spans="3:3">
      <c r="C405" s="2"/>
    </row>
    <row r="406" spans="3:3">
      <c r="C406" s="2"/>
    </row>
  </sheetData>
  <sortState ref="A3:O302">
    <sortCondition ref="A3"/>
  </sortState>
  <customSheetViews>
    <customSheetView guid="{78B3A349-4A6A-4124-974B-C4B81C7019CD}" scale="75" showRuler="0" topLeftCell="A31">
      <selection activeCell="H44" sqref="H44"/>
      <rowBreaks count="1" manualBreakCount="1">
        <brk id="41" max="14" man="1"/>
      </rowBreaks>
      <colBreaks count="1" manualBreakCount="1">
        <brk id="6" max="1048575" man="1"/>
      </colBreaks>
      <pageMargins left="0.55118110236220474" right="0.55118110236220474" top="0.47244094488188981" bottom="0.51181102362204722" header="0.51181102362204722" footer="0.51181102362204722"/>
      <printOptions horizontalCentered="1" verticalCentered="1" gridLines="1"/>
      <pageSetup paperSize="9" scale="136" orientation="portrait" r:id="rId1"/>
      <headerFooter alignWithMargins="0"/>
    </customSheetView>
    <customSheetView guid="{F48999E8-45B5-4A7E-B3AF-FA7A59AA8144}" scale="75" showRuler="0" topLeftCell="A31">
      <selection activeCell="H44" sqref="H44"/>
      <rowBreaks count="1" manualBreakCount="1">
        <brk id="41" max="14" man="1"/>
      </rowBreaks>
      <colBreaks count="1" manualBreakCount="1">
        <brk id="6" max="1048575" man="1"/>
      </colBreaks>
      <pageMargins left="0.55118110236220474" right="0.55118110236220474" top="0.47244094488188981" bottom="0.51181102362204722" header="0.51181102362204722" footer="0.51181102362204722"/>
      <printOptions horizontalCentered="1" verticalCentered="1" gridLines="1"/>
      <pageSetup paperSize="9" scale="136" orientation="portrait" r:id="rId2"/>
      <headerFooter alignWithMargins="0"/>
    </customSheetView>
  </customSheetViews>
  <phoneticPr fontId="0" type="noConversion"/>
  <printOptions horizontalCentered="1" verticalCentered="1" gridLines="1"/>
  <pageMargins left="0.55118110236220474" right="0.55118110236220474" top="0.47244094488188981" bottom="0.51181102362204722" header="0.51181102362204722" footer="0.51181102362204722"/>
  <pageSetup paperSize="9" scale="136" orientation="portrait" r:id="rId3"/>
  <headerFooter alignWithMargins="0"/>
  <rowBreaks count="1" manualBreakCount="1">
    <brk id="41" max="14" man="1"/>
  </rowBreaks>
  <colBreaks count="1" manualBreakCount="1">
    <brk id="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indexed="10"/>
  </sheetPr>
  <dimension ref="A1:O500"/>
  <sheetViews>
    <sheetView zoomScaleNormal="100" workbookViewId="0">
      <selection activeCell="D8" sqref="D8"/>
    </sheetView>
  </sheetViews>
  <sheetFormatPr baseColWidth="10" defaultRowHeight="12.75"/>
  <cols>
    <col min="1" max="1" width="5.7109375" customWidth="1"/>
    <col min="2" max="2" width="27.5703125" customWidth="1"/>
    <col min="3" max="3" width="9.85546875" style="1" bestFit="1" customWidth="1"/>
    <col min="4" max="4" width="13" style="1" bestFit="1" customWidth="1"/>
    <col min="5" max="5" width="12" style="1" customWidth="1"/>
    <col min="6" max="6" width="11.7109375" style="1" customWidth="1"/>
    <col min="7" max="7" width="17.28515625" style="1" customWidth="1"/>
    <col min="8" max="8" width="67.42578125" customWidth="1"/>
    <col min="9" max="9" width="38.140625" customWidth="1"/>
    <col min="10" max="10" width="20" customWidth="1"/>
    <col min="11" max="11" width="29.140625" customWidth="1"/>
    <col min="12" max="12" width="12.42578125" customWidth="1"/>
    <col min="13" max="13" width="18.5703125" customWidth="1"/>
    <col min="14" max="14" width="14.7109375" customWidth="1"/>
    <col min="15" max="15" width="35.85546875" customWidth="1"/>
  </cols>
  <sheetData>
    <row r="1" spans="1:15" s="6" customFormat="1" ht="15">
      <c r="A1" s="6" t="s">
        <v>0</v>
      </c>
      <c r="B1" s="6" t="s">
        <v>24</v>
      </c>
      <c r="C1" s="7" t="s">
        <v>5</v>
      </c>
      <c r="D1" s="7" t="s">
        <v>6</v>
      </c>
      <c r="E1" s="7" t="s">
        <v>1</v>
      </c>
      <c r="F1" s="7" t="s">
        <v>7</v>
      </c>
      <c r="G1" s="7" t="s">
        <v>2</v>
      </c>
      <c r="H1" s="6" t="s">
        <v>16</v>
      </c>
      <c r="I1" s="6" t="s">
        <v>17</v>
      </c>
      <c r="J1" s="6" t="s">
        <v>18</v>
      </c>
      <c r="K1" s="6" t="s">
        <v>19</v>
      </c>
      <c r="L1" s="6" t="s">
        <v>20</v>
      </c>
      <c r="M1" s="6" t="s">
        <v>21</v>
      </c>
      <c r="N1" s="6" t="s">
        <v>22</v>
      </c>
      <c r="O1" s="6" t="s">
        <v>23</v>
      </c>
    </row>
    <row r="2" spans="1:15" s="6" customFormat="1" ht="15">
      <c r="C2" s="7" t="s">
        <v>3</v>
      </c>
      <c r="D2" s="7">
        <v>5.2</v>
      </c>
      <c r="E2" s="7" t="s">
        <v>4</v>
      </c>
      <c r="F2" s="7" t="s">
        <v>3</v>
      </c>
      <c r="G2" s="7"/>
    </row>
    <row r="3" spans="1:15">
      <c r="A3" s="1">
        <v>1</v>
      </c>
      <c r="B3" t="str">
        <f>Start_Daten!B3</f>
        <v>Schiff 1</v>
      </c>
      <c r="C3" s="2">
        <f>Start_Daten!C3</f>
        <v>0</v>
      </c>
      <c r="E3" s="3" t="str">
        <f>IF(C3&gt;0,D3/C3,"")</f>
        <v/>
      </c>
      <c r="F3" s="1">
        <f>Start_Daten!F3</f>
        <v>0</v>
      </c>
      <c r="G3" s="1">
        <f>Start_Daten!G3</f>
        <v>0</v>
      </c>
      <c r="H3" t="str">
        <f>Start_Daten!H3</f>
        <v>Johannes Riebe</v>
      </c>
      <c r="I3">
        <f>Start_Daten!I3</f>
        <v>0</v>
      </c>
      <c r="J3">
        <f>Start_Daten!J3</f>
        <v>0</v>
      </c>
      <c r="K3">
        <f>Start_Daten!K3</f>
        <v>0</v>
      </c>
      <c r="L3">
        <f>Start_Daten!L3</f>
        <v>0</v>
      </c>
      <c r="M3">
        <f>Start_Daten!M3</f>
        <v>0</v>
      </c>
      <c r="N3">
        <f>Start_Daten!N3</f>
        <v>0</v>
      </c>
      <c r="O3" s="4">
        <f>Start_Daten!O3</f>
        <v>0</v>
      </c>
    </row>
    <row r="4" spans="1:15">
      <c r="A4" s="1">
        <v>2</v>
      </c>
      <c r="B4" t="str">
        <f>Start_Daten!B4</f>
        <v>Schiff 2</v>
      </c>
      <c r="C4" s="2">
        <f>Start_Daten!C4</f>
        <v>0</v>
      </c>
      <c r="E4" s="3" t="str">
        <f t="shared" ref="E4:E52" si="0">IF(C4&gt;0,D4/C4,"")</f>
        <v/>
      </c>
      <c r="F4" s="1">
        <f>Start_Daten!F4</f>
        <v>0</v>
      </c>
      <c r="G4" s="1">
        <f>Start_Daten!G4</f>
        <v>0</v>
      </c>
      <c r="H4" t="str">
        <f>Start_Daten!H4</f>
        <v>Hannes Neumann
Michael Neumann</v>
      </c>
      <c r="I4">
        <f>Start_Daten!I4</f>
        <v>0</v>
      </c>
      <c r="J4">
        <f>Start_Daten!J4</f>
        <v>0</v>
      </c>
      <c r="K4">
        <f>Start_Daten!K4</f>
        <v>0</v>
      </c>
      <c r="L4">
        <f>Start_Daten!L4</f>
        <v>0</v>
      </c>
      <c r="M4">
        <f>Start_Daten!M4</f>
        <v>0</v>
      </c>
      <c r="N4">
        <f>Start_Daten!N4</f>
        <v>0</v>
      </c>
      <c r="O4" s="4">
        <f>Start_Daten!O4</f>
        <v>0</v>
      </c>
    </row>
    <row r="5" spans="1:15">
      <c r="A5" s="1">
        <v>3</v>
      </c>
      <c r="B5" t="str">
        <f>Start_Daten!B5</f>
        <v>Schiff 3</v>
      </c>
      <c r="C5" s="2">
        <f>Start_Daten!C5</f>
        <v>0</v>
      </c>
      <c r="D5" s="1">
        <v>0</v>
      </c>
      <c r="E5" s="3" t="str">
        <f t="shared" si="0"/>
        <v/>
      </c>
      <c r="F5" s="1">
        <f>Start_Daten!F5</f>
        <v>0</v>
      </c>
      <c r="G5" s="1">
        <f>Start_Daten!G5</f>
        <v>0</v>
      </c>
      <c r="H5" t="str">
        <f>Start_Daten!H5</f>
        <v>Martin Eckermann</v>
      </c>
      <c r="I5">
        <f>Start_Daten!I5</f>
        <v>0</v>
      </c>
      <c r="J5">
        <f>Start_Daten!J5</f>
        <v>0</v>
      </c>
      <c r="K5">
        <f>Start_Daten!K5</f>
        <v>0</v>
      </c>
      <c r="L5">
        <f>Start_Daten!L5</f>
        <v>0</v>
      </c>
      <c r="M5">
        <f>Start_Daten!M5</f>
        <v>0</v>
      </c>
      <c r="N5">
        <f>Start_Daten!N5</f>
        <v>0</v>
      </c>
      <c r="O5" s="4">
        <f>Start_Daten!O5</f>
        <v>0</v>
      </c>
    </row>
    <row r="6" spans="1:15">
      <c r="A6" s="1">
        <v>4</v>
      </c>
      <c r="B6" t="str">
        <f>Start_Daten!B6</f>
        <v>Schiff 4</v>
      </c>
      <c r="C6" s="2">
        <f>Start_Daten!C6</f>
        <v>0</v>
      </c>
      <c r="E6" s="3" t="str">
        <f t="shared" si="0"/>
        <v/>
      </c>
      <c r="F6" s="1">
        <f>Start_Daten!F6</f>
        <v>0</v>
      </c>
      <c r="G6" s="1">
        <f>Start_Daten!G6</f>
        <v>0</v>
      </c>
      <c r="H6" t="str">
        <f>Start_Daten!H6</f>
        <v>Ulf Cantow</v>
      </c>
      <c r="I6">
        <f>Start_Daten!I6</f>
        <v>0</v>
      </c>
      <c r="J6">
        <f>Start_Daten!J6</f>
        <v>0</v>
      </c>
      <c r="K6">
        <f>Start_Daten!K6</f>
        <v>0</v>
      </c>
      <c r="L6">
        <f>Start_Daten!L6</f>
        <v>0</v>
      </c>
      <c r="M6">
        <f>Start_Daten!M6</f>
        <v>0</v>
      </c>
      <c r="N6">
        <f>Start_Daten!N6</f>
        <v>0</v>
      </c>
      <c r="O6" s="4">
        <f>Start_Daten!O6</f>
        <v>0</v>
      </c>
    </row>
    <row r="7" spans="1:15">
      <c r="A7" s="1">
        <v>5</v>
      </c>
      <c r="B7">
        <f>Start_Daten!B7</f>
        <v>0</v>
      </c>
      <c r="C7" s="2">
        <f>Start_Daten!C7</f>
        <v>0</v>
      </c>
      <c r="E7" s="3" t="str">
        <f t="shared" si="0"/>
        <v/>
      </c>
      <c r="F7" s="1">
        <f>Start_Daten!F7</f>
        <v>0</v>
      </c>
      <c r="G7" s="1">
        <f>Start_Daten!G7</f>
        <v>0</v>
      </c>
      <c r="H7">
        <f>Start_Daten!H7</f>
        <v>0</v>
      </c>
      <c r="I7">
        <f>Start_Daten!I7</f>
        <v>0</v>
      </c>
      <c r="J7">
        <f>Start_Daten!J7</f>
        <v>0</v>
      </c>
      <c r="K7">
        <f>Start_Daten!K7</f>
        <v>0</v>
      </c>
      <c r="L7">
        <f>Start_Daten!L7</f>
        <v>0</v>
      </c>
      <c r="M7">
        <f>Start_Daten!M7</f>
        <v>0</v>
      </c>
      <c r="N7">
        <f>Start_Daten!N7</f>
        <v>0</v>
      </c>
      <c r="O7" s="4">
        <f>Start_Daten!O7</f>
        <v>0</v>
      </c>
    </row>
    <row r="8" spans="1:15">
      <c r="A8" s="1">
        <v>6</v>
      </c>
      <c r="B8">
        <f>Start_Daten!B8</f>
        <v>0</v>
      </c>
      <c r="C8" s="2">
        <f>Start_Daten!C8</f>
        <v>0</v>
      </c>
      <c r="E8" s="3" t="str">
        <f t="shared" si="0"/>
        <v/>
      </c>
      <c r="F8" s="1">
        <f>Start_Daten!F8</f>
        <v>0</v>
      </c>
      <c r="G8" s="1">
        <f>Start_Daten!G8</f>
        <v>0</v>
      </c>
      <c r="H8">
        <f>Start_Daten!H8</f>
        <v>0</v>
      </c>
      <c r="I8">
        <f>Start_Daten!I8</f>
        <v>0</v>
      </c>
      <c r="J8">
        <f>Start_Daten!J8</f>
        <v>0</v>
      </c>
      <c r="K8">
        <f>Start_Daten!K8</f>
        <v>0</v>
      </c>
      <c r="L8">
        <f>Start_Daten!L8</f>
        <v>0</v>
      </c>
      <c r="M8">
        <f>Start_Daten!M8</f>
        <v>0</v>
      </c>
      <c r="N8">
        <f>Start_Daten!N8</f>
        <v>0</v>
      </c>
      <c r="O8" s="4">
        <f>Start_Daten!O8</f>
        <v>0</v>
      </c>
    </row>
    <row r="9" spans="1:15">
      <c r="A9" s="1">
        <v>7</v>
      </c>
      <c r="B9">
        <f>Start_Daten!B9</f>
        <v>0</v>
      </c>
      <c r="C9" s="2">
        <f>Start_Daten!C9</f>
        <v>0</v>
      </c>
      <c r="E9" s="3" t="str">
        <f t="shared" si="0"/>
        <v/>
      </c>
      <c r="F9" s="1">
        <f>Start_Daten!F9</f>
        <v>0</v>
      </c>
      <c r="G9" s="1">
        <f>Start_Daten!G9</f>
        <v>0</v>
      </c>
      <c r="H9">
        <f>Start_Daten!H9</f>
        <v>0</v>
      </c>
      <c r="I9">
        <f>Start_Daten!I9</f>
        <v>0</v>
      </c>
      <c r="J9">
        <f>Start_Daten!J9</f>
        <v>0</v>
      </c>
      <c r="K9">
        <f>Start_Daten!K9</f>
        <v>0</v>
      </c>
      <c r="L9">
        <f>Start_Daten!L9</f>
        <v>0</v>
      </c>
      <c r="M9">
        <f>Start_Daten!M9</f>
        <v>0</v>
      </c>
      <c r="N9">
        <f>Start_Daten!N9</f>
        <v>0</v>
      </c>
      <c r="O9" s="4">
        <f>Start_Daten!O9</f>
        <v>0</v>
      </c>
    </row>
    <row r="10" spans="1:15">
      <c r="A10" s="1">
        <v>8</v>
      </c>
      <c r="B10">
        <f>Start_Daten!B10</f>
        <v>0</v>
      </c>
      <c r="C10" s="2">
        <f>Start_Daten!C10</f>
        <v>0</v>
      </c>
      <c r="E10" s="3" t="str">
        <f t="shared" si="0"/>
        <v/>
      </c>
      <c r="F10" s="1">
        <f>Start_Daten!F10</f>
        <v>0</v>
      </c>
      <c r="G10" s="1">
        <f>Start_Daten!G10</f>
        <v>0</v>
      </c>
      <c r="H10">
        <f>Start_Daten!H10</f>
        <v>0</v>
      </c>
      <c r="I10">
        <f>Start_Daten!I10</f>
        <v>0</v>
      </c>
      <c r="J10">
        <f>Start_Daten!J10</f>
        <v>0</v>
      </c>
      <c r="K10">
        <f>Start_Daten!K10</f>
        <v>0</v>
      </c>
      <c r="L10">
        <f>Start_Daten!L10</f>
        <v>0</v>
      </c>
      <c r="M10">
        <f>Start_Daten!M10</f>
        <v>0</v>
      </c>
      <c r="N10">
        <f>Start_Daten!N10</f>
        <v>0</v>
      </c>
      <c r="O10" s="4">
        <f>Start_Daten!O10</f>
        <v>0</v>
      </c>
    </row>
    <row r="11" spans="1:15">
      <c r="A11" s="1">
        <v>9</v>
      </c>
      <c r="B11">
        <f>Start_Daten!B11</f>
        <v>0</v>
      </c>
      <c r="C11" s="2">
        <f>Start_Daten!C11</f>
        <v>0</v>
      </c>
      <c r="E11" s="3" t="str">
        <f t="shared" si="0"/>
        <v/>
      </c>
      <c r="F11" s="1">
        <f>Start_Daten!F11</f>
        <v>0</v>
      </c>
      <c r="G11" s="1">
        <f>Start_Daten!G11</f>
        <v>0</v>
      </c>
      <c r="H11">
        <f>Start_Daten!H11</f>
        <v>0</v>
      </c>
      <c r="I11">
        <f>Start_Daten!I11</f>
        <v>0</v>
      </c>
      <c r="J11">
        <f>Start_Daten!J11</f>
        <v>0</v>
      </c>
      <c r="K11">
        <f>Start_Daten!K11</f>
        <v>0</v>
      </c>
      <c r="L11">
        <f>Start_Daten!L11</f>
        <v>0</v>
      </c>
      <c r="M11">
        <f>Start_Daten!M11</f>
        <v>0</v>
      </c>
      <c r="N11">
        <f>Start_Daten!N11</f>
        <v>0</v>
      </c>
      <c r="O11" s="4">
        <f>Start_Daten!O11</f>
        <v>0</v>
      </c>
    </row>
    <row r="12" spans="1:15">
      <c r="A12" s="1">
        <v>10</v>
      </c>
      <c r="B12">
        <f>Start_Daten!B12</f>
        <v>0</v>
      </c>
      <c r="C12" s="2">
        <f>Start_Daten!C12</f>
        <v>0</v>
      </c>
      <c r="E12" s="3" t="str">
        <f t="shared" si="0"/>
        <v/>
      </c>
      <c r="F12" s="1">
        <f>Start_Daten!F12</f>
        <v>0</v>
      </c>
      <c r="G12" s="1">
        <f>Start_Daten!G12</f>
        <v>0</v>
      </c>
      <c r="H12">
        <f>Start_Daten!H12</f>
        <v>0</v>
      </c>
      <c r="I12">
        <f>Start_Daten!I12</f>
        <v>0</v>
      </c>
      <c r="J12">
        <f>Start_Daten!J12</f>
        <v>0</v>
      </c>
      <c r="K12">
        <f>Start_Daten!K12</f>
        <v>0</v>
      </c>
      <c r="L12">
        <f>Start_Daten!L12</f>
        <v>0</v>
      </c>
      <c r="M12">
        <f>Start_Daten!M12</f>
        <v>0</v>
      </c>
      <c r="N12">
        <f>Start_Daten!N12</f>
        <v>0</v>
      </c>
      <c r="O12" s="4">
        <f>Start_Daten!O12</f>
        <v>0</v>
      </c>
    </row>
    <row r="13" spans="1:15">
      <c r="A13" s="1">
        <v>11</v>
      </c>
      <c r="B13">
        <f>Start_Daten!B13</f>
        <v>0</v>
      </c>
      <c r="C13" s="2">
        <f>Start_Daten!C13</f>
        <v>0</v>
      </c>
      <c r="E13" s="3" t="str">
        <f t="shared" si="0"/>
        <v/>
      </c>
      <c r="F13" s="1">
        <f>Start_Daten!F13</f>
        <v>0</v>
      </c>
      <c r="G13" s="1">
        <f>Start_Daten!G13</f>
        <v>0</v>
      </c>
      <c r="H13">
        <f>Start_Daten!H13</f>
        <v>0</v>
      </c>
      <c r="I13">
        <f>Start_Daten!I13</f>
        <v>0</v>
      </c>
      <c r="J13">
        <f>Start_Daten!J13</f>
        <v>0</v>
      </c>
      <c r="K13">
        <f>Start_Daten!K13</f>
        <v>0</v>
      </c>
      <c r="L13">
        <f>Start_Daten!L13</f>
        <v>0</v>
      </c>
      <c r="M13">
        <f>Start_Daten!M13</f>
        <v>0</v>
      </c>
      <c r="N13">
        <f>Start_Daten!N13</f>
        <v>0</v>
      </c>
      <c r="O13" s="4">
        <f>Start_Daten!O13</f>
        <v>0</v>
      </c>
    </row>
    <row r="14" spans="1:15">
      <c r="A14" s="1">
        <v>12</v>
      </c>
      <c r="B14">
        <f>Start_Daten!B14</f>
        <v>0</v>
      </c>
      <c r="C14" s="2">
        <f>Start_Daten!C14</f>
        <v>0</v>
      </c>
      <c r="E14" s="3" t="str">
        <f t="shared" si="0"/>
        <v/>
      </c>
      <c r="F14" s="1">
        <f>Start_Daten!F14</f>
        <v>0</v>
      </c>
      <c r="G14" s="1">
        <f>Start_Daten!G14</f>
        <v>0</v>
      </c>
      <c r="H14">
        <f>Start_Daten!H14</f>
        <v>0</v>
      </c>
      <c r="I14">
        <f>Start_Daten!I14</f>
        <v>0</v>
      </c>
      <c r="J14">
        <f>Start_Daten!J14</f>
        <v>0</v>
      </c>
      <c r="K14">
        <f>Start_Daten!K14</f>
        <v>0</v>
      </c>
      <c r="L14">
        <f>Start_Daten!L14</f>
        <v>0</v>
      </c>
      <c r="M14">
        <f>Start_Daten!M14</f>
        <v>0</v>
      </c>
      <c r="N14">
        <f>Start_Daten!N14</f>
        <v>0</v>
      </c>
      <c r="O14" s="4">
        <f>Start_Daten!O14</f>
        <v>0</v>
      </c>
    </row>
    <row r="15" spans="1:15">
      <c r="A15" s="1">
        <v>13</v>
      </c>
      <c r="B15">
        <f>Start_Daten!B15</f>
        <v>0</v>
      </c>
      <c r="C15" s="2">
        <f>Start_Daten!C15</f>
        <v>0</v>
      </c>
      <c r="E15" s="3" t="str">
        <f t="shared" si="0"/>
        <v/>
      </c>
      <c r="F15" s="1">
        <f>Start_Daten!F15</f>
        <v>0</v>
      </c>
      <c r="G15" s="1">
        <f>Start_Daten!G15</f>
        <v>0</v>
      </c>
      <c r="H15">
        <f>Start_Daten!H15</f>
        <v>0</v>
      </c>
      <c r="I15">
        <f>Start_Daten!I15</f>
        <v>0</v>
      </c>
      <c r="J15">
        <f>Start_Daten!J15</f>
        <v>0</v>
      </c>
      <c r="K15">
        <f>Start_Daten!K15</f>
        <v>0</v>
      </c>
      <c r="L15">
        <f>Start_Daten!L15</f>
        <v>0</v>
      </c>
      <c r="M15">
        <f>Start_Daten!M15</f>
        <v>0</v>
      </c>
      <c r="N15">
        <f>Start_Daten!N15</f>
        <v>0</v>
      </c>
      <c r="O15" s="4">
        <f>Start_Daten!O15</f>
        <v>0</v>
      </c>
    </row>
    <row r="16" spans="1:15">
      <c r="A16" s="1">
        <v>14</v>
      </c>
      <c r="B16">
        <f>Start_Daten!B16</f>
        <v>0</v>
      </c>
      <c r="C16" s="2">
        <f>Start_Daten!C16</f>
        <v>0</v>
      </c>
      <c r="E16" s="3" t="str">
        <f t="shared" si="0"/>
        <v/>
      </c>
      <c r="F16" s="1">
        <f>Start_Daten!F16</f>
        <v>0</v>
      </c>
      <c r="G16" s="1">
        <f>Start_Daten!G16</f>
        <v>0</v>
      </c>
      <c r="H16">
        <f>Start_Daten!H16</f>
        <v>0</v>
      </c>
      <c r="I16">
        <f>Start_Daten!I16</f>
        <v>0</v>
      </c>
      <c r="J16">
        <f>Start_Daten!J16</f>
        <v>0</v>
      </c>
      <c r="K16">
        <f>Start_Daten!K16</f>
        <v>0</v>
      </c>
      <c r="L16">
        <f>Start_Daten!L16</f>
        <v>0</v>
      </c>
      <c r="M16">
        <f>Start_Daten!M16</f>
        <v>0</v>
      </c>
      <c r="N16">
        <f>Start_Daten!N16</f>
        <v>0</v>
      </c>
      <c r="O16" s="4">
        <f>Start_Daten!O16</f>
        <v>0</v>
      </c>
    </row>
    <row r="17" spans="1:15">
      <c r="A17" s="1">
        <v>15</v>
      </c>
      <c r="B17">
        <f>Start_Daten!B17</f>
        <v>0</v>
      </c>
      <c r="C17" s="2">
        <f>Start_Daten!C17</f>
        <v>0</v>
      </c>
      <c r="E17" s="3" t="str">
        <f t="shared" si="0"/>
        <v/>
      </c>
      <c r="F17" s="1">
        <f>Start_Daten!F17</f>
        <v>0</v>
      </c>
      <c r="G17" s="1">
        <f>Start_Daten!G17</f>
        <v>0</v>
      </c>
      <c r="H17">
        <f>Start_Daten!H17</f>
        <v>0</v>
      </c>
      <c r="I17">
        <f>Start_Daten!I17</f>
        <v>0</v>
      </c>
      <c r="J17">
        <f>Start_Daten!J17</f>
        <v>0</v>
      </c>
      <c r="K17">
        <f>Start_Daten!K17</f>
        <v>0</v>
      </c>
      <c r="L17">
        <f>Start_Daten!L17</f>
        <v>0</v>
      </c>
      <c r="M17">
        <f>Start_Daten!M17</f>
        <v>0</v>
      </c>
      <c r="N17">
        <f>Start_Daten!N17</f>
        <v>0</v>
      </c>
      <c r="O17" s="4">
        <f>Start_Daten!O17</f>
        <v>0</v>
      </c>
    </row>
    <row r="18" spans="1:15">
      <c r="A18" s="1">
        <v>16</v>
      </c>
      <c r="B18">
        <f>Start_Daten!B18</f>
        <v>0</v>
      </c>
      <c r="C18" s="2">
        <f>Start_Daten!C18</f>
        <v>0</v>
      </c>
      <c r="E18" s="3" t="str">
        <f t="shared" si="0"/>
        <v/>
      </c>
      <c r="F18" s="1">
        <f>Start_Daten!F18</f>
        <v>0</v>
      </c>
      <c r="G18" s="1">
        <f>Start_Daten!G18</f>
        <v>0</v>
      </c>
      <c r="H18">
        <f>Start_Daten!H18</f>
        <v>0</v>
      </c>
      <c r="I18">
        <f>Start_Daten!I18</f>
        <v>0</v>
      </c>
      <c r="J18">
        <f>Start_Daten!J18</f>
        <v>0</v>
      </c>
      <c r="K18">
        <f>Start_Daten!K18</f>
        <v>0</v>
      </c>
      <c r="L18">
        <f>Start_Daten!L18</f>
        <v>0</v>
      </c>
      <c r="M18">
        <f>Start_Daten!M18</f>
        <v>0</v>
      </c>
      <c r="N18">
        <f>Start_Daten!N18</f>
        <v>0</v>
      </c>
      <c r="O18" s="4">
        <f>Start_Daten!O18</f>
        <v>0</v>
      </c>
    </row>
    <row r="19" spans="1:15">
      <c r="A19" s="1">
        <v>17</v>
      </c>
      <c r="B19">
        <f>Start_Daten!B19</f>
        <v>0</v>
      </c>
      <c r="C19" s="2">
        <f>Start_Daten!C19</f>
        <v>0</v>
      </c>
      <c r="E19" s="3" t="str">
        <f t="shared" si="0"/>
        <v/>
      </c>
      <c r="F19" s="1">
        <f>Start_Daten!F19</f>
        <v>0</v>
      </c>
      <c r="G19" s="1">
        <f>Start_Daten!G19</f>
        <v>0</v>
      </c>
      <c r="H19">
        <f>Start_Daten!H19</f>
        <v>0</v>
      </c>
      <c r="I19">
        <f>Start_Daten!I19</f>
        <v>0</v>
      </c>
      <c r="J19">
        <f>Start_Daten!J19</f>
        <v>0</v>
      </c>
      <c r="K19">
        <f>Start_Daten!K19</f>
        <v>0</v>
      </c>
      <c r="L19">
        <f>Start_Daten!L19</f>
        <v>0</v>
      </c>
      <c r="M19">
        <f>Start_Daten!M19</f>
        <v>0</v>
      </c>
      <c r="N19">
        <f>Start_Daten!N19</f>
        <v>0</v>
      </c>
      <c r="O19" s="4">
        <f>Start_Daten!O19</f>
        <v>0</v>
      </c>
    </row>
    <row r="20" spans="1:15">
      <c r="A20" s="1">
        <v>18</v>
      </c>
      <c r="B20">
        <f>Start_Daten!B20</f>
        <v>0</v>
      </c>
      <c r="C20" s="2">
        <f>Start_Daten!C20</f>
        <v>0</v>
      </c>
      <c r="E20" s="3" t="str">
        <f t="shared" si="0"/>
        <v/>
      </c>
      <c r="F20" s="1">
        <f>Start_Daten!F20</f>
        <v>0</v>
      </c>
      <c r="G20" s="1">
        <f>Start_Daten!G20</f>
        <v>0</v>
      </c>
      <c r="H20">
        <f>Start_Daten!H20</f>
        <v>0</v>
      </c>
      <c r="I20">
        <f>Start_Daten!I20</f>
        <v>0</v>
      </c>
      <c r="J20">
        <f>Start_Daten!J20</f>
        <v>0</v>
      </c>
      <c r="K20">
        <f>Start_Daten!K20</f>
        <v>0</v>
      </c>
      <c r="L20">
        <f>Start_Daten!L20</f>
        <v>0</v>
      </c>
      <c r="M20">
        <f>Start_Daten!M20</f>
        <v>0</v>
      </c>
      <c r="N20">
        <f>Start_Daten!N20</f>
        <v>0</v>
      </c>
      <c r="O20" s="4">
        <f>Start_Daten!O20</f>
        <v>0</v>
      </c>
    </row>
    <row r="21" spans="1:15">
      <c r="A21" s="1">
        <v>19</v>
      </c>
      <c r="B21">
        <f>Start_Daten!B21</f>
        <v>0</v>
      </c>
      <c r="C21" s="2">
        <f>Start_Daten!C21</f>
        <v>0</v>
      </c>
      <c r="E21" s="3" t="str">
        <f t="shared" si="0"/>
        <v/>
      </c>
      <c r="F21" s="1">
        <f>Start_Daten!F21</f>
        <v>0</v>
      </c>
      <c r="G21" s="1">
        <f>Start_Daten!G21</f>
        <v>0</v>
      </c>
      <c r="H21">
        <f>Start_Daten!H21</f>
        <v>0</v>
      </c>
      <c r="I21">
        <f>Start_Daten!I21</f>
        <v>0</v>
      </c>
      <c r="J21">
        <f>Start_Daten!J21</f>
        <v>0</v>
      </c>
      <c r="K21">
        <f>Start_Daten!K21</f>
        <v>0</v>
      </c>
      <c r="L21">
        <f>Start_Daten!L21</f>
        <v>0</v>
      </c>
      <c r="M21">
        <f>Start_Daten!M21</f>
        <v>0</v>
      </c>
      <c r="N21">
        <f>Start_Daten!N21</f>
        <v>0</v>
      </c>
      <c r="O21" s="4">
        <f>Start_Daten!O21</f>
        <v>0</v>
      </c>
    </row>
    <row r="22" spans="1:15">
      <c r="A22" s="1">
        <v>20</v>
      </c>
      <c r="B22">
        <f>Start_Daten!B22</f>
        <v>0</v>
      </c>
      <c r="C22" s="2">
        <f>Start_Daten!C22</f>
        <v>0</v>
      </c>
      <c r="E22" s="3" t="str">
        <f t="shared" si="0"/>
        <v/>
      </c>
      <c r="F22" s="1">
        <f>Start_Daten!F22</f>
        <v>0</v>
      </c>
      <c r="G22" s="1">
        <f>Start_Daten!G22</f>
        <v>0</v>
      </c>
      <c r="H22">
        <f>Start_Daten!H22</f>
        <v>0</v>
      </c>
      <c r="I22">
        <f>Start_Daten!I22</f>
        <v>0</v>
      </c>
      <c r="J22">
        <f>Start_Daten!J22</f>
        <v>0</v>
      </c>
      <c r="K22">
        <f>Start_Daten!K22</f>
        <v>0</v>
      </c>
      <c r="L22">
        <f>Start_Daten!L22</f>
        <v>0</v>
      </c>
      <c r="M22">
        <f>Start_Daten!M22</f>
        <v>0</v>
      </c>
      <c r="N22">
        <f>Start_Daten!N22</f>
        <v>0</v>
      </c>
      <c r="O22" s="4">
        <f>Start_Daten!O22</f>
        <v>0</v>
      </c>
    </row>
    <row r="23" spans="1:15">
      <c r="A23" s="1">
        <v>21</v>
      </c>
      <c r="B23">
        <f>Start_Daten!B23</f>
        <v>0</v>
      </c>
      <c r="C23" s="2">
        <f>Start_Daten!C23</f>
        <v>0</v>
      </c>
      <c r="E23" s="3" t="str">
        <f t="shared" si="0"/>
        <v/>
      </c>
      <c r="F23" s="1">
        <f>Start_Daten!F23</f>
        <v>0</v>
      </c>
      <c r="G23" s="1">
        <f>Start_Daten!G23</f>
        <v>0</v>
      </c>
      <c r="H23">
        <f>Start_Daten!H23</f>
        <v>0</v>
      </c>
      <c r="I23">
        <f>Start_Daten!I23</f>
        <v>0</v>
      </c>
      <c r="J23">
        <f>Start_Daten!J23</f>
        <v>0</v>
      </c>
      <c r="K23">
        <f>Start_Daten!K23</f>
        <v>0</v>
      </c>
      <c r="L23">
        <f>Start_Daten!L23</f>
        <v>0</v>
      </c>
      <c r="M23">
        <f>Start_Daten!M23</f>
        <v>0</v>
      </c>
      <c r="N23">
        <f>Start_Daten!N23</f>
        <v>0</v>
      </c>
      <c r="O23" s="4">
        <f>Start_Daten!O23</f>
        <v>0</v>
      </c>
    </row>
    <row r="24" spans="1:15">
      <c r="A24" s="1">
        <v>22</v>
      </c>
      <c r="B24">
        <f>Start_Daten!B24</f>
        <v>0</v>
      </c>
      <c r="C24" s="2">
        <f>Start_Daten!C24</f>
        <v>0</v>
      </c>
      <c r="E24" s="3" t="str">
        <f t="shared" si="0"/>
        <v/>
      </c>
      <c r="F24" s="1">
        <f>Start_Daten!F24</f>
        <v>0</v>
      </c>
      <c r="G24" s="1">
        <f>Start_Daten!G24</f>
        <v>0</v>
      </c>
      <c r="H24">
        <f>Start_Daten!H24</f>
        <v>0</v>
      </c>
      <c r="I24">
        <f>Start_Daten!I24</f>
        <v>0</v>
      </c>
      <c r="J24">
        <f>Start_Daten!J24</f>
        <v>0</v>
      </c>
      <c r="K24">
        <f>Start_Daten!K24</f>
        <v>0</v>
      </c>
      <c r="L24">
        <f>Start_Daten!L24</f>
        <v>0</v>
      </c>
      <c r="M24">
        <f>Start_Daten!M24</f>
        <v>0</v>
      </c>
      <c r="N24">
        <f>Start_Daten!N24</f>
        <v>0</v>
      </c>
      <c r="O24" s="4">
        <f>Start_Daten!O24</f>
        <v>0</v>
      </c>
    </row>
    <row r="25" spans="1:15">
      <c r="A25" s="1">
        <v>23</v>
      </c>
      <c r="B25">
        <f>Start_Daten!B25</f>
        <v>0</v>
      </c>
      <c r="C25" s="2">
        <f>Start_Daten!C25</f>
        <v>0</v>
      </c>
      <c r="E25" s="3" t="str">
        <f t="shared" si="0"/>
        <v/>
      </c>
      <c r="F25" s="1">
        <f>Start_Daten!F25</f>
        <v>0</v>
      </c>
      <c r="G25" s="1">
        <f>Start_Daten!G25</f>
        <v>0</v>
      </c>
      <c r="H25">
        <f>Start_Daten!H25</f>
        <v>0</v>
      </c>
      <c r="I25">
        <f>Start_Daten!I25</f>
        <v>0</v>
      </c>
      <c r="J25">
        <f>Start_Daten!J25</f>
        <v>0</v>
      </c>
      <c r="K25">
        <f>Start_Daten!K25</f>
        <v>0</v>
      </c>
      <c r="L25">
        <f>Start_Daten!L25</f>
        <v>0</v>
      </c>
      <c r="M25">
        <f>Start_Daten!M25</f>
        <v>0</v>
      </c>
      <c r="N25">
        <f>Start_Daten!N25</f>
        <v>0</v>
      </c>
      <c r="O25" s="4">
        <f>Start_Daten!O25</f>
        <v>0</v>
      </c>
    </row>
    <row r="26" spans="1:15">
      <c r="A26" s="1">
        <v>24</v>
      </c>
      <c r="B26">
        <f>Start_Daten!B26</f>
        <v>0</v>
      </c>
      <c r="C26" s="2">
        <f>Start_Daten!C26</f>
        <v>0</v>
      </c>
      <c r="E26" s="3" t="str">
        <f t="shared" si="0"/>
        <v/>
      </c>
      <c r="F26" s="1">
        <f>Start_Daten!F26</f>
        <v>0</v>
      </c>
      <c r="G26" s="1">
        <f>Start_Daten!G26</f>
        <v>0</v>
      </c>
      <c r="H26">
        <f>Start_Daten!H26</f>
        <v>0</v>
      </c>
      <c r="I26">
        <f>Start_Daten!I26</f>
        <v>0</v>
      </c>
      <c r="J26">
        <f>Start_Daten!J26</f>
        <v>0</v>
      </c>
      <c r="K26">
        <f>Start_Daten!K26</f>
        <v>0</v>
      </c>
      <c r="L26">
        <f>Start_Daten!L26</f>
        <v>0</v>
      </c>
      <c r="M26">
        <f>Start_Daten!M26</f>
        <v>0</v>
      </c>
      <c r="N26">
        <f>Start_Daten!N26</f>
        <v>0</v>
      </c>
      <c r="O26" s="4">
        <f>Start_Daten!O26</f>
        <v>0</v>
      </c>
    </row>
    <row r="27" spans="1:15">
      <c r="A27" s="1">
        <v>25</v>
      </c>
      <c r="B27">
        <f>Start_Daten!B27</f>
        <v>0</v>
      </c>
      <c r="C27" s="2">
        <f>Start_Daten!C27</f>
        <v>0</v>
      </c>
      <c r="E27" s="3" t="str">
        <f t="shared" si="0"/>
        <v/>
      </c>
      <c r="F27" s="1">
        <f>Start_Daten!F27</f>
        <v>0</v>
      </c>
      <c r="G27" s="1">
        <f>Start_Daten!G27</f>
        <v>0</v>
      </c>
      <c r="H27">
        <f>Start_Daten!H27</f>
        <v>0</v>
      </c>
      <c r="I27">
        <f>Start_Daten!I27</f>
        <v>0</v>
      </c>
      <c r="J27">
        <f>Start_Daten!J27</f>
        <v>0</v>
      </c>
      <c r="K27">
        <f>Start_Daten!K27</f>
        <v>0</v>
      </c>
      <c r="L27">
        <f>Start_Daten!L27</f>
        <v>0</v>
      </c>
      <c r="M27">
        <f>Start_Daten!M27</f>
        <v>0</v>
      </c>
      <c r="N27">
        <f>Start_Daten!N27</f>
        <v>0</v>
      </c>
      <c r="O27" s="4">
        <f>Start_Daten!O27</f>
        <v>0</v>
      </c>
    </row>
    <row r="28" spans="1:15">
      <c r="A28" s="1">
        <v>26</v>
      </c>
      <c r="B28">
        <f>Start_Daten!B28</f>
        <v>0</v>
      </c>
      <c r="C28" s="2">
        <f>Start_Daten!C28</f>
        <v>0</v>
      </c>
      <c r="E28" s="3" t="str">
        <f t="shared" si="0"/>
        <v/>
      </c>
      <c r="F28" s="1">
        <f>Start_Daten!F28</f>
        <v>0</v>
      </c>
      <c r="G28" s="1">
        <f>Start_Daten!G28</f>
        <v>0</v>
      </c>
      <c r="H28">
        <f>Start_Daten!H28</f>
        <v>0</v>
      </c>
      <c r="I28">
        <f>Start_Daten!I28</f>
        <v>0</v>
      </c>
      <c r="J28">
        <f>Start_Daten!J28</f>
        <v>0</v>
      </c>
      <c r="K28">
        <f>Start_Daten!K28</f>
        <v>0</v>
      </c>
      <c r="L28">
        <f>Start_Daten!L28</f>
        <v>0</v>
      </c>
      <c r="M28">
        <f>Start_Daten!M28</f>
        <v>0</v>
      </c>
      <c r="N28">
        <f>Start_Daten!N28</f>
        <v>0</v>
      </c>
      <c r="O28" s="4">
        <f>Start_Daten!O28</f>
        <v>0</v>
      </c>
    </row>
    <row r="29" spans="1:15">
      <c r="A29" s="1">
        <v>27</v>
      </c>
      <c r="B29">
        <f>Start_Daten!B29</f>
        <v>0</v>
      </c>
      <c r="C29" s="2">
        <f>Start_Daten!C29</f>
        <v>0</v>
      </c>
      <c r="E29" s="3" t="str">
        <f t="shared" si="0"/>
        <v/>
      </c>
      <c r="F29" s="1">
        <f>Start_Daten!F29</f>
        <v>0</v>
      </c>
      <c r="G29" s="1">
        <f>Start_Daten!G29</f>
        <v>0</v>
      </c>
      <c r="H29">
        <f>Start_Daten!H29</f>
        <v>0</v>
      </c>
      <c r="I29">
        <f>Start_Daten!I29</f>
        <v>0</v>
      </c>
      <c r="J29">
        <f>Start_Daten!J29</f>
        <v>0</v>
      </c>
      <c r="K29">
        <f>Start_Daten!K29</f>
        <v>0</v>
      </c>
      <c r="L29">
        <f>Start_Daten!L29</f>
        <v>0</v>
      </c>
      <c r="M29">
        <f>Start_Daten!M29</f>
        <v>0</v>
      </c>
      <c r="N29">
        <f>Start_Daten!N29</f>
        <v>0</v>
      </c>
      <c r="O29" s="4">
        <f>Start_Daten!O29</f>
        <v>0</v>
      </c>
    </row>
    <row r="30" spans="1:15">
      <c r="A30" s="1">
        <v>28</v>
      </c>
      <c r="B30">
        <f>Start_Daten!B30</f>
        <v>0</v>
      </c>
      <c r="C30" s="2">
        <f>Start_Daten!C30</f>
        <v>0</v>
      </c>
      <c r="E30" s="3" t="str">
        <f t="shared" si="0"/>
        <v/>
      </c>
      <c r="F30" s="1">
        <f>Start_Daten!F30</f>
        <v>0</v>
      </c>
      <c r="G30" s="1">
        <f>Start_Daten!G30</f>
        <v>0</v>
      </c>
      <c r="H30">
        <f>Start_Daten!H30</f>
        <v>0</v>
      </c>
      <c r="I30">
        <f>Start_Daten!K30</f>
        <v>0</v>
      </c>
      <c r="J30">
        <f>Start_Daten!J30</f>
        <v>0</v>
      </c>
      <c r="K30">
        <f>Start_Daten!K30</f>
        <v>0</v>
      </c>
      <c r="L30">
        <f>Start_Daten!L30</f>
        <v>0</v>
      </c>
      <c r="M30">
        <f>Start_Daten!M30</f>
        <v>0</v>
      </c>
      <c r="N30">
        <f>Start_Daten!N30</f>
        <v>0</v>
      </c>
      <c r="O30" s="4">
        <f>Start_Daten!O30</f>
        <v>0</v>
      </c>
    </row>
    <row r="31" spans="1:15">
      <c r="A31" s="1">
        <v>29</v>
      </c>
      <c r="B31">
        <f>Start_Daten!B31</f>
        <v>0</v>
      </c>
      <c r="C31" s="2">
        <f>Start_Daten!C31</f>
        <v>0</v>
      </c>
      <c r="E31" s="3" t="str">
        <f t="shared" si="0"/>
        <v/>
      </c>
      <c r="F31" s="1">
        <f>Start_Daten!F31</f>
        <v>0</v>
      </c>
      <c r="G31" s="1">
        <f>Start_Daten!G31</f>
        <v>0</v>
      </c>
      <c r="H31">
        <f>Start_Daten!H31</f>
        <v>0</v>
      </c>
      <c r="I31">
        <f>Start_Daten!K31</f>
        <v>0</v>
      </c>
      <c r="J31">
        <f>Start_Daten!J31</f>
        <v>0</v>
      </c>
      <c r="K31">
        <f>Start_Daten!K31</f>
        <v>0</v>
      </c>
      <c r="L31">
        <f>Start_Daten!L31</f>
        <v>0</v>
      </c>
      <c r="M31">
        <f>Start_Daten!M31</f>
        <v>0</v>
      </c>
      <c r="N31">
        <f>Start_Daten!N31</f>
        <v>0</v>
      </c>
      <c r="O31" s="4">
        <f>Start_Daten!O31</f>
        <v>0</v>
      </c>
    </row>
    <row r="32" spans="1:15">
      <c r="A32" s="1">
        <v>30</v>
      </c>
      <c r="B32">
        <f>Start_Daten!B32</f>
        <v>0</v>
      </c>
      <c r="C32" s="2">
        <f>Start_Daten!C32</f>
        <v>0</v>
      </c>
      <c r="E32" s="3" t="str">
        <f t="shared" si="0"/>
        <v/>
      </c>
      <c r="F32" s="1">
        <f>Start_Daten!F32</f>
        <v>0</v>
      </c>
      <c r="G32" s="1">
        <f>Start_Daten!G32</f>
        <v>0</v>
      </c>
      <c r="H32">
        <f>Start_Daten!H32</f>
        <v>0</v>
      </c>
      <c r="I32">
        <f>Start_Daten!I32</f>
        <v>0</v>
      </c>
      <c r="J32">
        <f>Start_Daten!J32</f>
        <v>0</v>
      </c>
      <c r="K32">
        <f>Start_Daten!K32</f>
        <v>0</v>
      </c>
      <c r="L32">
        <f>Start_Daten!L32</f>
        <v>0</v>
      </c>
      <c r="M32">
        <f>Start_Daten!M32</f>
        <v>0</v>
      </c>
      <c r="N32">
        <f>Start_Daten!N32</f>
        <v>0</v>
      </c>
      <c r="O32" s="4">
        <f>Start_Daten!O32</f>
        <v>0</v>
      </c>
    </row>
    <row r="33" spans="1:15">
      <c r="A33" s="1">
        <v>31</v>
      </c>
      <c r="B33">
        <f>Start_Daten!B33</f>
        <v>0</v>
      </c>
      <c r="C33" s="2">
        <f>Start_Daten!C33</f>
        <v>0</v>
      </c>
      <c r="E33" s="3" t="str">
        <f t="shared" si="0"/>
        <v/>
      </c>
      <c r="F33" s="1">
        <f>Start_Daten!F33</f>
        <v>0</v>
      </c>
      <c r="G33" s="1">
        <f>Start_Daten!G33</f>
        <v>0</v>
      </c>
      <c r="H33">
        <f>Start_Daten!H33</f>
        <v>0</v>
      </c>
      <c r="I33">
        <f>Start_Daten!I33</f>
        <v>0</v>
      </c>
      <c r="J33">
        <f>Start_Daten!J33</f>
        <v>0</v>
      </c>
      <c r="K33">
        <f>Start_Daten!K33</f>
        <v>0</v>
      </c>
      <c r="L33">
        <f>Start_Daten!L33</f>
        <v>0</v>
      </c>
      <c r="M33">
        <f>Start_Daten!M33</f>
        <v>0</v>
      </c>
      <c r="N33">
        <f>Start_Daten!N33</f>
        <v>0</v>
      </c>
      <c r="O33" s="4">
        <f>Start_Daten!O33</f>
        <v>0</v>
      </c>
    </row>
    <row r="34" spans="1:15">
      <c r="A34" s="1">
        <v>32</v>
      </c>
      <c r="B34">
        <f>Start_Daten!B34</f>
        <v>0</v>
      </c>
      <c r="C34" s="2">
        <f>Start_Daten!C34</f>
        <v>0</v>
      </c>
      <c r="E34" s="3" t="str">
        <f t="shared" si="0"/>
        <v/>
      </c>
      <c r="F34" s="1">
        <f>Start_Daten!F34</f>
        <v>0</v>
      </c>
      <c r="G34" s="1">
        <f>Start_Daten!G34</f>
        <v>0</v>
      </c>
      <c r="H34">
        <f>Start_Daten!H34</f>
        <v>0</v>
      </c>
      <c r="I34">
        <f>Start_Daten!I34</f>
        <v>0</v>
      </c>
      <c r="J34">
        <f>Start_Daten!J34</f>
        <v>0</v>
      </c>
      <c r="K34">
        <f>Start_Daten!K34</f>
        <v>0</v>
      </c>
      <c r="L34">
        <f>Start_Daten!L34</f>
        <v>0</v>
      </c>
      <c r="M34">
        <f>Start_Daten!M34</f>
        <v>0</v>
      </c>
      <c r="N34">
        <f>Start_Daten!N34</f>
        <v>0</v>
      </c>
      <c r="O34" s="4">
        <f>Start_Daten!O34</f>
        <v>0</v>
      </c>
    </row>
    <row r="35" spans="1:15">
      <c r="A35" s="1">
        <v>33</v>
      </c>
      <c r="B35">
        <f>Start_Daten!B35</f>
        <v>0</v>
      </c>
      <c r="C35" s="2">
        <f>Start_Daten!C35</f>
        <v>0</v>
      </c>
      <c r="E35" s="3" t="str">
        <f t="shared" si="0"/>
        <v/>
      </c>
      <c r="F35" s="1">
        <f>Start_Daten!F35</f>
        <v>0</v>
      </c>
      <c r="G35" s="1">
        <f>Start_Daten!G35</f>
        <v>0</v>
      </c>
      <c r="H35">
        <f>Start_Daten!H35</f>
        <v>0</v>
      </c>
      <c r="I35">
        <f>Start_Daten!I35</f>
        <v>0</v>
      </c>
      <c r="J35">
        <f>Start_Daten!J35</f>
        <v>0</v>
      </c>
      <c r="K35">
        <f>Start_Daten!K35</f>
        <v>0</v>
      </c>
      <c r="L35">
        <f>Start_Daten!L35</f>
        <v>0</v>
      </c>
      <c r="M35">
        <f>Start_Daten!M35</f>
        <v>0</v>
      </c>
      <c r="N35">
        <f>Start_Daten!N35</f>
        <v>0</v>
      </c>
      <c r="O35" s="4">
        <f>Start_Daten!O35</f>
        <v>0</v>
      </c>
    </row>
    <row r="36" spans="1:15">
      <c r="A36" s="1">
        <v>34</v>
      </c>
      <c r="B36">
        <f>Start_Daten!B36</f>
        <v>0</v>
      </c>
      <c r="C36" s="2">
        <f>Start_Daten!C36</f>
        <v>0</v>
      </c>
      <c r="E36" s="3" t="str">
        <f t="shared" si="0"/>
        <v/>
      </c>
      <c r="F36" s="1">
        <f>Start_Daten!F36</f>
        <v>0</v>
      </c>
      <c r="G36" s="1">
        <f>Start_Daten!G36</f>
        <v>0</v>
      </c>
      <c r="H36">
        <f>Start_Daten!H36</f>
        <v>0</v>
      </c>
      <c r="I36">
        <f>Start_Daten!I36</f>
        <v>0</v>
      </c>
      <c r="J36">
        <f>Start_Daten!J36</f>
        <v>0</v>
      </c>
      <c r="K36">
        <f>Start_Daten!K36</f>
        <v>0</v>
      </c>
      <c r="L36">
        <f>Start_Daten!L36</f>
        <v>0</v>
      </c>
      <c r="M36">
        <f>Start_Daten!M36</f>
        <v>0</v>
      </c>
      <c r="N36">
        <f>Start_Daten!N36</f>
        <v>0</v>
      </c>
      <c r="O36" s="4">
        <f>Start_Daten!O36</f>
        <v>0</v>
      </c>
    </row>
    <row r="37" spans="1:15">
      <c r="A37" s="1">
        <v>35</v>
      </c>
      <c r="B37">
        <f>Start_Daten!B37</f>
        <v>0</v>
      </c>
      <c r="C37" s="2">
        <f>Start_Daten!C37</f>
        <v>0</v>
      </c>
      <c r="E37" s="3" t="str">
        <f t="shared" si="0"/>
        <v/>
      </c>
      <c r="F37" s="1">
        <f>Start_Daten!F37</f>
        <v>0</v>
      </c>
      <c r="G37" s="1">
        <f>Start_Daten!G37</f>
        <v>0</v>
      </c>
      <c r="H37">
        <f>Start_Daten!H37</f>
        <v>0</v>
      </c>
      <c r="I37">
        <f>Start_Daten!I37</f>
        <v>0</v>
      </c>
      <c r="J37">
        <f>Start_Daten!J37</f>
        <v>0</v>
      </c>
      <c r="K37">
        <f>Start_Daten!K37</f>
        <v>0</v>
      </c>
      <c r="L37">
        <f>Start_Daten!L37</f>
        <v>0</v>
      </c>
      <c r="M37">
        <f>Start_Daten!M37</f>
        <v>0</v>
      </c>
      <c r="N37">
        <f>Start_Daten!N37</f>
        <v>0</v>
      </c>
      <c r="O37" s="4">
        <f>Start_Daten!O37</f>
        <v>0</v>
      </c>
    </row>
    <row r="38" spans="1:15">
      <c r="A38" s="1">
        <v>36</v>
      </c>
      <c r="B38">
        <f>Start_Daten!B38</f>
        <v>0</v>
      </c>
      <c r="C38" s="2">
        <f>Start_Daten!C38</f>
        <v>0</v>
      </c>
      <c r="E38" s="3" t="str">
        <f t="shared" si="0"/>
        <v/>
      </c>
      <c r="F38" s="1">
        <f>Start_Daten!F38</f>
        <v>0</v>
      </c>
      <c r="G38" s="1">
        <f>Start_Daten!G38</f>
        <v>0</v>
      </c>
      <c r="H38">
        <f>Start_Daten!H38</f>
        <v>0</v>
      </c>
      <c r="I38">
        <f>Start_Daten!I38</f>
        <v>0</v>
      </c>
      <c r="J38">
        <f>Start_Daten!J38</f>
        <v>0</v>
      </c>
      <c r="K38">
        <f>Start_Daten!K38</f>
        <v>0</v>
      </c>
      <c r="L38">
        <f>Start_Daten!L38</f>
        <v>0</v>
      </c>
      <c r="M38">
        <f>Start_Daten!M38</f>
        <v>0</v>
      </c>
      <c r="N38">
        <f>Start_Daten!N38</f>
        <v>0</v>
      </c>
      <c r="O38" s="4">
        <f>Start_Daten!O38</f>
        <v>0</v>
      </c>
    </row>
    <row r="39" spans="1:15">
      <c r="A39" s="1">
        <v>37</v>
      </c>
      <c r="B39">
        <f>Start_Daten!B39</f>
        <v>0</v>
      </c>
      <c r="C39" s="2">
        <f>Start_Daten!C39</f>
        <v>0</v>
      </c>
      <c r="E39" s="3" t="str">
        <f t="shared" si="0"/>
        <v/>
      </c>
      <c r="F39" s="1">
        <f>Start_Daten!F39</f>
        <v>0</v>
      </c>
      <c r="G39" s="1">
        <f>Start_Daten!G39</f>
        <v>0</v>
      </c>
      <c r="H39">
        <f>Start_Daten!H39</f>
        <v>0</v>
      </c>
      <c r="I39">
        <f>Start_Daten!I39</f>
        <v>0</v>
      </c>
      <c r="J39">
        <f>Start_Daten!J39</f>
        <v>0</v>
      </c>
      <c r="K39">
        <f>Start_Daten!K39</f>
        <v>0</v>
      </c>
      <c r="L39">
        <f>Start_Daten!L39</f>
        <v>0</v>
      </c>
      <c r="M39">
        <f>Start_Daten!M39</f>
        <v>0</v>
      </c>
      <c r="N39">
        <f>Start_Daten!N39</f>
        <v>0</v>
      </c>
      <c r="O39" s="4">
        <f>Start_Daten!O39</f>
        <v>0</v>
      </c>
    </row>
    <row r="40" spans="1:15">
      <c r="A40" s="1">
        <v>38</v>
      </c>
      <c r="B40">
        <f>Start_Daten!B40</f>
        <v>0</v>
      </c>
      <c r="C40" s="2">
        <f>Start_Daten!C40</f>
        <v>0</v>
      </c>
      <c r="E40" s="3" t="str">
        <f t="shared" si="0"/>
        <v/>
      </c>
      <c r="F40" s="1">
        <f>Start_Daten!F40</f>
        <v>0</v>
      </c>
      <c r="G40" s="1">
        <f>Start_Daten!G40</f>
        <v>0</v>
      </c>
      <c r="H40">
        <f>Start_Daten!H40</f>
        <v>0</v>
      </c>
      <c r="I40">
        <f>Start_Daten!I40</f>
        <v>0</v>
      </c>
      <c r="J40">
        <f>Start_Daten!J40</f>
        <v>0</v>
      </c>
      <c r="K40">
        <f>Start_Daten!K40</f>
        <v>0</v>
      </c>
      <c r="L40">
        <f>Start_Daten!L40</f>
        <v>0</v>
      </c>
      <c r="M40">
        <f>Start_Daten!M40</f>
        <v>0</v>
      </c>
      <c r="N40">
        <f>Start_Daten!N40</f>
        <v>0</v>
      </c>
      <c r="O40" s="4">
        <f>Start_Daten!O40</f>
        <v>0</v>
      </c>
    </row>
    <row r="41" spans="1:15">
      <c r="A41" s="1">
        <v>39</v>
      </c>
      <c r="B41">
        <f>Start_Daten!B41</f>
        <v>0</v>
      </c>
      <c r="C41" s="2">
        <f>Start_Daten!C41</f>
        <v>0</v>
      </c>
      <c r="E41" s="3" t="str">
        <f t="shared" si="0"/>
        <v/>
      </c>
      <c r="F41" s="1">
        <f>Start_Daten!F41</f>
        <v>0</v>
      </c>
      <c r="G41" s="1">
        <f>Start_Daten!G41</f>
        <v>0</v>
      </c>
      <c r="H41">
        <f>Start_Daten!H41</f>
        <v>0</v>
      </c>
      <c r="I41">
        <f>Start_Daten!I41</f>
        <v>0</v>
      </c>
      <c r="J41">
        <f>Start_Daten!J41</f>
        <v>0</v>
      </c>
      <c r="K41">
        <f>Start_Daten!K41</f>
        <v>0</v>
      </c>
      <c r="L41">
        <f>Start_Daten!L41</f>
        <v>0</v>
      </c>
      <c r="M41">
        <f>Start_Daten!M41</f>
        <v>0</v>
      </c>
      <c r="N41">
        <f>Start_Daten!N41</f>
        <v>0</v>
      </c>
      <c r="O41" s="4">
        <f>Start_Daten!O41</f>
        <v>0</v>
      </c>
    </row>
    <row r="42" spans="1:15">
      <c r="A42" s="1">
        <v>40</v>
      </c>
      <c r="B42">
        <f>Start_Daten!B42</f>
        <v>0</v>
      </c>
      <c r="C42" s="2">
        <f>Start_Daten!C42</f>
        <v>0</v>
      </c>
      <c r="E42" s="3" t="str">
        <f t="shared" si="0"/>
        <v/>
      </c>
      <c r="F42" s="1">
        <f>Start_Daten!F42</f>
        <v>0</v>
      </c>
      <c r="G42" s="1">
        <f>Start_Daten!G42</f>
        <v>0</v>
      </c>
      <c r="H42">
        <f>Start_Daten!H42</f>
        <v>0</v>
      </c>
      <c r="I42">
        <f>Start_Daten!I42</f>
        <v>0</v>
      </c>
      <c r="J42">
        <f>Start_Daten!J42</f>
        <v>0</v>
      </c>
      <c r="K42">
        <f>Start_Daten!K42</f>
        <v>0</v>
      </c>
      <c r="L42">
        <f>Start_Daten!L42</f>
        <v>0</v>
      </c>
      <c r="M42">
        <f>Start_Daten!M42</f>
        <v>0</v>
      </c>
      <c r="N42">
        <f>Start_Daten!N42</f>
        <v>0</v>
      </c>
      <c r="O42" s="4">
        <f>Start_Daten!O42</f>
        <v>0</v>
      </c>
    </row>
    <row r="43" spans="1:15">
      <c r="A43" s="1">
        <v>41</v>
      </c>
      <c r="B43">
        <f>Start_Daten!B43</f>
        <v>0</v>
      </c>
      <c r="C43" s="2">
        <f>Start_Daten!C43</f>
        <v>0</v>
      </c>
      <c r="E43" s="3" t="str">
        <f t="shared" si="0"/>
        <v/>
      </c>
      <c r="F43" s="1">
        <f>Start_Daten!F43</f>
        <v>0</v>
      </c>
      <c r="G43" s="1">
        <f>Start_Daten!G43</f>
        <v>0</v>
      </c>
      <c r="H43">
        <f>Start_Daten!H43</f>
        <v>0</v>
      </c>
      <c r="I43">
        <f>Start_Daten!I43</f>
        <v>0</v>
      </c>
      <c r="J43">
        <f>Start_Daten!J43</f>
        <v>0</v>
      </c>
      <c r="K43">
        <f>Start_Daten!K43</f>
        <v>0</v>
      </c>
      <c r="L43">
        <f>Start_Daten!L43</f>
        <v>0</v>
      </c>
      <c r="M43">
        <f>Start_Daten!M43</f>
        <v>0</v>
      </c>
      <c r="N43">
        <f>Start_Daten!N43</f>
        <v>0</v>
      </c>
      <c r="O43" s="4">
        <f>Start_Daten!O43</f>
        <v>0</v>
      </c>
    </row>
    <row r="44" spans="1:15">
      <c r="A44" s="1">
        <v>42</v>
      </c>
      <c r="B44">
        <f>Start_Daten!B44</f>
        <v>0</v>
      </c>
      <c r="C44" s="2">
        <f>Start_Daten!C44</f>
        <v>0</v>
      </c>
      <c r="E44" s="3" t="str">
        <f t="shared" si="0"/>
        <v/>
      </c>
      <c r="F44" s="1">
        <f>Start_Daten!F44</f>
        <v>0</v>
      </c>
      <c r="G44" s="1">
        <f>Start_Daten!G44</f>
        <v>0</v>
      </c>
      <c r="H44">
        <f>Start_Daten!H44</f>
        <v>0</v>
      </c>
      <c r="I44">
        <f>Start_Daten!I44</f>
        <v>0</v>
      </c>
      <c r="J44">
        <f>Start_Daten!J44</f>
        <v>0</v>
      </c>
      <c r="K44">
        <f>Start_Daten!K44</f>
        <v>0</v>
      </c>
      <c r="L44">
        <f>Start_Daten!L44</f>
        <v>0</v>
      </c>
      <c r="M44">
        <f>Start_Daten!M44</f>
        <v>0</v>
      </c>
      <c r="N44">
        <f>Start_Daten!N44</f>
        <v>0</v>
      </c>
      <c r="O44" s="4">
        <f>Start_Daten!O44</f>
        <v>0</v>
      </c>
    </row>
    <row r="45" spans="1:15">
      <c r="A45" s="1">
        <v>43</v>
      </c>
      <c r="B45">
        <f>Start_Daten!B45</f>
        <v>0</v>
      </c>
      <c r="C45" s="2">
        <f>Start_Daten!C45</f>
        <v>0</v>
      </c>
      <c r="E45" s="3" t="str">
        <f t="shared" si="0"/>
        <v/>
      </c>
      <c r="F45" s="1">
        <f>Start_Daten!F45</f>
        <v>0</v>
      </c>
      <c r="G45" s="1">
        <f>Start_Daten!G45</f>
        <v>0</v>
      </c>
      <c r="H45">
        <f>Start_Daten!H45</f>
        <v>0</v>
      </c>
      <c r="I45">
        <f>Start_Daten!I45</f>
        <v>0</v>
      </c>
      <c r="J45">
        <f>Start_Daten!J45</f>
        <v>0</v>
      </c>
      <c r="K45">
        <f>Start_Daten!K45</f>
        <v>0</v>
      </c>
      <c r="L45">
        <f>Start_Daten!L45</f>
        <v>0</v>
      </c>
      <c r="M45">
        <f>Start_Daten!M45</f>
        <v>0</v>
      </c>
      <c r="N45">
        <f>Start_Daten!N45</f>
        <v>0</v>
      </c>
      <c r="O45" s="4">
        <f>Start_Daten!O45</f>
        <v>0</v>
      </c>
    </row>
    <row r="46" spans="1:15">
      <c r="A46" s="1">
        <v>44</v>
      </c>
      <c r="B46">
        <f>Start_Daten!B46</f>
        <v>0</v>
      </c>
      <c r="C46" s="2">
        <f>Start_Daten!C46</f>
        <v>0</v>
      </c>
      <c r="E46" s="3" t="str">
        <f t="shared" si="0"/>
        <v/>
      </c>
      <c r="F46" s="1">
        <f>Start_Daten!F46</f>
        <v>0</v>
      </c>
      <c r="G46" s="1">
        <f>Start_Daten!G46</f>
        <v>0</v>
      </c>
      <c r="H46">
        <f>Start_Daten!H46</f>
        <v>0</v>
      </c>
      <c r="I46">
        <f>Start_Daten!I46</f>
        <v>0</v>
      </c>
      <c r="J46">
        <f>Start_Daten!J46</f>
        <v>0</v>
      </c>
      <c r="K46">
        <f>Start_Daten!K46</f>
        <v>0</v>
      </c>
      <c r="L46">
        <f>Start_Daten!L46</f>
        <v>0</v>
      </c>
      <c r="M46">
        <f>Start_Daten!M46</f>
        <v>0</v>
      </c>
      <c r="N46">
        <f>Start_Daten!N46</f>
        <v>0</v>
      </c>
      <c r="O46" s="4">
        <f>Start_Daten!O46</f>
        <v>0</v>
      </c>
    </row>
    <row r="47" spans="1:15">
      <c r="A47" s="1">
        <v>45</v>
      </c>
      <c r="B47">
        <f>Start_Daten!B47</f>
        <v>0</v>
      </c>
      <c r="C47" s="2">
        <f>Start_Daten!C47</f>
        <v>0</v>
      </c>
      <c r="E47" s="3" t="str">
        <f t="shared" si="0"/>
        <v/>
      </c>
      <c r="F47" s="1">
        <f>Start_Daten!F47</f>
        <v>0</v>
      </c>
      <c r="G47" s="1">
        <f>Start_Daten!G47</f>
        <v>0</v>
      </c>
      <c r="H47">
        <f>Start_Daten!H47</f>
        <v>0</v>
      </c>
      <c r="I47">
        <f>Start_Daten!I47</f>
        <v>0</v>
      </c>
      <c r="J47">
        <f>Start_Daten!J47</f>
        <v>0</v>
      </c>
      <c r="K47">
        <f>Start_Daten!K47</f>
        <v>0</v>
      </c>
      <c r="L47">
        <f>Start_Daten!L47</f>
        <v>0</v>
      </c>
      <c r="M47">
        <f>Start_Daten!M47</f>
        <v>0</v>
      </c>
      <c r="N47">
        <f>Start_Daten!N47</f>
        <v>0</v>
      </c>
      <c r="O47" s="4">
        <f>Start_Daten!O47</f>
        <v>0</v>
      </c>
    </row>
    <row r="48" spans="1:15">
      <c r="A48" s="1">
        <v>46</v>
      </c>
      <c r="B48">
        <f>Start_Daten!B48</f>
        <v>0</v>
      </c>
      <c r="C48" s="2">
        <f>Start_Daten!C48</f>
        <v>0</v>
      </c>
      <c r="E48" s="3" t="str">
        <f t="shared" si="0"/>
        <v/>
      </c>
      <c r="F48" s="1">
        <f>Start_Daten!F48</f>
        <v>0</v>
      </c>
      <c r="G48" s="1">
        <f>Start_Daten!G48</f>
        <v>0</v>
      </c>
      <c r="H48">
        <f>Start_Daten!H48</f>
        <v>0</v>
      </c>
      <c r="I48">
        <f>Start_Daten!I48</f>
        <v>0</v>
      </c>
      <c r="J48">
        <f>Start_Daten!J48</f>
        <v>0</v>
      </c>
      <c r="K48">
        <f>Start_Daten!K48</f>
        <v>0</v>
      </c>
      <c r="L48">
        <f>Start_Daten!L48</f>
        <v>0</v>
      </c>
      <c r="M48">
        <f>Start_Daten!M48</f>
        <v>0</v>
      </c>
      <c r="N48">
        <f>Start_Daten!N48</f>
        <v>0</v>
      </c>
      <c r="O48" s="4">
        <f>Start_Daten!O48</f>
        <v>0</v>
      </c>
    </row>
    <row r="49" spans="1:15">
      <c r="A49" s="1">
        <v>47</v>
      </c>
      <c r="B49">
        <f>Start_Daten!B49</f>
        <v>0</v>
      </c>
      <c r="C49" s="2">
        <f>Start_Daten!C49</f>
        <v>0</v>
      </c>
      <c r="E49" s="3" t="str">
        <f t="shared" si="0"/>
        <v/>
      </c>
      <c r="F49" s="1">
        <f>Start_Daten!F49</f>
        <v>0</v>
      </c>
      <c r="G49" s="1">
        <f>Start_Daten!G49</f>
        <v>0</v>
      </c>
      <c r="H49">
        <f>Start_Daten!H49</f>
        <v>0</v>
      </c>
      <c r="I49">
        <f>Start_Daten!I49</f>
        <v>0</v>
      </c>
      <c r="J49">
        <f>Start_Daten!J49</f>
        <v>0</v>
      </c>
      <c r="K49">
        <f>Start_Daten!K49</f>
        <v>0</v>
      </c>
      <c r="L49">
        <f>Start_Daten!L49</f>
        <v>0</v>
      </c>
      <c r="M49">
        <f>Start_Daten!M49</f>
        <v>0</v>
      </c>
      <c r="N49">
        <f>Start_Daten!N49</f>
        <v>0</v>
      </c>
      <c r="O49" s="4">
        <f>Start_Daten!O49</f>
        <v>0</v>
      </c>
    </row>
    <row r="50" spans="1:15">
      <c r="A50" s="1">
        <v>48</v>
      </c>
      <c r="B50">
        <f>Start_Daten!B50</f>
        <v>0</v>
      </c>
      <c r="C50" s="2">
        <f>Start_Daten!C50</f>
        <v>0</v>
      </c>
      <c r="E50" s="3" t="str">
        <f t="shared" si="0"/>
        <v/>
      </c>
      <c r="F50" s="1">
        <f>Start_Daten!F50</f>
        <v>0</v>
      </c>
      <c r="G50" s="1">
        <f>Start_Daten!G50</f>
        <v>0</v>
      </c>
      <c r="H50">
        <f>Start_Daten!H50</f>
        <v>0</v>
      </c>
      <c r="I50">
        <f>Start_Daten!I50</f>
        <v>0</v>
      </c>
      <c r="J50">
        <f>Start_Daten!J50</f>
        <v>0</v>
      </c>
      <c r="K50">
        <f>Start_Daten!K50</f>
        <v>0</v>
      </c>
      <c r="L50">
        <f>Start_Daten!L50</f>
        <v>0</v>
      </c>
      <c r="M50">
        <f>Start_Daten!M50</f>
        <v>0</v>
      </c>
      <c r="N50">
        <f>Start_Daten!N50</f>
        <v>0</v>
      </c>
      <c r="O50" s="4">
        <f>Start_Daten!O50</f>
        <v>0</v>
      </c>
    </row>
    <row r="51" spans="1:15">
      <c r="A51" s="1">
        <v>49</v>
      </c>
      <c r="B51">
        <f>Start_Daten!B51</f>
        <v>0</v>
      </c>
      <c r="C51" s="2">
        <f>Start_Daten!C51</f>
        <v>0</v>
      </c>
      <c r="E51" s="3" t="str">
        <f t="shared" si="0"/>
        <v/>
      </c>
      <c r="F51" s="1">
        <f>Start_Daten!F51</f>
        <v>0</v>
      </c>
      <c r="G51" s="1">
        <f>Start_Daten!G51</f>
        <v>0</v>
      </c>
      <c r="H51">
        <f>Start_Daten!H51</f>
        <v>0</v>
      </c>
      <c r="I51">
        <f>Start_Daten!I51</f>
        <v>0</v>
      </c>
      <c r="J51">
        <f>Start_Daten!J51</f>
        <v>0</v>
      </c>
      <c r="K51">
        <f>Start_Daten!K51</f>
        <v>0</v>
      </c>
      <c r="L51">
        <f>Start_Daten!L51</f>
        <v>0</v>
      </c>
      <c r="M51">
        <f>Start_Daten!M51</f>
        <v>0</v>
      </c>
      <c r="N51">
        <f>Start_Daten!N51</f>
        <v>0</v>
      </c>
      <c r="O51" s="4">
        <f>Start_Daten!O51</f>
        <v>0</v>
      </c>
    </row>
    <row r="52" spans="1:15">
      <c r="A52" s="1">
        <v>50</v>
      </c>
      <c r="B52">
        <f>Start_Daten!B52</f>
        <v>0</v>
      </c>
      <c r="C52" s="2">
        <f>Start_Daten!C52</f>
        <v>0</v>
      </c>
      <c r="E52" s="3" t="str">
        <f t="shared" si="0"/>
        <v/>
      </c>
      <c r="F52" s="1">
        <f>Start_Daten!F52</f>
        <v>0</v>
      </c>
      <c r="G52" s="1">
        <f>Start_Daten!G52</f>
        <v>0</v>
      </c>
      <c r="H52">
        <f>Start_Daten!H52</f>
        <v>0</v>
      </c>
      <c r="I52">
        <f>Start_Daten!I52</f>
        <v>0</v>
      </c>
      <c r="J52">
        <f>Start_Daten!J52</f>
        <v>0</v>
      </c>
      <c r="K52">
        <f>Start_Daten!K52</f>
        <v>0</v>
      </c>
      <c r="L52">
        <f>Start_Daten!L52</f>
        <v>0</v>
      </c>
      <c r="M52">
        <f>Start_Daten!M52</f>
        <v>0</v>
      </c>
      <c r="N52">
        <f>Start_Daten!N52</f>
        <v>0</v>
      </c>
      <c r="O52" s="4">
        <f>Start_Daten!O52</f>
        <v>0</v>
      </c>
    </row>
    <row r="53" spans="1:15">
      <c r="A53" s="1"/>
      <c r="C53" s="2"/>
      <c r="E53" s="3"/>
      <c r="O53" s="4"/>
    </row>
    <row r="54" spans="1:15">
      <c r="A54" s="1"/>
      <c r="C54" s="2"/>
      <c r="E54" s="3"/>
      <c r="O54" s="4"/>
    </row>
    <row r="55" spans="1:15">
      <c r="A55" s="1"/>
      <c r="C55" s="2"/>
      <c r="E55" s="3"/>
      <c r="O55" s="4"/>
    </row>
    <row r="56" spans="1:15">
      <c r="A56" s="1"/>
      <c r="C56" s="2"/>
      <c r="E56" s="3"/>
      <c r="O56" s="4"/>
    </row>
    <row r="57" spans="1:15">
      <c r="A57" s="1"/>
      <c r="C57" s="2"/>
      <c r="E57" s="3"/>
      <c r="O57" s="4"/>
    </row>
    <row r="58" spans="1:15">
      <c r="A58" s="1"/>
      <c r="C58" s="2"/>
      <c r="E58" s="3"/>
      <c r="O58" s="4"/>
    </row>
    <row r="59" spans="1:15">
      <c r="A59" s="1"/>
      <c r="C59" s="2"/>
      <c r="E59" s="3"/>
      <c r="O59" s="4"/>
    </row>
    <row r="60" spans="1:15">
      <c r="A60" s="1"/>
      <c r="C60" s="2"/>
      <c r="E60" s="3"/>
      <c r="O60" s="4"/>
    </row>
    <row r="61" spans="1:15">
      <c r="A61" s="1"/>
      <c r="C61" s="2"/>
      <c r="E61" s="3"/>
      <c r="O61" s="4"/>
    </row>
    <row r="62" spans="1:15">
      <c r="A62" s="1"/>
      <c r="C62" s="2"/>
      <c r="E62" s="3"/>
      <c r="O62" s="4"/>
    </row>
    <row r="63" spans="1:15">
      <c r="A63" s="1"/>
      <c r="C63" s="2"/>
      <c r="E63" s="3"/>
      <c r="O63" s="4"/>
    </row>
    <row r="64" spans="1:15">
      <c r="A64" s="1"/>
      <c r="C64" s="2"/>
      <c r="E64" s="3"/>
      <c r="O64" s="4"/>
    </row>
    <row r="65" spans="1:15">
      <c r="A65" s="1"/>
      <c r="C65" s="2"/>
      <c r="E65" s="3"/>
      <c r="O65" s="4"/>
    </row>
    <row r="66" spans="1:15">
      <c r="A66" s="1"/>
      <c r="C66" s="2"/>
      <c r="E66" s="3"/>
      <c r="O66" s="4"/>
    </row>
    <row r="67" spans="1:15">
      <c r="A67" s="1"/>
      <c r="C67" s="2"/>
      <c r="E67" s="3"/>
      <c r="O67" s="4"/>
    </row>
    <row r="68" spans="1:15">
      <c r="A68" s="1"/>
      <c r="C68" s="2"/>
      <c r="E68" s="3"/>
      <c r="O68" s="4"/>
    </row>
    <row r="69" spans="1:15">
      <c r="A69" s="1"/>
      <c r="C69" s="2"/>
      <c r="E69" s="3"/>
      <c r="O69" s="4"/>
    </row>
    <row r="70" spans="1:15">
      <c r="A70" s="1"/>
      <c r="C70" s="2"/>
      <c r="E70" s="3"/>
      <c r="O70" s="4"/>
    </row>
    <row r="71" spans="1:15">
      <c r="A71" s="1"/>
      <c r="C71" s="2"/>
      <c r="E71" s="3"/>
      <c r="O71" s="4"/>
    </row>
    <row r="72" spans="1:15">
      <c r="A72" s="1"/>
      <c r="C72" s="2"/>
      <c r="E72" s="3"/>
      <c r="O72" s="4"/>
    </row>
    <row r="73" spans="1:15">
      <c r="A73" s="1"/>
      <c r="C73" s="2"/>
      <c r="E73" s="3"/>
      <c r="O73" s="4"/>
    </row>
    <row r="74" spans="1:15">
      <c r="A74" s="1"/>
      <c r="C74" s="2"/>
      <c r="E74" s="3"/>
      <c r="O74" s="4"/>
    </row>
    <row r="75" spans="1:15">
      <c r="A75" s="1"/>
      <c r="C75" s="2"/>
      <c r="E75" s="3"/>
      <c r="O75" s="4"/>
    </row>
    <row r="76" spans="1:15">
      <c r="A76" s="1"/>
      <c r="C76" s="2"/>
      <c r="E76" s="3"/>
      <c r="O76" s="4"/>
    </row>
    <row r="77" spans="1:15">
      <c r="A77" s="1"/>
      <c r="C77" s="2"/>
      <c r="E77" s="3"/>
      <c r="O77" s="4"/>
    </row>
    <row r="78" spans="1:15">
      <c r="A78" s="1"/>
      <c r="C78" s="2"/>
      <c r="E78" s="3"/>
      <c r="O78" s="4"/>
    </row>
    <row r="79" spans="1:15">
      <c r="A79" s="1"/>
      <c r="C79" s="2"/>
      <c r="E79" s="3"/>
      <c r="O79" s="4"/>
    </row>
    <row r="80" spans="1:15">
      <c r="A80" s="1"/>
      <c r="C80" s="2"/>
      <c r="E80" s="3"/>
      <c r="O80" s="4"/>
    </row>
    <row r="81" spans="1:15">
      <c r="A81" s="1"/>
      <c r="C81" s="2"/>
      <c r="E81" s="3"/>
      <c r="O81" s="4"/>
    </row>
    <row r="82" spans="1:15">
      <c r="A82" s="1"/>
      <c r="C82" s="2"/>
      <c r="E82" s="3"/>
      <c r="O82" s="4"/>
    </row>
    <row r="83" spans="1:15">
      <c r="A83" s="1"/>
      <c r="C83" s="2"/>
      <c r="E83" s="3"/>
      <c r="O83" s="4"/>
    </row>
    <row r="84" spans="1:15">
      <c r="A84" s="1"/>
      <c r="C84" s="2"/>
      <c r="E84" s="3"/>
      <c r="O84" s="4"/>
    </row>
    <row r="85" spans="1:15">
      <c r="A85" s="1"/>
      <c r="C85" s="2"/>
      <c r="E85" s="3"/>
      <c r="O85" s="4"/>
    </row>
    <row r="86" spans="1:15">
      <c r="A86" s="1"/>
      <c r="C86" s="2"/>
      <c r="E86" s="3"/>
      <c r="O86" s="4"/>
    </row>
    <row r="87" spans="1:15">
      <c r="A87" s="1"/>
      <c r="C87" s="2"/>
      <c r="E87" s="3"/>
      <c r="O87" s="4"/>
    </row>
    <row r="88" spans="1:15">
      <c r="A88" s="1"/>
      <c r="C88" s="2"/>
      <c r="E88" s="3"/>
      <c r="O88" s="4"/>
    </row>
    <row r="89" spans="1:15">
      <c r="A89" s="1"/>
      <c r="C89" s="2"/>
      <c r="E89" s="3"/>
      <c r="O89" s="4"/>
    </row>
    <row r="90" spans="1:15">
      <c r="A90" s="1"/>
      <c r="C90" s="2"/>
      <c r="E90" s="3"/>
      <c r="O90" s="4"/>
    </row>
    <row r="91" spans="1:15">
      <c r="A91" s="1"/>
      <c r="C91" s="2"/>
      <c r="E91" s="3"/>
      <c r="O91" s="4"/>
    </row>
    <row r="92" spans="1:15">
      <c r="A92" s="1"/>
      <c r="C92" s="2"/>
      <c r="E92" s="3"/>
      <c r="O92" s="4"/>
    </row>
    <row r="93" spans="1:15">
      <c r="A93" s="1"/>
      <c r="C93" s="2"/>
      <c r="E93" s="3"/>
      <c r="O93" s="4"/>
    </row>
    <row r="94" spans="1:15">
      <c r="A94" s="1"/>
      <c r="C94" s="2"/>
      <c r="E94" s="3"/>
      <c r="O94" s="4"/>
    </row>
    <row r="95" spans="1:15">
      <c r="A95" s="1"/>
      <c r="C95" s="2"/>
      <c r="E95" s="3"/>
      <c r="O95" s="4"/>
    </row>
    <row r="96" spans="1:15">
      <c r="A96" s="1"/>
      <c r="C96" s="2"/>
      <c r="E96" s="3"/>
      <c r="O96" s="4"/>
    </row>
    <row r="97" spans="1:15">
      <c r="A97" s="1"/>
      <c r="C97" s="2"/>
      <c r="E97" s="3"/>
      <c r="O97" s="4"/>
    </row>
    <row r="98" spans="1:15">
      <c r="A98" s="1"/>
      <c r="C98" s="2"/>
      <c r="E98" s="3"/>
      <c r="O98" s="4"/>
    </row>
    <row r="99" spans="1:15">
      <c r="A99" s="1"/>
      <c r="C99" s="2"/>
      <c r="E99" s="3"/>
      <c r="O99" s="4"/>
    </row>
    <row r="100" spans="1:15">
      <c r="A100" s="1"/>
      <c r="C100" s="2"/>
      <c r="E100" s="3"/>
      <c r="O100" s="4"/>
    </row>
    <row r="101" spans="1:15">
      <c r="A101" s="1"/>
      <c r="C101" s="2"/>
      <c r="E101" s="3"/>
      <c r="O101" s="4"/>
    </row>
    <row r="102" spans="1:15">
      <c r="A102" s="1"/>
      <c r="C102" s="2"/>
      <c r="E102" s="3"/>
      <c r="O102" s="4"/>
    </row>
    <row r="103" spans="1:15">
      <c r="A103" s="1"/>
      <c r="C103" s="2"/>
      <c r="E103" s="3"/>
      <c r="O103" s="4"/>
    </row>
    <row r="104" spans="1:15">
      <c r="A104" s="1"/>
      <c r="C104" s="2"/>
      <c r="E104" s="3"/>
      <c r="O104" s="4"/>
    </row>
    <row r="105" spans="1:15">
      <c r="A105" s="1"/>
      <c r="C105" s="2"/>
      <c r="E105" s="3"/>
      <c r="O105" s="4"/>
    </row>
    <row r="106" spans="1:15">
      <c r="A106" s="1"/>
      <c r="C106" s="2"/>
      <c r="E106" s="3"/>
      <c r="O106" s="4"/>
    </row>
    <row r="107" spans="1:15">
      <c r="A107" s="1"/>
      <c r="C107" s="2"/>
      <c r="E107" s="3"/>
      <c r="O107" s="4"/>
    </row>
    <row r="108" spans="1:15">
      <c r="A108" s="1"/>
      <c r="C108" s="2"/>
      <c r="E108" s="3"/>
      <c r="O108" s="4"/>
    </row>
    <row r="109" spans="1:15">
      <c r="A109" s="1"/>
      <c r="C109" s="2"/>
      <c r="E109" s="3"/>
      <c r="O109" s="4"/>
    </row>
    <row r="110" spans="1:15">
      <c r="A110" s="1"/>
      <c r="C110" s="2"/>
      <c r="E110" s="3"/>
      <c r="O110" s="4"/>
    </row>
    <row r="111" spans="1:15">
      <c r="A111" s="1"/>
      <c r="C111" s="2"/>
      <c r="E111" s="3"/>
      <c r="O111" s="4"/>
    </row>
    <row r="112" spans="1:15">
      <c r="A112" s="1"/>
      <c r="C112" s="2"/>
      <c r="E112" s="3"/>
      <c r="O112" s="4"/>
    </row>
    <row r="113" spans="1:15">
      <c r="A113" s="1"/>
      <c r="C113" s="2"/>
      <c r="E113" s="3"/>
      <c r="O113" s="4"/>
    </row>
    <row r="114" spans="1:15">
      <c r="A114" s="1"/>
      <c r="C114" s="2"/>
      <c r="E114" s="3"/>
      <c r="O114" s="4"/>
    </row>
    <row r="115" spans="1:15">
      <c r="A115" s="1"/>
      <c r="C115" s="2"/>
      <c r="E115" s="3"/>
      <c r="O115" s="4"/>
    </row>
    <row r="116" spans="1:15">
      <c r="A116" s="1"/>
      <c r="C116" s="2"/>
      <c r="E116" s="3"/>
      <c r="O116" s="4"/>
    </row>
    <row r="117" spans="1:15">
      <c r="A117" s="1"/>
      <c r="C117" s="2"/>
      <c r="E117" s="3"/>
      <c r="O117" s="4"/>
    </row>
    <row r="118" spans="1:15">
      <c r="A118" s="1"/>
      <c r="C118" s="2"/>
      <c r="E118" s="3"/>
      <c r="O118" s="4"/>
    </row>
    <row r="119" spans="1:15">
      <c r="A119" s="1"/>
      <c r="C119" s="2"/>
      <c r="E119" s="3"/>
      <c r="O119" s="4"/>
    </row>
    <row r="120" spans="1:15">
      <c r="A120" s="1"/>
      <c r="C120" s="2"/>
      <c r="E120" s="3"/>
      <c r="O120" s="4"/>
    </row>
    <row r="121" spans="1:15">
      <c r="A121" s="1"/>
      <c r="C121" s="2"/>
      <c r="E121" s="3"/>
      <c r="O121" s="4"/>
    </row>
    <row r="122" spans="1:15">
      <c r="A122" s="1"/>
      <c r="C122" s="2"/>
      <c r="E122" s="3"/>
      <c r="O122" s="4"/>
    </row>
    <row r="123" spans="1:15">
      <c r="A123" s="1"/>
      <c r="C123" s="2"/>
      <c r="E123" s="3"/>
      <c r="O123" s="4"/>
    </row>
    <row r="124" spans="1:15">
      <c r="A124" s="1"/>
      <c r="C124" s="2"/>
      <c r="E124" s="3"/>
      <c r="O124" s="4"/>
    </row>
    <row r="125" spans="1:15">
      <c r="A125" s="1"/>
      <c r="C125" s="2"/>
      <c r="E125" s="3"/>
      <c r="O125" s="4"/>
    </row>
    <row r="126" spans="1:15">
      <c r="A126" s="1"/>
      <c r="C126" s="2"/>
      <c r="E126" s="3"/>
      <c r="O126" s="4"/>
    </row>
    <row r="127" spans="1:15">
      <c r="A127" s="1"/>
      <c r="C127" s="2"/>
      <c r="E127" s="3"/>
      <c r="O127" s="4"/>
    </row>
    <row r="128" spans="1:15">
      <c r="A128" s="1"/>
      <c r="C128" s="2"/>
      <c r="E128" s="3"/>
      <c r="O128" s="4"/>
    </row>
    <row r="129" spans="1:15">
      <c r="A129" s="1"/>
      <c r="C129" s="2"/>
      <c r="E129" s="3"/>
      <c r="O129" s="4"/>
    </row>
    <row r="130" spans="1:15">
      <c r="A130" s="1"/>
      <c r="C130" s="2"/>
      <c r="E130" s="3"/>
      <c r="O130" s="4"/>
    </row>
    <row r="131" spans="1:15">
      <c r="A131" s="1"/>
      <c r="C131" s="2"/>
      <c r="E131" s="3"/>
      <c r="O131" s="4"/>
    </row>
    <row r="132" spans="1:15">
      <c r="A132" s="1"/>
      <c r="C132" s="2"/>
      <c r="E132" s="3"/>
      <c r="O132" s="4"/>
    </row>
    <row r="133" spans="1:15">
      <c r="A133" s="1"/>
      <c r="C133" s="2"/>
      <c r="E133" s="3"/>
      <c r="O133" s="4"/>
    </row>
    <row r="134" spans="1:15">
      <c r="A134" s="1"/>
      <c r="C134" s="2"/>
      <c r="E134" s="3"/>
      <c r="O134" s="4"/>
    </row>
    <row r="135" spans="1:15">
      <c r="A135" s="1"/>
      <c r="C135" s="2"/>
      <c r="E135" s="3"/>
      <c r="O135" s="4"/>
    </row>
    <row r="136" spans="1:15">
      <c r="A136" s="1"/>
      <c r="C136" s="2"/>
      <c r="E136" s="3"/>
      <c r="O136" s="4"/>
    </row>
    <row r="137" spans="1:15">
      <c r="A137" s="1"/>
      <c r="C137" s="2"/>
      <c r="E137" s="3"/>
      <c r="O137" s="4"/>
    </row>
    <row r="138" spans="1:15">
      <c r="A138" s="1"/>
      <c r="C138" s="2"/>
      <c r="E138" s="3"/>
      <c r="O138" s="4"/>
    </row>
    <row r="139" spans="1:15">
      <c r="A139" s="1"/>
      <c r="C139" s="2"/>
      <c r="E139" s="3"/>
      <c r="O139" s="4"/>
    </row>
    <row r="140" spans="1:15">
      <c r="A140" s="1"/>
      <c r="C140" s="2"/>
      <c r="E140" s="3"/>
      <c r="O140" s="4"/>
    </row>
    <row r="141" spans="1:15">
      <c r="A141" s="1"/>
      <c r="C141" s="2"/>
      <c r="E141" s="3"/>
      <c r="O141" s="4"/>
    </row>
    <row r="142" spans="1:15">
      <c r="A142" s="1"/>
      <c r="C142" s="2"/>
      <c r="E142" s="3"/>
      <c r="O142" s="4"/>
    </row>
    <row r="143" spans="1:15">
      <c r="A143" s="1"/>
      <c r="C143" s="2"/>
      <c r="E143" s="3"/>
      <c r="O143" s="4"/>
    </row>
    <row r="144" spans="1:15">
      <c r="A144" s="1"/>
      <c r="C144" s="2"/>
      <c r="E144" s="3"/>
      <c r="O144" s="4"/>
    </row>
    <row r="145" spans="1:15">
      <c r="A145" s="1"/>
      <c r="C145" s="2"/>
      <c r="E145" s="3"/>
      <c r="O145" s="4"/>
    </row>
    <row r="146" spans="1:15">
      <c r="A146" s="1"/>
      <c r="C146" s="2"/>
      <c r="E146" s="3"/>
      <c r="O146" s="4"/>
    </row>
    <row r="147" spans="1:15">
      <c r="A147" s="1"/>
      <c r="C147" s="2"/>
      <c r="E147" s="3"/>
      <c r="O147" s="4"/>
    </row>
    <row r="148" spans="1:15">
      <c r="A148" s="1"/>
      <c r="C148" s="2"/>
      <c r="E148" s="3"/>
      <c r="O148" s="4"/>
    </row>
    <row r="149" spans="1:15">
      <c r="A149" s="1"/>
      <c r="C149" s="2"/>
      <c r="E149" s="3"/>
      <c r="O149" s="4"/>
    </row>
    <row r="150" spans="1:15">
      <c r="A150" s="1"/>
      <c r="C150" s="2"/>
      <c r="E150" s="3"/>
      <c r="O150" s="4"/>
    </row>
    <row r="151" spans="1:15">
      <c r="A151" s="1"/>
      <c r="C151" s="2"/>
      <c r="E151" s="3"/>
      <c r="O151" s="4"/>
    </row>
    <row r="152" spans="1:15">
      <c r="A152" s="1"/>
      <c r="C152" s="2"/>
      <c r="E152" s="3"/>
      <c r="O152" s="4"/>
    </row>
    <row r="153" spans="1:15">
      <c r="A153" s="1"/>
      <c r="C153" s="2"/>
      <c r="E153" s="3"/>
      <c r="O153" s="4"/>
    </row>
    <row r="154" spans="1:15">
      <c r="A154" s="1"/>
      <c r="C154" s="2"/>
      <c r="E154" s="3"/>
      <c r="O154" s="4"/>
    </row>
    <row r="155" spans="1:15">
      <c r="A155" s="1"/>
      <c r="C155" s="2"/>
      <c r="E155" s="3"/>
      <c r="O155" s="4"/>
    </row>
    <row r="156" spans="1:15">
      <c r="A156" s="1"/>
      <c r="C156" s="2"/>
      <c r="E156" s="3"/>
      <c r="O156" s="4"/>
    </row>
    <row r="157" spans="1:15">
      <c r="A157" s="1"/>
      <c r="C157" s="2"/>
      <c r="E157" s="3"/>
      <c r="O157" s="4"/>
    </row>
    <row r="158" spans="1:15">
      <c r="A158" s="1"/>
      <c r="C158" s="2"/>
      <c r="E158" s="3"/>
      <c r="O158" s="4"/>
    </row>
    <row r="159" spans="1:15">
      <c r="A159" s="1"/>
      <c r="C159" s="2"/>
      <c r="E159" s="3"/>
      <c r="O159" s="4"/>
    </row>
    <row r="160" spans="1:15">
      <c r="A160" s="1"/>
      <c r="C160" s="2"/>
      <c r="E160" s="3"/>
      <c r="O160" s="4"/>
    </row>
    <row r="161" spans="1:15">
      <c r="A161" s="1"/>
      <c r="C161" s="2"/>
      <c r="E161" s="3"/>
      <c r="O161" s="4"/>
    </row>
    <row r="162" spans="1:15">
      <c r="A162" s="1"/>
      <c r="C162" s="2"/>
      <c r="E162" s="3"/>
      <c r="O162" s="4"/>
    </row>
    <row r="163" spans="1:15">
      <c r="A163" s="1"/>
      <c r="C163" s="2"/>
      <c r="E163" s="3"/>
      <c r="O163" s="4"/>
    </row>
    <row r="164" spans="1:15">
      <c r="A164" s="1"/>
      <c r="C164" s="2"/>
      <c r="E164" s="3"/>
      <c r="O164" s="4"/>
    </row>
    <row r="165" spans="1:15">
      <c r="A165" s="1"/>
      <c r="C165" s="2"/>
      <c r="E165" s="3"/>
      <c r="O165" s="4"/>
    </row>
    <row r="166" spans="1:15">
      <c r="A166" s="1"/>
      <c r="C166" s="2"/>
      <c r="E166" s="3"/>
      <c r="O166" s="4"/>
    </row>
    <row r="167" spans="1:15">
      <c r="A167" s="1"/>
      <c r="C167" s="2"/>
      <c r="E167" s="3"/>
      <c r="O167" s="4"/>
    </row>
    <row r="168" spans="1:15">
      <c r="A168" s="1"/>
      <c r="C168" s="2"/>
      <c r="E168" s="3"/>
      <c r="O168" s="4"/>
    </row>
    <row r="169" spans="1:15">
      <c r="A169" s="1"/>
      <c r="C169" s="2"/>
      <c r="E169" s="3"/>
      <c r="O169" s="4"/>
    </row>
    <row r="170" spans="1:15">
      <c r="A170" s="1"/>
      <c r="C170" s="2"/>
      <c r="E170" s="3"/>
      <c r="O170" s="4"/>
    </row>
    <row r="171" spans="1:15">
      <c r="A171" s="1"/>
      <c r="C171" s="2"/>
      <c r="E171" s="3"/>
      <c r="O171" s="4"/>
    </row>
    <row r="172" spans="1:15">
      <c r="A172" s="1"/>
      <c r="C172" s="2"/>
      <c r="E172" s="3"/>
      <c r="O172" s="4"/>
    </row>
    <row r="173" spans="1:15">
      <c r="A173" s="1"/>
      <c r="C173" s="2"/>
      <c r="E173" s="3"/>
      <c r="O173" s="4"/>
    </row>
    <row r="174" spans="1:15">
      <c r="A174" s="1"/>
      <c r="C174" s="2"/>
      <c r="E174" s="3"/>
      <c r="O174" s="4"/>
    </row>
    <row r="175" spans="1:15">
      <c r="A175" s="1"/>
      <c r="C175" s="2"/>
      <c r="E175" s="3"/>
      <c r="O175" s="4"/>
    </row>
    <row r="176" spans="1:15">
      <c r="A176" s="1"/>
      <c r="C176" s="2"/>
      <c r="E176" s="3"/>
      <c r="O176" s="4"/>
    </row>
    <row r="177" spans="1:15">
      <c r="A177" s="1"/>
      <c r="C177" s="2"/>
      <c r="E177" s="3"/>
      <c r="O177" s="4"/>
    </row>
    <row r="178" spans="1:15">
      <c r="A178" s="1"/>
      <c r="C178" s="2"/>
      <c r="E178" s="3"/>
      <c r="O178" s="4"/>
    </row>
    <row r="179" spans="1:15">
      <c r="A179" s="1"/>
      <c r="C179" s="2"/>
      <c r="E179" s="3"/>
      <c r="O179" s="4"/>
    </row>
    <row r="180" spans="1:15">
      <c r="A180" s="1"/>
      <c r="C180" s="2"/>
      <c r="E180" s="3"/>
      <c r="O180" s="4"/>
    </row>
    <row r="181" spans="1:15">
      <c r="A181" s="1"/>
      <c r="C181" s="2"/>
      <c r="E181" s="3"/>
      <c r="O181" s="4"/>
    </row>
    <row r="182" spans="1:15">
      <c r="A182" s="1"/>
      <c r="C182" s="2"/>
      <c r="E182" s="3"/>
      <c r="O182" s="4"/>
    </row>
    <row r="183" spans="1:15">
      <c r="A183" s="1"/>
      <c r="C183" s="2"/>
      <c r="E183" s="3"/>
      <c r="O183" s="4"/>
    </row>
    <row r="184" spans="1:15">
      <c r="A184" s="1"/>
      <c r="C184" s="2"/>
      <c r="E184" s="3"/>
      <c r="O184" s="4"/>
    </row>
    <row r="185" spans="1:15">
      <c r="A185" s="1"/>
      <c r="C185" s="2"/>
      <c r="E185" s="3"/>
      <c r="O185" s="4"/>
    </row>
    <row r="186" spans="1:15">
      <c r="A186" s="1"/>
      <c r="C186" s="2"/>
      <c r="E186" s="3"/>
      <c r="O186" s="4"/>
    </row>
    <row r="187" spans="1:15">
      <c r="A187" s="1"/>
      <c r="C187" s="2"/>
      <c r="E187" s="3"/>
      <c r="O187" s="4"/>
    </row>
    <row r="188" spans="1:15">
      <c r="A188" s="1"/>
      <c r="C188" s="2"/>
      <c r="E188" s="3"/>
      <c r="O188" s="4"/>
    </row>
    <row r="189" spans="1:15">
      <c r="A189" s="1"/>
      <c r="C189" s="2"/>
      <c r="E189" s="3"/>
      <c r="O189" s="4"/>
    </row>
    <row r="190" spans="1:15">
      <c r="A190" s="1"/>
      <c r="C190" s="2"/>
      <c r="E190" s="3"/>
      <c r="O190" s="4"/>
    </row>
    <row r="191" spans="1:15">
      <c r="A191" s="1"/>
      <c r="C191" s="2"/>
      <c r="E191" s="3"/>
      <c r="O191" s="4"/>
    </row>
    <row r="192" spans="1:15">
      <c r="A192" s="1"/>
      <c r="C192" s="2"/>
      <c r="E192" s="3"/>
      <c r="O192" s="4"/>
    </row>
    <row r="193" spans="1:15">
      <c r="A193" s="1"/>
      <c r="C193" s="2"/>
      <c r="E193" s="3"/>
      <c r="O193" s="4"/>
    </row>
    <row r="194" spans="1:15">
      <c r="A194" s="1"/>
      <c r="C194" s="2"/>
      <c r="E194" s="3"/>
      <c r="O194" s="4"/>
    </row>
    <row r="195" spans="1:15">
      <c r="A195" s="1"/>
      <c r="C195" s="2"/>
      <c r="E195" s="3"/>
      <c r="O195" s="4"/>
    </row>
    <row r="196" spans="1:15">
      <c r="A196" s="1"/>
      <c r="C196" s="2"/>
      <c r="E196" s="3"/>
      <c r="O196" s="4"/>
    </row>
    <row r="197" spans="1:15">
      <c r="A197" s="1"/>
      <c r="C197" s="2"/>
      <c r="E197" s="3"/>
      <c r="O197" s="4"/>
    </row>
    <row r="198" spans="1:15">
      <c r="A198" s="1"/>
      <c r="C198" s="2"/>
      <c r="E198" s="3"/>
      <c r="O198" s="4"/>
    </row>
    <row r="199" spans="1:15">
      <c r="A199" s="1"/>
      <c r="C199" s="2"/>
      <c r="E199" s="3"/>
      <c r="O199" s="4"/>
    </row>
    <row r="200" spans="1:15">
      <c r="A200" s="1"/>
      <c r="C200" s="2"/>
      <c r="E200" s="3"/>
      <c r="O200" s="4"/>
    </row>
    <row r="201" spans="1:15">
      <c r="A201" s="1"/>
      <c r="C201" s="2"/>
      <c r="E201" s="3"/>
      <c r="O201" s="4"/>
    </row>
    <row r="202" spans="1:15">
      <c r="A202" s="1"/>
      <c r="C202" s="2"/>
      <c r="E202" s="3"/>
      <c r="O202" s="4"/>
    </row>
    <row r="203" spans="1:15">
      <c r="A203" s="1"/>
      <c r="C203" s="2"/>
      <c r="E203" s="3"/>
      <c r="O203" s="4"/>
    </row>
    <row r="204" spans="1:15">
      <c r="A204" s="1"/>
      <c r="C204" s="2"/>
      <c r="E204" s="3"/>
      <c r="O204" s="4"/>
    </row>
    <row r="205" spans="1:15">
      <c r="A205" s="1"/>
      <c r="C205" s="2"/>
      <c r="E205" s="3"/>
      <c r="O205" s="4"/>
    </row>
    <row r="206" spans="1:15">
      <c r="A206" s="1"/>
      <c r="C206" s="2"/>
      <c r="E206" s="3"/>
      <c r="O206" s="4"/>
    </row>
    <row r="207" spans="1:15">
      <c r="A207" s="1"/>
      <c r="C207" s="2"/>
      <c r="E207" s="3"/>
      <c r="O207" s="4"/>
    </row>
    <row r="208" spans="1:15">
      <c r="A208" s="1"/>
      <c r="C208" s="2"/>
      <c r="E208" s="3"/>
      <c r="O208" s="4"/>
    </row>
    <row r="209" spans="1:15">
      <c r="A209" s="1"/>
      <c r="C209" s="2"/>
      <c r="E209" s="3"/>
      <c r="O209" s="4"/>
    </row>
    <row r="210" spans="1:15">
      <c r="A210" s="1"/>
      <c r="C210" s="2"/>
      <c r="E210" s="3"/>
      <c r="O210" s="4"/>
    </row>
    <row r="211" spans="1:15">
      <c r="A211" s="1"/>
      <c r="C211" s="2"/>
      <c r="E211" s="3"/>
      <c r="O211" s="4"/>
    </row>
    <row r="212" spans="1:15">
      <c r="A212" s="1"/>
      <c r="C212" s="2"/>
      <c r="E212" s="3"/>
      <c r="O212" s="4"/>
    </row>
    <row r="213" spans="1:15">
      <c r="A213" s="1"/>
      <c r="C213" s="2"/>
      <c r="E213" s="3"/>
      <c r="O213" s="4"/>
    </row>
    <row r="214" spans="1:15">
      <c r="A214" s="1"/>
      <c r="C214" s="2"/>
      <c r="E214" s="3"/>
      <c r="O214" s="4"/>
    </row>
    <row r="215" spans="1:15">
      <c r="A215" s="1"/>
      <c r="C215" s="2"/>
      <c r="E215" s="3"/>
      <c r="O215" s="4"/>
    </row>
    <row r="216" spans="1:15">
      <c r="A216" s="1"/>
      <c r="C216" s="2"/>
      <c r="E216" s="3"/>
      <c r="O216" s="4"/>
    </row>
    <row r="217" spans="1:15">
      <c r="A217" s="1"/>
      <c r="C217" s="2"/>
      <c r="E217" s="3"/>
      <c r="O217" s="4"/>
    </row>
    <row r="218" spans="1:15">
      <c r="A218" s="1"/>
      <c r="C218" s="2"/>
      <c r="E218" s="3"/>
      <c r="O218" s="4"/>
    </row>
    <row r="219" spans="1:15">
      <c r="A219" s="1"/>
      <c r="C219" s="2"/>
      <c r="E219" s="3"/>
      <c r="O219" s="4"/>
    </row>
    <row r="220" spans="1:15">
      <c r="A220" s="1"/>
      <c r="C220" s="2"/>
      <c r="E220" s="3"/>
      <c r="O220" s="4"/>
    </row>
    <row r="221" spans="1:15">
      <c r="A221" s="1"/>
      <c r="C221" s="2"/>
      <c r="E221" s="3"/>
      <c r="O221" s="4"/>
    </row>
    <row r="222" spans="1:15">
      <c r="A222" s="1"/>
      <c r="C222" s="2"/>
      <c r="E222" s="3"/>
      <c r="O222" s="4"/>
    </row>
    <row r="223" spans="1:15">
      <c r="A223" s="1"/>
      <c r="C223" s="2"/>
      <c r="E223" s="3"/>
      <c r="O223" s="4"/>
    </row>
    <row r="224" spans="1:15">
      <c r="A224" s="1"/>
      <c r="C224" s="2"/>
      <c r="E224" s="3"/>
      <c r="O224" s="4"/>
    </row>
    <row r="225" spans="1:15">
      <c r="A225" s="1"/>
      <c r="C225" s="2"/>
      <c r="E225" s="3"/>
      <c r="O225" s="4"/>
    </row>
    <row r="226" spans="1:15">
      <c r="A226" s="1"/>
      <c r="C226" s="2"/>
      <c r="E226" s="3"/>
      <c r="O226" s="4"/>
    </row>
    <row r="227" spans="1:15">
      <c r="A227" s="1"/>
      <c r="C227" s="2"/>
      <c r="E227" s="3"/>
      <c r="O227" s="4"/>
    </row>
    <row r="228" spans="1:15">
      <c r="A228" s="1"/>
      <c r="C228" s="2"/>
      <c r="E228" s="3"/>
      <c r="O228" s="4"/>
    </row>
    <row r="229" spans="1:15">
      <c r="A229" s="1"/>
      <c r="C229" s="2"/>
      <c r="E229" s="3"/>
      <c r="O229" s="4"/>
    </row>
    <row r="230" spans="1:15">
      <c r="A230" s="1"/>
      <c r="C230" s="2"/>
      <c r="E230" s="3"/>
      <c r="O230" s="4"/>
    </row>
    <row r="231" spans="1:15">
      <c r="A231" s="1"/>
      <c r="C231" s="2"/>
      <c r="E231" s="3"/>
      <c r="O231" s="4"/>
    </row>
    <row r="232" spans="1:15">
      <c r="A232" s="1"/>
      <c r="C232" s="2"/>
      <c r="E232" s="3"/>
      <c r="O232" s="4"/>
    </row>
    <row r="233" spans="1:15">
      <c r="A233" s="1"/>
      <c r="C233" s="2"/>
      <c r="E233" s="3"/>
      <c r="O233" s="4"/>
    </row>
    <row r="234" spans="1:15">
      <c r="A234" s="1"/>
      <c r="C234" s="2"/>
      <c r="E234" s="3"/>
      <c r="O234" s="4"/>
    </row>
    <row r="235" spans="1:15">
      <c r="A235" s="1"/>
      <c r="C235" s="2"/>
      <c r="E235" s="3"/>
      <c r="O235" s="4"/>
    </row>
    <row r="236" spans="1:15">
      <c r="A236" s="1"/>
      <c r="C236" s="2"/>
      <c r="E236" s="3"/>
      <c r="O236" s="4"/>
    </row>
    <row r="237" spans="1:15">
      <c r="A237" s="1"/>
      <c r="C237" s="2"/>
      <c r="E237" s="3"/>
      <c r="O237" s="4"/>
    </row>
    <row r="238" spans="1:15">
      <c r="A238" s="1"/>
      <c r="C238" s="2"/>
      <c r="E238" s="3"/>
      <c r="O238" s="4"/>
    </row>
    <row r="239" spans="1:15">
      <c r="A239" s="1"/>
      <c r="C239" s="2"/>
      <c r="E239" s="3"/>
      <c r="O239" s="4"/>
    </row>
    <row r="240" spans="1:15">
      <c r="A240" s="1"/>
      <c r="C240" s="2"/>
      <c r="E240" s="3"/>
      <c r="O240" s="4"/>
    </row>
    <row r="241" spans="1:15">
      <c r="A241" s="1"/>
      <c r="C241" s="2"/>
      <c r="E241" s="3"/>
      <c r="O241" s="4"/>
    </row>
    <row r="242" spans="1:15">
      <c r="A242" s="1"/>
      <c r="C242" s="2"/>
      <c r="E242" s="3"/>
      <c r="O242" s="4"/>
    </row>
    <row r="243" spans="1:15">
      <c r="A243" s="1"/>
      <c r="C243" s="2"/>
      <c r="E243" s="3"/>
      <c r="O243" s="4"/>
    </row>
    <row r="244" spans="1:15">
      <c r="A244" s="1"/>
      <c r="C244" s="2"/>
      <c r="E244" s="3"/>
      <c r="O244" s="4"/>
    </row>
    <row r="245" spans="1:15">
      <c r="A245" s="1"/>
      <c r="C245" s="2"/>
      <c r="E245" s="3"/>
      <c r="O245" s="4"/>
    </row>
    <row r="246" spans="1:15">
      <c r="A246" s="1"/>
      <c r="C246" s="2"/>
      <c r="E246" s="3"/>
      <c r="O246" s="4"/>
    </row>
    <row r="247" spans="1:15">
      <c r="A247" s="1"/>
      <c r="C247" s="2"/>
      <c r="E247" s="3"/>
      <c r="O247" s="4"/>
    </row>
    <row r="248" spans="1:15">
      <c r="A248" s="1"/>
      <c r="C248" s="2"/>
      <c r="E248" s="3"/>
      <c r="O248" s="4"/>
    </row>
    <row r="249" spans="1:15">
      <c r="A249" s="1"/>
      <c r="C249" s="2"/>
      <c r="E249" s="3"/>
      <c r="O249" s="4"/>
    </row>
    <row r="250" spans="1:15">
      <c r="A250" s="1"/>
      <c r="C250" s="2"/>
      <c r="E250" s="3"/>
      <c r="O250" s="4"/>
    </row>
    <row r="251" spans="1:15">
      <c r="A251" s="1"/>
      <c r="C251" s="2"/>
      <c r="E251" s="3"/>
      <c r="O251" s="4"/>
    </row>
    <row r="252" spans="1:15">
      <c r="A252" s="1"/>
      <c r="C252" s="2"/>
      <c r="E252" s="3"/>
      <c r="O252" s="4"/>
    </row>
    <row r="253" spans="1:15">
      <c r="A253" s="1"/>
      <c r="C253" s="2"/>
      <c r="E253" s="3"/>
      <c r="O253" s="4"/>
    </row>
    <row r="254" spans="1:15">
      <c r="A254" s="1"/>
      <c r="C254" s="2"/>
      <c r="E254" s="3"/>
      <c r="O254" s="4"/>
    </row>
    <row r="255" spans="1:15">
      <c r="A255" s="1"/>
      <c r="C255" s="2"/>
      <c r="E255" s="3"/>
      <c r="O255" s="4"/>
    </row>
    <row r="256" spans="1:15">
      <c r="A256" s="1"/>
      <c r="C256" s="2"/>
      <c r="E256" s="3"/>
      <c r="O256" s="4"/>
    </row>
    <row r="257" spans="1:15">
      <c r="A257" s="1"/>
      <c r="C257" s="2"/>
      <c r="E257" s="3"/>
      <c r="O257" s="4"/>
    </row>
    <row r="258" spans="1:15">
      <c r="A258" s="1"/>
      <c r="C258" s="2"/>
      <c r="E258" s="3"/>
      <c r="O258" s="4"/>
    </row>
    <row r="259" spans="1:15">
      <c r="A259" s="1"/>
      <c r="C259" s="2"/>
      <c r="E259" s="3"/>
      <c r="O259" s="4"/>
    </row>
    <row r="260" spans="1:15">
      <c r="A260" s="1"/>
      <c r="C260" s="2"/>
      <c r="E260" s="3"/>
      <c r="O260" s="4"/>
    </row>
    <row r="261" spans="1:15">
      <c r="A261" s="1"/>
      <c r="C261" s="2"/>
      <c r="E261" s="3"/>
      <c r="O261" s="4"/>
    </row>
    <row r="262" spans="1:15">
      <c r="A262" s="1"/>
      <c r="C262" s="2"/>
      <c r="E262" s="3"/>
      <c r="O262" s="4"/>
    </row>
    <row r="263" spans="1:15">
      <c r="A263" s="1"/>
      <c r="C263" s="2"/>
      <c r="E263" s="3"/>
      <c r="O263" s="4"/>
    </row>
    <row r="264" spans="1:15">
      <c r="A264" s="1"/>
      <c r="C264" s="2"/>
      <c r="E264" s="3"/>
      <c r="O264" s="4"/>
    </row>
    <row r="265" spans="1:15">
      <c r="A265" s="1"/>
      <c r="C265" s="2"/>
      <c r="E265" s="3"/>
      <c r="O265" s="4"/>
    </row>
    <row r="266" spans="1:15">
      <c r="A266" s="1"/>
      <c r="C266" s="2"/>
      <c r="E266" s="3"/>
      <c r="O266" s="4"/>
    </row>
    <row r="267" spans="1:15">
      <c r="A267" s="1"/>
      <c r="C267" s="2"/>
      <c r="E267" s="3"/>
      <c r="O267" s="4"/>
    </row>
    <row r="268" spans="1:15">
      <c r="A268" s="1"/>
      <c r="C268" s="2"/>
      <c r="E268" s="3"/>
      <c r="O268" s="4"/>
    </row>
    <row r="269" spans="1:15">
      <c r="A269" s="1"/>
      <c r="C269" s="2"/>
      <c r="E269" s="3"/>
      <c r="O269" s="4"/>
    </row>
    <row r="270" spans="1:15">
      <c r="A270" s="1"/>
      <c r="C270" s="2"/>
      <c r="E270" s="3"/>
      <c r="O270" s="4"/>
    </row>
    <row r="271" spans="1:15">
      <c r="A271" s="1"/>
      <c r="C271" s="2"/>
      <c r="E271" s="3"/>
      <c r="O271" s="4"/>
    </row>
    <row r="272" spans="1:15">
      <c r="A272" s="1"/>
      <c r="C272" s="2"/>
      <c r="E272" s="3"/>
      <c r="O272" s="4"/>
    </row>
    <row r="273" spans="1:15">
      <c r="A273" s="1"/>
      <c r="C273" s="2"/>
      <c r="E273" s="3"/>
      <c r="O273" s="4"/>
    </row>
    <row r="274" spans="1:15">
      <c r="A274" s="1"/>
      <c r="C274" s="2"/>
      <c r="E274" s="3"/>
      <c r="O274" s="4"/>
    </row>
    <row r="275" spans="1:15">
      <c r="A275" s="1"/>
      <c r="C275" s="2"/>
      <c r="E275" s="3"/>
      <c r="O275" s="4"/>
    </row>
    <row r="276" spans="1:15">
      <c r="A276" s="1"/>
      <c r="C276" s="2"/>
      <c r="E276" s="3"/>
      <c r="O276" s="4"/>
    </row>
    <row r="277" spans="1:15">
      <c r="A277" s="1"/>
      <c r="C277" s="2"/>
      <c r="E277" s="3"/>
      <c r="O277" s="4"/>
    </row>
    <row r="278" spans="1:15">
      <c r="A278" s="1"/>
      <c r="C278" s="2"/>
      <c r="E278" s="3"/>
      <c r="O278" s="4"/>
    </row>
    <row r="279" spans="1:15">
      <c r="A279" s="1"/>
      <c r="C279" s="2"/>
      <c r="E279" s="3"/>
      <c r="O279" s="4"/>
    </row>
    <row r="280" spans="1:15">
      <c r="A280" s="1"/>
      <c r="C280" s="2"/>
      <c r="E280" s="3"/>
      <c r="O280" s="4"/>
    </row>
    <row r="281" spans="1:15">
      <c r="A281" s="1"/>
      <c r="C281" s="2"/>
      <c r="E281" s="3"/>
      <c r="O281" s="4"/>
    </row>
    <row r="282" spans="1:15">
      <c r="A282" s="1"/>
      <c r="C282" s="2"/>
      <c r="E282" s="3"/>
      <c r="O282" s="4"/>
    </row>
    <row r="283" spans="1:15">
      <c r="A283" s="1"/>
      <c r="C283" s="2"/>
      <c r="E283" s="3"/>
      <c r="O283" s="4"/>
    </row>
    <row r="284" spans="1:15">
      <c r="A284" s="1"/>
      <c r="C284" s="2"/>
      <c r="E284" s="3"/>
      <c r="O284" s="4"/>
    </row>
    <row r="285" spans="1:15">
      <c r="A285" s="1"/>
      <c r="C285" s="2"/>
      <c r="E285" s="3"/>
      <c r="O285" s="4"/>
    </row>
    <row r="286" spans="1:15">
      <c r="A286" s="1"/>
      <c r="C286" s="2"/>
      <c r="E286" s="3"/>
      <c r="O286" s="4"/>
    </row>
    <row r="287" spans="1:15">
      <c r="A287" s="1"/>
      <c r="C287" s="2"/>
      <c r="E287" s="3"/>
      <c r="O287" s="4"/>
    </row>
    <row r="288" spans="1:15">
      <c r="A288" s="1"/>
      <c r="C288" s="2"/>
      <c r="E288" s="3"/>
      <c r="O288" s="4"/>
    </row>
    <row r="289" spans="1:15">
      <c r="A289" s="1"/>
      <c r="C289" s="2"/>
      <c r="E289" s="3"/>
      <c r="O289" s="4"/>
    </row>
    <row r="290" spans="1:15">
      <c r="A290" s="1"/>
      <c r="C290" s="2"/>
      <c r="E290" s="3"/>
      <c r="O290" s="4"/>
    </row>
    <row r="291" spans="1:15">
      <c r="A291" s="1"/>
      <c r="C291" s="2"/>
      <c r="E291" s="3"/>
      <c r="O291" s="4"/>
    </row>
    <row r="292" spans="1:15">
      <c r="A292" s="1"/>
      <c r="C292" s="2"/>
      <c r="E292" s="3"/>
      <c r="O292" s="4"/>
    </row>
    <row r="293" spans="1:15">
      <c r="A293" s="1"/>
      <c r="C293" s="2"/>
      <c r="E293" s="3"/>
      <c r="O293" s="4"/>
    </row>
    <row r="294" spans="1:15">
      <c r="A294" s="1"/>
      <c r="C294" s="2"/>
      <c r="E294" s="3"/>
      <c r="O294" s="4"/>
    </row>
    <row r="295" spans="1:15">
      <c r="A295" s="1"/>
      <c r="C295" s="2"/>
      <c r="E295" s="3"/>
      <c r="O295" s="4"/>
    </row>
    <row r="296" spans="1:15">
      <c r="A296" s="1"/>
      <c r="C296" s="2"/>
      <c r="E296" s="3"/>
      <c r="O296" s="4"/>
    </row>
    <row r="297" spans="1:15">
      <c r="A297" s="1"/>
      <c r="C297" s="2"/>
      <c r="E297" s="3"/>
      <c r="O297" s="4"/>
    </row>
    <row r="298" spans="1:15">
      <c r="A298" s="1"/>
      <c r="C298" s="2"/>
      <c r="E298" s="3"/>
      <c r="O298" s="4"/>
    </row>
    <row r="299" spans="1:15">
      <c r="A299" s="1"/>
      <c r="C299" s="2"/>
      <c r="E299" s="3"/>
      <c r="O299" s="4"/>
    </row>
    <row r="300" spans="1:15">
      <c r="A300" s="1"/>
      <c r="C300" s="2"/>
      <c r="E300" s="3"/>
      <c r="O300" s="4"/>
    </row>
    <row r="301" spans="1:15">
      <c r="A301" s="1"/>
      <c r="C301" s="2"/>
      <c r="E301" s="3"/>
      <c r="O301" s="4"/>
    </row>
    <row r="302" spans="1:15">
      <c r="A302" s="1"/>
      <c r="C302" s="2"/>
      <c r="E302" s="3"/>
      <c r="O302" s="4"/>
    </row>
    <row r="303" spans="1:15">
      <c r="A303" s="1"/>
      <c r="C303" s="2"/>
      <c r="E303" s="3"/>
      <c r="O303" s="4"/>
    </row>
    <row r="304" spans="1:15">
      <c r="A304" s="1"/>
      <c r="C304" s="2"/>
      <c r="E304" s="3"/>
      <c r="O304" s="4"/>
    </row>
    <row r="305" spans="1:15">
      <c r="A305" s="1"/>
      <c r="C305" s="2"/>
      <c r="E305" s="3"/>
      <c r="O305" s="4"/>
    </row>
    <row r="306" spans="1:15">
      <c r="A306" s="1"/>
      <c r="C306" s="2"/>
      <c r="E306" s="3"/>
      <c r="O306" s="4"/>
    </row>
    <row r="307" spans="1:15">
      <c r="A307" s="1"/>
      <c r="C307" s="2"/>
      <c r="E307" s="3"/>
      <c r="O307" s="4"/>
    </row>
    <row r="308" spans="1:15">
      <c r="A308" s="1"/>
      <c r="C308" s="2"/>
      <c r="E308" s="3"/>
      <c r="O308" s="4"/>
    </row>
    <row r="309" spans="1:15">
      <c r="A309" s="1"/>
      <c r="C309" s="2"/>
      <c r="E309" s="3"/>
      <c r="O309" s="4"/>
    </row>
    <row r="310" spans="1:15">
      <c r="A310" s="1"/>
      <c r="C310" s="2"/>
      <c r="E310" s="3"/>
      <c r="O310" s="4"/>
    </row>
    <row r="311" spans="1:15">
      <c r="A311" s="1"/>
      <c r="C311" s="2"/>
      <c r="E311" s="3"/>
      <c r="O311" s="4"/>
    </row>
    <row r="312" spans="1:15">
      <c r="A312" s="1"/>
      <c r="C312" s="2"/>
      <c r="E312" s="3"/>
      <c r="O312" s="4"/>
    </row>
    <row r="313" spans="1:15">
      <c r="A313" s="1"/>
      <c r="C313" s="2"/>
      <c r="E313" s="3"/>
      <c r="O313" s="4"/>
    </row>
    <row r="314" spans="1:15">
      <c r="A314" s="1"/>
      <c r="C314" s="2"/>
      <c r="E314" s="3"/>
      <c r="O314" s="4"/>
    </row>
    <row r="315" spans="1:15">
      <c r="A315" s="1"/>
      <c r="C315" s="2"/>
      <c r="E315" s="3"/>
      <c r="O315" s="4"/>
    </row>
    <row r="316" spans="1:15">
      <c r="A316" s="1"/>
      <c r="C316" s="2"/>
      <c r="E316" s="3"/>
      <c r="O316" s="4"/>
    </row>
    <row r="317" spans="1:15">
      <c r="A317" s="1"/>
      <c r="C317" s="2"/>
      <c r="E317" s="3"/>
      <c r="O317" s="4"/>
    </row>
    <row r="318" spans="1:15">
      <c r="A318" s="1"/>
      <c r="C318" s="2"/>
      <c r="E318" s="3"/>
      <c r="O318" s="4"/>
    </row>
    <row r="319" spans="1:15">
      <c r="A319" s="1"/>
      <c r="C319" s="2"/>
      <c r="E319" s="3"/>
      <c r="O319" s="4"/>
    </row>
    <row r="320" spans="1:15">
      <c r="A320" s="1"/>
      <c r="C320" s="2"/>
      <c r="E320" s="3"/>
      <c r="O320" s="4"/>
    </row>
    <row r="321" spans="1:15">
      <c r="A321" s="1"/>
      <c r="C321" s="2"/>
      <c r="E321" s="3"/>
      <c r="O321" s="4"/>
    </row>
    <row r="322" spans="1:15">
      <c r="A322" s="1"/>
      <c r="C322" s="2"/>
      <c r="E322" s="3"/>
      <c r="O322" s="4"/>
    </row>
    <row r="323" spans="1:15">
      <c r="A323" s="1"/>
      <c r="C323" s="2"/>
      <c r="E323" s="3"/>
      <c r="O323" s="4"/>
    </row>
    <row r="324" spans="1:15">
      <c r="A324" s="1"/>
      <c r="C324" s="2"/>
      <c r="E324" s="3"/>
      <c r="O324" s="4"/>
    </row>
    <row r="325" spans="1:15">
      <c r="A325" s="1"/>
      <c r="C325" s="2"/>
      <c r="E325" s="3"/>
      <c r="O325" s="4"/>
    </row>
    <row r="326" spans="1:15">
      <c r="A326" s="1"/>
      <c r="C326" s="2"/>
      <c r="E326" s="3"/>
      <c r="O326" s="4"/>
    </row>
    <row r="327" spans="1:15">
      <c r="A327" s="1"/>
      <c r="C327" s="2"/>
      <c r="E327" s="3"/>
      <c r="O327" s="4"/>
    </row>
    <row r="328" spans="1:15">
      <c r="A328" s="1"/>
      <c r="C328" s="2"/>
      <c r="E328" s="3"/>
      <c r="O328" s="4"/>
    </row>
    <row r="329" spans="1:15">
      <c r="A329" s="1"/>
      <c r="C329" s="2"/>
      <c r="E329" s="3"/>
      <c r="O329" s="4"/>
    </row>
    <row r="330" spans="1:15">
      <c r="A330" s="1"/>
      <c r="C330" s="2"/>
      <c r="E330" s="3"/>
      <c r="O330" s="4"/>
    </row>
    <row r="331" spans="1:15">
      <c r="A331" s="1"/>
      <c r="C331" s="2"/>
      <c r="E331" s="3"/>
      <c r="O331" s="4"/>
    </row>
    <row r="332" spans="1:15">
      <c r="A332" s="1"/>
      <c r="C332" s="2"/>
      <c r="E332" s="3"/>
      <c r="O332" s="4"/>
    </row>
    <row r="333" spans="1:15">
      <c r="A333" s="1"/>
      <c r="C333" s="2"/>
      <c r="E333" s="3"/>
      <c r="O333" s="4"/>
    </row>
    <row r="334" spans="1:15">
      <c r="A334" s="1"/>
      <c r="C334" s="2"/>
      <c r="E334" s="3"/>
      <c r="O334" s="4"/>
    </row>
    <row r="335" spans="1:15">
      <c r="A335" s="1"/>
      <c r="C335" s="2"/>
      <c r="E335" s="3"/>
      <c r="O335" s="4"/>
    </row>
    <row r="336" spans="1:15">
      <c r="A336" s="1"/>
      <c r="C336" s="2"/>
      <c r="E336" s="3"/>
      <c r="O336" s="4"/>
    </row>
    <row r="337" spans="1:15">
      <c r="A337" s="1"/>
      <c r="C337" s="2"/>
      <c r="E337" s="3"/>
      <c r="O337" s="4"/>
    </row>
    <row r="338" spans="1:15">
      <c r="A338" s="1"/>
      <c r="C338" s="2"/>
      <c r="E338" s="3"/>
      <c r="O338" s="4"/>
    </row>
    <row r="339" spans="1:15">
      <c r="A339" s="1"/>
      <c r="C339" s="2"/>
      <c r="E339" s="3"/>
      <c r="O339" s="4"/>
    </row>
    <row r="340" spans="1:15">
      <c r="A340" s="1"/>
      <c r="C340" s="2"/>
      <c r="E340" s="3"/>
      <c r="O340" s="4"/>
    </row>
    <row r="341" spans="1:15">
      <c r="A341" s="1"/>
      <c r="C341" s="2"/>
      <c r="E341" s="3"/>
      <c r="O341" s="4"/>
    </row>
    <row r="342" spans="1:15">
      <c r="A342" s="1"/>
      <c r="C342" s="2"/>
      <c r="E342" s="3"/>
      <c r="O342" s="4"/>
    </row>
    <row r="343" spans="1:15">
      <c r="A343" s="1"/>
      <c r="C343" s="2"/>
      <c r="E343" s="3"/>
      <c r="O343" s="4"/>
    </row>
    <row r="344" spans="1:15">
      <c r="A344" s="1"/>
      <c r="C344" s="2"/>
      <c r="E344" s="3"/>
      <c r="O344" s="4"/>
    </row>
    <row r="345" spans="1:15">
      <c r="A345" s="1"/>
      <c r="C345" s="2"/>
      <c r="E345" s="3"/>
      <c r="O345" s="4"/>
    </row>
    <row r="346" spans="1:15">
      <c r="A346" s="1"/>
      <c r="C346" s="2"/>
      <c r="E346" s="3"/>
      <c r="O346" s="4"/>
    </row>
    <row r="347" spans="1:15">
      <c r="A347" s="1"/>
      <c r="C347" s="2"/>
      <c r="E347" s="3"/>
      <c r="O347" s="4"/>
    </row>
    <row r="348" spans="1:15">
      <c r="A348" s="1"/>
      <c r="C348" s="2"/>
      <c r="E348" s="3"/>
      <c r="O348" s="4"/>
    </row>
    <row r="349" spans="1:15">
      <c r="A349" s="1"/>
      <c r="C349" s="2"/>
      <c r="E349" s="3"/>
      <c r="O349" s="4"/>
    </row>
    <row r="350" spans="1:15">
      <c r="A350" s="1"/>
      <c r="C350" s="2"/>
      <c r="E350" s="3"/>
      <c r="O350" s="4"/>
    </row>
    <row r="351" spans="1:15">
      <c r="A351" s="1"/>
      <c r="C351" s="2"/>
      <c r="E351" s="3"/>
      <c r="O351" s="4"/>
    </row>
    <row r="352" spans="1:15">
      <c r="A352" s="1"/>
      <c r="C352" s="2"/>
      <c r="E352" s="3"/>
      <c r="O352" s="4"/>
    </row>
    <row r="353" spans="1:15">
      <c r="A353" s="1"/>
      <c r="C353" s="2"/>
      <c r="E353" s="3"/>
      <c r="O353" s="4"/>
    </row>
    <row r="354" spans="1:15">
      <c r="A354" s="1"/>
      <c r="C354" s="2"/>
      <c r="E354" s="3"/>
      <c r="O354" s="4"/>
    </row>
    <row r="355" spans="1:15">
      <c r="A355" s="1"/>
      <c r="C355" s="2"/>
      <c r="E355" s="3"/>
      <c r="O355" s="4"/>
    </row>
    <row r="356" spans="1:15">
      <c r="A356" s="1"/>
      <c r="C356" s="2"/>
      <c r="E356" s="3"/>
      <c r="O356" s="4"/>
    </row>
    <row r="357" spans="1:15">
      <c r="A357" s="1"/>
      <c r="C357" s="2"/>
      <c r="E357" s="3"/>
      <c r="O357" s="4"/>
    </row>
    <row r="358" spans="1:15">
      <c r="A358" s="1"/>
      <c r="C358" s="2"/>
      <c r="E358" s="3"/>
      <c r="O358" s="4"/>
    </row>
    <row r="359" spans="1:15">
      <c r="A359" s="1"/>
      <c r="C359" s="2"/>
      <c r="E359" s="3"/>
      <c r="O359" s="4"/>
    </row>
    <row r="360" spans="1:15">
      <c r="A360" s="1"/>
      <c r="C360" s="2"/>
      <c r="E360" s="3"/>
      <c r="O360" s="4"/>
    </row>
    <row r="361" spans="1:15">
      <c r="A361" s="1"/>
      <c r="C361" s="2"/>
      <c r="E361" s="3"/>
      <c r="O361" s="4"/>
    </row>
    <row r="362" spans="1:15">
      <c r="A362" s="1"/>
      <c r="C362" s="2"/>
      <c r="E362" s="3"/>
      <c r="O362" s="4"/>
    </row>
    <row r="363" spans="1:15">
      <c r="A363" s="1"/>
      <c r="C363" s="2"/>
      <c r="E363" s="3"/>
      <c r="O363" s="4"/>
    </row>
    <row r="364" spans="1:15">
      <c r="A364" s="1"/>
      <c r="C364" s="2"/>
      <c r="E364" s="3"/>
      <c r="O364" s="4"/>
    </row>
    <row r="365" spans="1:15">
      <c r="A365" s="1"/>
      <c r="C365" s="2"/>
      <c r="E365" s="3"/>
      <c r="O365" s="4"/>
    </row>
    <row r="366" spans="1:15">
      <c r="A366" s="1"/>
      <c r="C366" s="2"/>
      <c r="E366" s="3"/>
      <c r="O366" s="4"/>
    </row>
    <row r="367" spans="1:15">
      <c r="A367" s="1"/>
      <c r="C367" s="2"/>
      <c r="E367" s="3"/>
      <c r="O367" s="4"/>
    </row>
    <row r="368" spans="1:15">
      <c r="A368" s="1"/>
      <c r="C368" s="2"/>
      <c r="E368" s="3"/>
      <c r="O368" s="4"/>
    </row>
    <row r="369" spans="1:15">
      <c r="A369" s="1"/>
      <c r="C369" s="2"/>
      <c r="E369" s="3"/>
      <c r="O369" s="4"/>
    </row>
    <row r="370" spans="1:15">
      <c r="A370" s="1"/>
      <c r="C370" s="2"/>
      <c r="E370" s="3"/>
      <c r="O370" s="4"/>
    </row>
    <row r="371" spans="1:15">
      <c r="A371" s="1"/>
      <c r="C371" s="2"/>
      <c r="E371" s="3"/>
      <c r="O371" s="4"/>
    </row>
    <row r="372" spans="1:15">
      <c r="A372" s="1"/>
      <c r="C372" s="2"/>
      <c r="E372" s="3"/>
      <c r="O372" s="4"/>
    </row>
    <row r="373" spans="1:15">
      <c r="A373" s="1"/>
      <c r="C373" s="2"/>
      <c r="E373" s="3"/>
      <c r="O373" s="4"/>
    </row>
    <row r="374" spans="1:15">
      <c r="A374" s="1"/>
      <c r="C374" s="2"/>
      <c r="E374" s="3"/>
      <c r="O374" s="4"/>
    </row>
    <row r="375" spans="1:15">
      <c r="A375" s="1"/>
      <c r="C375" s="2"/>
      <c r="E375" s="3"/>
      <c r="O375" s="4"/>
    </row>
    <row r="376" spans="1:15">
      <c r="A376" s="1"/>
      <c r="C376" s="2"/>
      <c r="E376" s="3"/>
      <c r="O376" s="4"/>
    </row>
    <row r="377" spans="1:15">
      <c r="A377" s="1"/>
      <c r="C377" s="2"/>
      <c r="E377" s="3"/>
      <c r="O377" s="4"/>
    </row>
    <row r="378" spans="1:15">
      <c r="A378" s="1"/>
      <c r="C378" s="2"/>
      <c r="E378" s="3"/>
      <c r="O378" s="4"/>
    </row>
    <row r="379" spans="1:15">
      <c r="A379" s="1"/>
      <c r="C379" s="2"/>
      <c r="E379" s="3"/>
      <c r="O379" s="4"/>
    </row>
    <row r="380" spans="1:15">
      <c r="A380" s="1"/>
      <c r="C380" s="2"/>
      <c r="E380" s="3"/>
      <c r="O380" s="4"/>
    </row>
    <row r="381" spans="1:15">
      <c r="A381" s="1"/>
      <c r="C381" s="2"/>
      <c r="E381" s="3"/>
      <c r="O381" s="4"/>
    </row>
    <row r="382" spans="1:15">
      <c r="A382" s="1"/>
      <c r="C382" s="2"/>
      <c r="E382" s="3"/>
      <c r="O382" s="4"/>
    </row>
    <row r="383" spans="1:15">
      <c r="A383" s="1"/>
      <c r="C383" s="2"/>
      <c r="E383" s="3"/>
      <c r="O383" s="4"/>
    </row>
    <row r="384" spans="1:15">
      <c r="A384" s="1"/>
      <c r="C384" s="2"/>
      <c r="E384" s="3"/>
      <c r="O384" s="4"/>
    </row>
    <row r="385" spans="1:15">
      <c r="A385" s="1"/>
      <c r="C385" s="2"/>
      <c r="E385" s="3"/>
      <c r="O385" s="4"/>
    </row>
    <row r="386" spans="1:15">
      <c r="A386" s="1"/>
      <c r="C386" s="2"/>
      <c r="E386" s="3"/>
      <c r="O386" s="4"/>
    </row>
    <row r="387" spans="1:15">
      <c r="A387" s="1"/>
      <c r="C387" s="2"/>
      <c r="E387" s="3"/>
      <c r="O387" s="4"/>
    </row>
    <row r="388" spans="1:15">
      <c r="A388" s="1"/>
      <c r="C388" s="2"/>
      <c r="E388" s="3"/>
      <c r="O388" s="4"/>
    </row>
    <row r="389" spans="1:15">
      <c r="A389" s="1"/>
      <c r="C389" s="2"/>
      <c r="E389" s="3"/>
      <c r="O389" s="4"/>
    </row>
    <row r="390" spans="1:15">
      <c r="A390" s="1"/>
      <c r="C390" s="2"/>
      <c r="E390" s="3"/>
      <c r="O390" s="4"/>
    </row>
    <row r="391" spans="1:15">
      <c r="A391" s="1"/>
      <c r="C391" s="2"/>
      <c r="E391" s="3"/>
      <c r="O391" s="4"/>
    </row>
    <row r="392" spans="1:15">
      <c r="A392" s="1"/>
      <c r="C392" s="2"/>
      <c r="E392" s="3"/>
      <c r="O392" s="4"/>
    </row>
    <row r="393" spans="1:15">
      <c r="A393" s="1"/>
      <c r="C393" s="2"/>
      <c r="E393" s="3"/>
      <c r="O393" s="4"/>
    </row>
    <row r="394" spans="1:15">
      <c r="A394" s="1"/>
      <c r="C394" s="2"/>
      <c r="E394" s="3"/>
      <c r="O394" s="4"/>
    </row>
    <row r="395" spans="1:15">
      <c r="A395" s="1"/>
      <c r="C395" s="2"/>
      <c r="E395" s="3"/>
      <c r="O395" s="4"/>
    </row>
    <row r="396" spans="1:15">
      <c r="A396" s="1"/>
      <c r="C396" s="2"/>
      <c r="E396" s="3"/>
      <c r="O396" s="4"/>
    </row>
    <row r="397" spans="1:15">
      <c r="A397" s="1"/>
      <c r="C397" s="2"/>
      <c r="E397" s="3"/>
      <c r="O397" s="4"/>
    </row>
    <row r="398" spans="1:15">
      <c r="A398" s="1"/>
      <c r="C398" s="2"/>
      <c r="E398" s="3"/>
      <c r="O398" s="4"/>
    </row>
    <row r="399" spans="1:15">
      <c r="A399" s="1"/>
      <c r="C399" s="2"/>
      <c r="E399" s="3"/>
      <c r="O399" s="4"/>
    </row>
    <row r="400" spans="1:15">
      <c r="A400" s="1"/>
      <c r="C400" s="2"/>
      <c r="E400" s="3"/>
      <c r="O400" s="4"/>
    </row>
    <row r="401" spans="1:15">
      <c r="A401" s="1"/>
      <c r="C401" s="2"/>
      <c r="E401" s="3"/>
      <c r="O401" s="4"/>
    </row>
    <row r="402" spans="1:15">
      <c r="A402" s="1"/>
      <c r="C402" s="2"/>
      <c r="E402" s="3"/>
      <c r="O402" s="4"/>
    </row>
    <row r="403" spans="1:15">
      <c r="A403" s="1"/>
      <c r="C403" s="2"/>
      <c r="E403" s="3"/>
      <c r="O403" s="4"/>
    </row>
    <row r="404" spans="1:15">
      <c r="A404" s="1"/>
      <c r="C404" s="2"/>
      <c r="E404" s="3"/>
      <c r="O404" s="4"/>
    </row>
    <row r="405" spans="1:15">
      <c r="A405" s="1"/>
      <c r="C405" s="2"/>
      <c r="E405" s="3"/>
      <c r="O405" s="4"/>
    </row>
    <row r="406" spans="1:15">
      <c r="A406" s="1"/>
      <c r="C406" s="2"/>
      <c r="E406" s="3"/>
      <c r="O406" s="4"/>
    </row>
    <row r="407" spans="1:15">
      <c r="A407" s="1"/>
      <c r="C407" s="2"/>
      <c r="E407" s="3"/>
      <c r="O407" s="4"/>
    </row>
    <row r="408" spans="1:15">
      <c r="A408" s="1"/>
      <c r="C408" s="2"/>
      <c r="E408" s="3"/>
      <c r="O408" s="4"/>
    </row>
    <row r="409" spans="1:15">
      <c r="A409" s="1"/>
      <c r="C409" s="2"/>
      <c r="E409" s="3"/>
      <c r="O409" s="4"/>
    </row>
    <row r="410" spans="1:15">
      <c r="A410" s="1"/>
      <c r="C410" s="2"/>
      <c r="E410" s="3"/>
      <c r="O410" s="4"/>
    </row>
    <row r="411" spans="1:15">
      <c r="A411" s="1"/>
      <c r="C411" s="2"/>
      <c r="E411" s="3"/>
      <c r="O411" s="4"/>
    </row>
    <row r="412" spans="1:15">
      <c r="A412" s="1"/>
      <c r="C412" s="2"/>
      <c r="E412" s="3"/>
      <c r="O412" s="4"/>
    </row>
    <row r="413" spans="1:15">
      <c r="A413" s="1"/>
      <c r="C413" s="2"/>
      <c r="E413" s="3"/>
      <c r="O413" s="4"/>
    </row>
    <row r="414" spans="1:15">
      <c r="A414" s="1"/>
      <c r="C414" s="2"/>
      <c r="E414" s="3"/>
      <c r="O414" s="4"/>
    </row>
    <row r="415" spans="1:15">
      <c r="A415" s="1"/>
      <c r="C415" s="2"/>
      <c r="E415" s="3"/>
      <c r="O415" s="4"/>
    </row>
    <row r="416" spans="1:15">
      <c r="A416" s="1"/>
      <c r="C416" s="2"/>
      <c r="E416" s="3"/>
      <c r="O416" s="4"/>
    </row>
    <row r="417" spans="1:15">
      <c r="A417" s="1"/>
      <c r="C417" s="2"/>
      <c r="E417" s="3"/>
      <c r="O417" s="4"/>
    </row>
    <row r="418" spans="1:15">
      <c r="A418" s="1"/>
      <c r="C418" s="2"/>
      <c r="E418" s="3"/>
      <c r="O418" s="4"/>
    </row>
    <row r="419" spans="1:15">
      <c r="A419" s="1"/>
      <c r="C419" s="2"/>
      <c r="E419" s="3"/>
      <c r="O419" s="4"/>
    </row>
    <row r="420" spans="1:15">
      <c r="A420" s="1"/>
      <c r="C420" s="2"/>
      <c r="E420" s="3"/>
      <c r="O420" s="4"/>
    </row>
    <row r="421" spans="1:15">
      <c r="A421" s="1"/>
      <c r="C421" s="2"/>
      <c r="E421" s="3"/>
      <c r="O421" s="4"/>
    </row>
    <row r="422" spans="1:15">
      <c r="A422" s="1"/>
      <c r="C422" s="2"/>
      <c r="E422" s="3"/>
      <c r="O422" s="4"/>
    </row>
    <row r="423" spans="1:15">
      <c r="A423" s="1"/>
      <c r="C423" s="2"/>
      <c r="E423" s="3"/>
      <c r="O423" s="4"/>
    </row>
    <row r="424" spans="1:15">
      <c r="A424" s="1"/>
      <c r="C424" s="2"/>
      <c r="E424" s="3"/>
      <c r="O424" s="4"/>
    </row>
    <row r="425" spans="1:15">
      <c r="A425" s="1"/>
      <c r="C425" s="2"/>
      <c r="E425" s="3"/>
      <c r="O425" s="4"/>
    </row>
    <row r="426" spans="1:15">
      <c r="A426" s="1"/>
      <c r="C426" s="2"/>
      <c r="E426" s="3"/>
      <c r="O426" s="4"/>
    </row>
    <row r="427" spans="1:15">
      <c r="A427" s="1"/>
      <c r="C427" s="2"/>
      <c r="E427" s="3"/>
      <c r="O427" s="4"/>
    </row>
    <row r="428" spans="1:15">
      <c r="A428" s="1"/>
      <c r="C428" s="2"/>
      <c r="E428" s="3"/>
      <c r="O428" s="4"/>
    </row>
    <row r="429" spans="1:15">
      <c r="A429" s="1"/>
      <c r="C429" s="2"/>
      <c r="E429" s="3"/>
      <c r="O429" s="4"/>
    </row>
    <row r="430" spans="1:15">
      <c r="A430" s="1"/>
      <c r="C430" s="2"/>
      <c r="E430" s="3"/>
      <c r="O430" s="4"/>
    </row>
    <row r="431" spans="1:15">
      <c r="A431" s="1"/>
      <c r="C431" s="2"/>
      <c r="E431" s="3"/>
      <c r="O431" s="4"/>
    </row>
    <row r="432" spans="1:15">
      <c r="A432" s="1"/>
      <c r="C432" s="2"/>
      <c r="E432" s="3"/>
      <c r="O432" s="4"/>
    </row>
    <row r="433" spans="1:15">
      <c r="A433" s="1"/>
      <c r="C433" s="2"/>
      <c r="E433" s="3"/>
      <c r="O433" s="4"/>
    </row>
    <row r="434" spans="1:15">
      <c r="A434" s="1"/>
      <c r="C434" s="2"/>
      <c r="E434" s="3"/>
      <c r="O434" s="4"/>
    </row>
    <row r="435" spans="1:15">
      <c r="A435" s="1"/>
      <c r="C435" s="2"/>
      <c r="E435" s="3"/>
      <c r="O435" s="4"/>
    </row>
    <row r="436" spans="1:15">
      <c r="A436" s="1"/>
      <c r="C436" s="2"/>
      <c r="E436" s="3"/>
      <c r="O436" s="4"/>
    </row>
    <row r="437" spans="1:15">
      <c r="A437" s="1"/>
      <c r="C437" s="2"/>
      <c r="E437" s="3"/>
      <c r="O437" s="4"/>
    </row>
    <row r="438" spans="1:15">
      <c r="A438" s="1"/>
      <c r="C438" s="2"/>
      <c r="E438" s="3"/>
      <c r="O438" s="4"/>
    </row>
    <row r="439" spans="1:15">
      <c r="A439" s="1"/>
      <c r="C439" s="2"/>
      <c r="E439" s="3"/>
      <c r="O439" s="4"/>
    </row>
    <row r="440" spans="1:15">
      <c r="A440" s="1"/>
      <c r="C440" s="2"/>
      <c r="E440" s="3"/>
      <c r="O440" s="4"/>
    </row>
    <row r="441" spans="1:15">
      <c r="A441" s="1"/>
      <c r="C441" s="2"/>
      <c r="E441" s="3"/>
      <c r="O441" s="4"/>
    </row>
    <row r="442" spans="1:15">
      <c r="A442" s="1"/>
      <c r="C442" s="2"/>
      <c r="E442" s="3"/>
      <c r="O442" s="4"/>
    </row>
    <row r="443" spans="1:15">
      <c r="A443" s="1"/>
      <c r="C443" s="2"/>
      <c r="E443" s="3"/>
      <c r="O443" s="4"/>
    </row>
    <row r="444" spans="1:15">
      <c r="A444" s="1"/>
      <c r="C444" s="2"/>
      <c r="E444" s="3"/>
      <c r="O444" s="4"/>
    </row>
    <row r="445" spans="1:15">
      <c r="A445" s="1"/>
      <c r="C445" s="2"/>
      <c r="E445" s="3"/>
      <c r="O445" s="4"/>
    </row>
    <row r="446" spans="1:15">
      <c r="A446" s="1"/>
      <c r="C446" s="2"/>
      <c r="E446" s="3"/>
      <c r="O446" s="4"/>
    </row>
    <row r="447" spans="1:15">
      <c r="A447" s="1"/>
      <c r="C447" s="2"/>
      <c r="E447" s="3"/>
      <c r="O447" s="4"/>
    </row>
    <row r="448" spans="1:15">
      <c r="A448" s="1"/>
      <c r="C448" s="2"/>
      <c r="E448" s="3"/>
      <c r="O448" s="4"/>
    </row>
    <row r="449" spans="1:15">
      <c r="A449" s="1"/>
      <c r="C449" s="2"/>
      <c r="E449" s="3"/>
      <c r="O449" s="4"/>
    </row>
    <row r="450" spans="1:15">
      <c r="A450" s="1"/>
      <c r="C450" s="2"/>
      <c r="E450" s="3"/>
      <c r="O450" s="4"/>
    </row>
    <row r="451" spans="1:15">
      <c r="A451" s="1"/>
      <c r="C451" s="2"/>
      <c r="E451" s="3"/>
      <c r="O451" s="4"/>
    </row>
    <row r="452" spans="1:15">
      <c r="A452" s="1"/>
      <c r="C452" s="2"/>
      <c r="E452" s="3"/>
      <c r="O452" s="4"/>
    </row>
    <row r="453" spans="1:15">
      <c r="A453" s="1"/>
      <c r="C453" s="2"/>
      <c r="E453" s="3"/>
      <c r="O453" s="4"/>
    </row>
    <row r="454" spans="1:15">
      <c r="A454" s="1"/>
      <c r="C454" s="2"/>
      <c r="E454" s="3"/>
      <c r="O454" s="4"/>
    </row>
    <row r="455" spans="1:15">
      <c r="A455" s="1"/>
      <c r="C455" s="2"/>
      <c r="E455" s="3"/>
      <c r="O455" s="4"/>
    </row>
    <row r="456" spans="1:15">
      <c r="A456" s="1"/>
      <c r="C456" s="2"/>
      <c r="E456" s="3"/>
      <c r="O456" s="4"/>
    </row>
    <row r="457" spans="1:15">
      <c r="A457" s="1"/>
      <c r="C457" s="2"/>
      <c r="E457" s="3"/>
      <c r="O457" s="4"/>
    </row>
    <row r="458" spans="1:15">
      <c r="A458" s="1"/>
      <c r="C458" s="2"/>
      <c r="E458" s="3"/>
      <c r="O458" s="4"/>
    </row>
    <row r="459" spans="1:15">
      <c r="A459" s="1"/>
      <c r="C459" s="2"/>
      <c r="E459" s="3"/>
      <c r="O459" s="4"/>
    </row>
    <row r="460" spans="1:15">
      <c r="A460" s="1"/>
      <c r="C460" s="2"/>
      <c r="E460" s="3"/>
      <c r="O460" s="4"/>
    </row>
    <row r="461" spans="1:15">
      <c r="A461" s="1"/>
      <c r="C461" s="2"/>
      <c r="E461" s="3"/>
      <c r="O461" s="4"/>
    </row>
    <row r="462" spans="1:15">
      <c r="A462" s="1"/>
      <c r="C462" s="2"/>
      <c r="E462" s="3"/>
      <c r="O462" s="4"/>
    </row>
    <row r="463" spans="1:15">
      <c r="A463" s="1"/>
      <c r="C463" s="2"/>
      <c r="E463" s="3"/>
      <c r="O463" s="4"/>
    </row>
    <row r="464" spans="1:15">
      <c r="A464" s="1"/>
      <c r="C464" s="2"/>
      <c r="E464" s="3"/>
      <c r="O464" s="4"/>
    </row>
    <row r="465" spans="1:15">
      <c r="A465" s="1"/>
      <c r="C465" s="2"/>
      <c r="E465" s="3"/>
      <c r="O465" s="4"/>
    </row>
    <row r="466" spans="1:15">
      <c r="A466" s="1"/>
      <c r="C466" s="2"/>
      <c r="E466" s="3"/>
      <c r="O466" s="4"/>
    </row>
    <row r="467" spans="1:15">
      <c r="A467" s="1"/>
      <c r="C467" s="2"/>
      <c r="E467" s="3"/>
      <c r="O467" s="4"/>
    </row>
    <row r="468" spans="1:15">
      <c r="A468" s="1"/>
      <c r="C468" s="2"/>
      <c r="E468" s="3"/>
      <c r="O468" s="4"/>
    </row>
    <row r="469" spans="1:15">
      <c r="A469" s="1"/>
      <c r="C469" s="2"/>
      <c r="E469" s="3"/>
      <c r="O469" s="4"/>
    </row>
    <row r="470" spans="1:15">
      <c r="A470" s="1"/>
      <c r="C470" s="2"/>
      <c r="E470" s="3"/>
      <c r="O470" s="4"/>
    </row>
    <row r="471" spans="1:15">
      <c r="A471" s="1"/>
      <c r="C471" s="2"/>
      <c r="E471" s="3"/>
      <c r="O471" s="4"/>
    </row>
    <row r="472" spans="1:15">
      <c r="A472" s="1"/>
      <c r="C472" s="2"/>
      <c r="E472" s="3"/>
      <c r="O472" s="4"/>
    </row>
    <row r="473" spans="1:15">
      <c r="A473" s="1"/>
      <c r="C473" s="2"/>
      <c r="E473" s="3"/>
      <c r="O473" s="4"/>
    </row>
    <row r="474" spans="1:15">
      <c r="A474" s="1"/>
      <c r="C474" s="2"/>
      <c r="E474" s="3"/>
      <c r="O474" s="4"/>
    </row>
    <row r="475" spans="1:15">
      <c r="A475" s="1"/>
      <c r="C475" s="2"/>
      <c r="E475" s="3"/>
      <c r="O475" s="4"/>
    </row>
    <row r="476" spans="1:15">
      <c r="A476" s="1"/>
      <c r="C476" s="2"/>
      <c r="E476" s="3"/>
      <c r="O476" s="4"/>
    </row>
    <row r="477" spans="1:15">
      <c r="A477" s="1"/>
      <c r="C477" s="2"/>
      <c r="E477" s="3"/>
      <c r="O477" s="4"/>
    </row>
    <row r="478" spans="1:15">
      <c r="A478" s="1"/>
      <c r="C478" s="2"/>
      <c r="E478" s="3"/>
      <c r="O478" s="4"/>
    </row>
    <row r="479" spans="1:15">
      <c r="A479" s="1"/>
      <c r="C479" s="2"/>
      <c r="E479" s="3"/>
      <c r="O479" s="4"/>
    </row>
    <row r="480" spans="1:15">
      <c r="A480" s="1"/>
      <c r="C480" s="2"/>
      <c r="E480" s="3"/>
      <c r="O480" s="4"/>
    </row>
    <row r="481" spans="1:15">
      <c r="A481" s="1"/>
      <c r="C481" s="2"/>
      <c r="E481" s="3"/>
      <c r="O481" s="4"/>
    </row>
    <row r="482" spans="1:15">
      <c r="A482" s="1"/>
      <c r="C482" s="2"/>
      <c r="E482" s="3"/>
      <c r="O482" s="4"/>
    </row>
    <row r="483" spans="1:15">
      <c r="A483" s="1"/>
      <c r="C483" s="2"/>
      <c r="E483" s="3"/>
      <c r="O483" s="4"/>
    </row>
    <row r="484" spans="1:15">
      <c r="A484" s="1"/>
      <c r="C484" s="2"/>
      <c r="E484" s="3"/>
      <c r="O484" s="4"/>
    </row>
    <row r="485" spans="1:15">
      <c r="A485" s="1"/>
      <c r="C485" s="2"/>
      <c r="E485" s="3"/>
      <c r="O485" s="4"/>
    </row>
    <row r="486" spans="1:15">
      <c r="A486" s="1"/>
      <c r="C486" s="2"/>
      <c r="E486" s="3"/>
      <c r="O486" s="4"/>
    </row>
    <row r="487" spans="1:15">
      <c r="A487" s="1"/>
      <c r="C487" s="2"/>
      <c r="E487" s="3"/>
      <c r="O487" s="4"/>
    </row>
    <row r="488" spans="1:15">
      <c r="A488" s="1"/>
      <c r="C488" s="2"/>
      <c r="E488" s="3"/>
      <c r="O488" s="4"/>
    </row>
    <row r="489" spans="1:15">
      <c r="A489" s="1"/>
      <c r="C489" s="2"/>
      <c r="E489" s="3"/>
      <c r="O489" s="4"/>
    </row>
    <row r="490" spans="1:15">
      <c r="A490" s="1"/>
      <c r="C490" s="2"/>
      <c r="E490" s="3"/>
      <c r="O490" s="4"/>
    </row>
    <row r="491" spans="1:15">
      <c r="A491" s="1"/>
      <c r="C491" s="2"/>
      <c r="E491" s="3"/>
      <c r="O491" s="4"/>
    </row>
    <row r="492" spans="1:15">
      <c r="A492" s="1"/>
      <c r="C492" s="2"/>
      <c r="E492" s="3"/>
      <c r="O492" s="4"/>
    </row>
    <row r="493" spans="1:15">
      <c r="A493" s="1"/>
      <c r="C493" s="2"/>
      <c r="E493" s="3"/>
      <c r="O493" s="4"/>
    </row>
    <row r="494" spans="1:15">
      <c r="A494" s="1"/>
      <c r="C494" s="2"/>
      <c r="E494" s="3"/>
      <c r="O494" s="4"/>
    </row>
    <row r="495" spans="1:15">
      <c r="A495" s="1"/>
      <c r="C495" s="2"/>
      <c r="E495" s="3"/>
      <c r="O495" s="4"/>
    </row>
    <row r="496" spans="1:15">
      <c r="A496" s="1"/>
      <c r="C496" s="2"/>
      <c r="E496" s="3"/>
      <c r="O496" s="4"/>
    </row>
    <row r="497" spans="1:15">
      <c r="A497" s="1"/>
      <c r="C497" s="2"/>
      <c r="E497" s="3"/>
      <c r="O497" s="4"/>
    </row>
    <row r="498" spans="1:15">
      <c r="A498" s="1"/>
      <c r="C498" s="2"/>
      <c r="E498" s="3"/>
      <c r="O498" s="4"/>
    </row>
    <row r="499" spans="1:15">
      <c r="A499" s="1"/>
      <c r="C499" s="2"/>
      <c r="E499" s="3"/>
      <c r="O499" s="4"/>
    </row>
    <row r="500" spans="1:15">
      <c r="A500" s="1"/>
      <c r="C500" s="2"/>
      <c r="E500" s="3"/>
      <c r="O500" s="4"/>
    </row>
  </sheetData>
  <customSheetViews>
    <customSheetView guid="{78B3A349-4A6A-4124-974B-C4B81C7019CD}" scale="75" showRuler="0">
      <selection activeCell="D7" sqref="D7"/>
      <rowBreaks count="1" manualBreakCount="1">
        <brk id="41" max="14" man="1"/>
      </rowBreaks>
      <colBreaks count="1" manualBreakCount="1">
        <brk id="6" max="1048575" man="1"/>
      </colBreaks>
      <pageMargins left="0.55118110236220474" right="0.55118110236220474" top="0.47244094488188981" bottom="0.51181102362204722" header="0.51181102362204722" footer="0.51181102362204722"/>
      <printOptions horizontalCentered="1" verticalCentered="1" gridLines="1"/>
      <pageSetup paperSize="9" scale="136" orientation="portrait" r:id="rId1"/>
      <headerFooter alignWithMargins="0"/>
    </customSheetView>
    <customSheetView guid="{F48999E8-45B5-4A7E-B3AF-FA7A59AA8144}" scale="75" showRuler="0">
      <selection activeCell="D7" sqref="D7"/>
      <rowBreaks count="1" manualBreakCount="1">
        <brk id="41" max="14" man="1"/>
      </rowBreaks>
      <colBreaks count="1" manualBreakCount="1">
        <brk id="6" max="1048575" man="1"/>
      </colBreaks>
      <pageMargins left="0.55118110236220474" right="0.55118110236220474" top="0.47244094488188981" bottom="0.51181102362204722" header="0.51181102362204722" footer="0.51181102362204722"/>
      <printOptions horizontalCentered="1" verticalCentered="1" gridLines="1"/>
      <pageSetup paperSize="9" scale="136" orientation="portrait" r:id="rId2"/>
      <headerFooter alignWithMargins="0"/>
    </customSheetView>
  </customSheetViews>
  <phoneticPr fontId="0" type="noConversion"/>
  <printOptions horizontalCentered="1" verticalCentered="1" gridLines="1"/>
  <pageMargins left="0.55118110236220474" right="0.55118110236220474" top="0.47244094488188981" bottom="0.51181102362204722" header="0.51181102362204722" footer="0.51181102362204722"/>
  <pageSetup paperSize="9" scale="136" orientation="portrait" r:id="rId3"/>
  <headerFooter alignWithMargins="0"/>
  <rowBreaks count="1" manualBreakCount="1">
    <brk id="41" max="14" man="1"/>
  </rowBreaks>
  <colBreaks count="1" manualBreakCount="1">
    <brk id="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L256"/>
  <sheetViews>
    <sheetView topLeftCell="A16" zoomScale="91" zoomScaleNormal="91" workbookViewId="0">
      <selection activeCell="G52" sqref="G52"/>
    </sheetView>
  </sheetViews>
  <sheetFormatPr baseColWidth="10" defaultRowHeight="12.75"/>
  <cols>
    <col min="1" max="1" width="6.140625" customWidth="1"/>
    <col min="2" max="2" width="21.85546875" customWidth="1"/>
    <col min="8" max="8" width="19" customWidth="1"/>
    <col min="9" max="9" width="28" customWidth="1"/>
    <col min="10" max="10" width="14.85546875" style="10" customWidth="1"/>
    <col min="11" max="11" width="31.42578125" customWidth="1"/>
    <col min="12" max="12" width="40.7109375" customWidth="1"/>
  </cols>
  <sheetData>
    <row r="1" spans="1:12" s="6" customFormat="1" ht="15">
      <c r="A1" s="6" t="str">
        <f>all_data!A1</f>
        <v>Nr.</v>
      </c>
      <c r="B1" s="6" t="str">
        <f>all_data!B1</f>
        <v>SchiffsName</v>
      </c>
      <c r="C1" s="6" t="str">
        <f>all_data!C1</f>
        <v>mLS</v>
      </c>
      <c r="D1" s="6" t="str">
        <f>all_data!D1</f>
        <v>deadweight</v>
      </c>
      <c r="E1" s="6" t="str">
        <f>all_data!E1</f>
        <v>dw/mLS</v>
      </c>
      <c r="F1" s="6" t="s">
        <v>44</v>
      </c>
      <c r="G1" s="6" t="s">
        <v>43</v>
      </c>
      <c r="H1" s="6" t="s">
        <v>8</v>
      </c>
      <c r="I1" s="6" t="s">
        <v>16</v>
      </c>
      <c r="J1" s="9" t="s">
        <v>26</v>
      </c>
      <c r="K1" s="6" t="s">
        <v>27</v>
      </c>
      <c r="L1" s="6" t="s">
        <v>28</v>
      </c>
    </row>
    <row r="2" spans="1:12" s="6" customFormat="1" ht="15">
      <c r="C2" s="6" t="str">
        <f>all_data!C2</f>
        <v>[g]</v>
      </c>
      <c r="D2" s="6">
        <f>all_data!D2</f>
        <v>5.2</v>
      </c>
      <c r="E2" s="6" t="str">
        <f>all_data!E2</f>
        <v>[-]</v>
      </c>
      <c r="J2" s="9"/>
    </row>
    <row r="3" spans="1:12">
      <c r="A3">
        <f>all_data!A52</f>
        <v>50</v>
      </c>
      <c r="B3">
        <f>all_data!B52</f>
        <v>0</v>
      </c>
      <c r="C3">
        <f>all_data!C123</f>
        <v>0</v>
      </c>
      <c r="D3">
        <f>all_data!D52</f>
        <v>0</v>
      </c>
      <c r="E3">
        <f>all_data!E123</f>
        <v>0</v>
      </c>
      <c r="G3">
        <f>IF(D3=0,0,RANK(D3,$D$3:$D$52,1)-COUNTIF($D$3:$D$52,"=0"))</f>
        <v>0</v>
      </c>
      <c r="H3">
        <f>IF(C3&lt;=10,D3,0)</f>
        <v>0</v>
      </c>
      <c r="I3">
        <f>all_data!H52</f>
        <v>0</v>
      </c>
      <c r="J3" s="10" t="str">
        <f t="shared" ref="J3:J34" si="0">IF(H3&gt;0,B3,"")</f>
        <v/>
      </c>
      <c r="K3" t="str">
        <f t="shared" ref="K3:K34" si="1">IF(H3&gt;0,D3,"")</f>
        <v/>
      </c>
      <c r="L3" t="str">
        <f t="shared" ref="L3:L34" si="2">IF(H3&gt;0,F3,"")</f>
        <v/>
      </c>
    </row>
    <row r="4" spans="1:12">
      <c r="A4" s="54">
        <f>all_data!A34</f>
        <v>32</v>
      </c>
      <c r="B4" s="54">
        <f>all_data!B34</f>
        <v>0</v>
      </c>
      <c r="C4">
        <f>all_data!C130</f>
        <v>0</v>
      </c>
      <c r="D4" s="54">
        <f>all_data!D34</f>
        <v>0</v>
      </c>
      <c r="E4">
        <f>all_data!E130</f>
        <v>0</v>
      </c>
      <c r="G4" s="66">
        <f>IF(D4=0,0,RANK(D4,$D$3:$D$52,1)-COUNTIF($D$3:$D$52,"=0"))</f>
        <v>0</v>
      </c>
      <c r="H4">
        <f>IF(C4&lt;=10,D4,0)</f>
        <v>0</v>
      </c>
      <c r="I4" s="85">
        <f>all_data!H34</f>
        <v>0</v>
      </c>
      <c r="J4" s="10" t="str">
        <f t="shared" si="0"/>
        <v/>
      </c>
      <c r="K4" t="str">
        <f t="shared" si="1"/>
        <v/>
      </c>
      <c r="L4" t="str">
        <f t="shared" si="2"/>
        <v/>
      </c>
    </row>
    <row r="5" spans="1:12">
      <c r="A5" s="54">
        <f>all_data!A49</f>
        <v>47</v>
      </c>
      <c r="B5" s="54">
        <f>all_data!B49</f>
        <v>0</v>
      </c>
      <c r="C5">
        <f>all_data!C89</f>
        <v>0</v>
      </c>
      <c r="D5" s="54">
        <f>all_data!D49</f>
        <v>0</v>
      </c>
      <c r="E5">
        <f>all_data!E89</f>
        <v>0</v>
      </c>
      <c r="G5" s="66">
        <f>IF(D5=0,0,RANK(D5,$D$3:$D$52,1)-COUNTIF($D$3:$D$52,"=0"))</f>
        <v>0</v>
      </c>
      <c r="H5">
        <f>IF(C5&lt;=10,D5,0)</f>
        <v>0</v>
      </c>
      <c r="I5" s="85">
        <f>all_data!H49</f>
        <v>0</v>
      </c>
      <c r="J5" s="10" t="str">
        <f t="shared" si="0"/>
        <v/>
      </c>
      <c r="K5" t="str">
        <f t="shared" si="1"/>
        <v/>
      </c>
      <c r="L5" t="str">
        <f t="shared" si="2"/>
        <v/>
      </c>
    </row>
    <row r="6" spans="1:12">
      <c r="A6" s="54">
        <f>all_data!A48</f>
        <v>46</v>
      </c>
      <c r="B6" s="54">
        <f>all_data!B48</f>
        <v>0</v>
      </c>
      <c r="C6">
        <f>all_data!C79</f>
        <v>0</v>
      </c>
      <c r="D6" s="54">
        <f>all_data!D48</f>
        <v>0</v>
      </c>
      <c r="E6">
        <f>all_data!E79</f>
        <v>0</v>
      </c>
      <c r="G6" s="66">
        <f>IF(D6=0,0,RANK(D6,$D$3:$D$52,1)-COUNTIF($D$3:$D$52,"=0"))</f>
        <v>0</v>
      </c>
      <c r="H6">
        <f>IF(C6&lt;=10,D6,0)</f>
        <v>0</v>
      </c>
      <c r="I6" s="85">
        <f>all_data!H48</f>
        <v>0</v>
      </c>
      <c r="J6" s="10" t="str">
        <f t="shared" si="0"/>
        <v/>
      </c>
      <c r="K6" t="str">
        <f t="shared" si="1"/>
        <v/>
      </c>
      <c r="L6" t="str">
        <f t="shared" si="2"/>
        <v/>
      </c>
    </row>
    <row r="7" spans="1:12">
      <c r="A7" s="54">
        <f>all_data!A39</f>
        <v>37</v>
      </c>
      <c r="B7" s="54">
        <f>all_data!B39</f>
        <v>0</v>
      </c>
      <c r="C7">
        <f>all_data!C110</f>
        <v>0</v>
      </c>
      <c r="D7" s="54">
        <f>all_data!D39</f>
        <v>0</v>
      </c>
      <c r="E7">
        <f>all_data!E110</f>
        <v>0</v>
      </c>
      <c r="G7" s="66">
        <f>IF(D7=0,0,RANK(D7,$D$3:$D$52,1)-COUNTIF($D$3:$D$52,"=0"))</f>
        <v>0</v>
      </c>
      <c r="H7">
        <f>IF(C7&lt;=10,D7,0)</f>
        <v>0</v>
      </c>
      <c r="I7" s="85">
        <f>all_data!H39</f>
        <v>0</v>
      </c>
      <c r="J7" s="10" t="str">
        <f t="shared" si="0"/>
        <v/>
      </c>
      <c r="K7" t="str">
        <f t="shared" si="1"/>
        <v/>
      </c>
      <c r="L7" t="str">
        <f t="shared" si="2"/>
        <v/>
      </c>
    </row>
    <row r="8" spans="1:12">
      <c r="A8" s="54">
        <f>all_data!A46</f>
        <v>44</v>
      </c>
      <c r="B8" s="54">
        <f>all_data!B46</f>
        <v>0</v>
      </c>
      <c r="C8">
        <f>all_data!C109</f>
        <v>0</v>
      </c>
      <c r="D8" s="54">
        <f>all_data!D46</f>
        <v>0</v>
      </c>
      <c r="E8">
        <f>all_data!E109</f>
        <v>0</v>
      </c>
      <c r="G8" s="66">
        <f>IF(D8=0,0,RANK(D8,$D$3:$D$52,1)-COUNTIF($D$3:$D$52,"=0"))</f>
        <v>0</v>
      </c>
      <c r="H8">
        <f>IF(C8&lt;=10,D8,0)</f>
        <v>0</v>
      </c>
      <c r="I8" s="85">
        <f>all_data!H46</f>
        <v>0</v>
      </c>
      <c r="J8" s="10" t="str">
        <f t="shared" si="0"/>
        <v/>
      </c>
      <c r="K8" t="str">
        <f t="shared" si="1"/>
        <v/>
      </c>
      <c r="L8" t="str">
        <f t="shared" si="2"/>
        <v/>
      </c>
    </row>
    <row r="9" spans="1:12">
      <c r="A9" s="54">
        <f>all_data!A51</f>
        <v>49</v>
      </c>
      <c r="B9" s="54">
        <f>all_data!B51</f>
        <v>0</v>
      </c>
      <c r="C9">
        <f>all_data!C116</f>
        <v>0</v>
      </c>
      <c r="D9" s="54">
        <f>all_data!D51</f>
        <v>0</v>
      </c>
      <c r="E9">
        <f>all_data!E116</f>
        <v>0</v>
      </c>
      <c r="G9" s="66">
        <f>IF(D9=0,0,RANK(D9,$D$3:$D$52,1)-COUNTIF($D$3:$D$52,"=0"))</f>
        <v>0</v>
      </c>
      <c r="H9">
        <f>IF(C9&lt;=10,D9,0)</f>
        <v>0</v>
      </c>
      <c r="I9" s="85">
        <f>all_data!H51</f>
        <v>0</v>
      </c>
      <c r="J9" s="10" t="str">
        <f t="shared" si="0"/>
        <v/>
      </c>
      <c r="K9" t="str">
        <f t="shared" si="1"/>
        <v/>
      </c>
      <c r="L9" t="str">
        <f t="shared" si="2"/>
        <v/>
      </c>
    </row>
    <row r="10" spans="1:12">
      <c r="A10" s="54">
        <f>all_data!A50</f>
        <v>48</v>
      </c>
      <c r="B10" s="54">
        <f>all_data!B50</f>
        <v>0</v>
      </c>
      <c r="C10">
        <f>all_data!C97</f>
        <v>0</v>
      </c>
      <c r="D10" s="54">
        <f>all_data!D50</f>
        <v>0</v>
      </c>
      <c r="E10">
        <f>all_data!E97</f>
        <v>0</v>
      </c>
      <c r="G10" s="66">
        <f>IF(D10=0,0,RANK(D10,$D$3:$D$52,1)-COUNTIF($D$3:$D$52,"=0"))</f>
        <v>0</v>
      </c>
      <c r="H10">
        <f>IF(C10&lt;=10,D10,0)</f>
        <v>0</v>
      </c>
      <c r="I10" s="85">
        <f>all_data!H50</f>
        <v>0</v>
      </c>
      <c r="J10" s="10" t="str">
        <f t="shared" si="0"/>
        <v/>
      </c>
      <c r="K10" t="str">
        <f t="shared" si="1"/>
        <v/>
      </c>
      <c r="L10" t="str">
        <f t="shared" si="2"/>
        <v/>
      </c>
    </row>
    <row r="11" spans="1:12">
      <c r="A11" s="54">
        <f>all_data!A47</f>
        <v>45</v>
      </c>
      <c r="B11" s="54">
        <f>all_data!B47</f>
        <v>0</v>
      </c>
      <c r="C11">
        <f>all_data!C111</f>
        <v>0</v>
      </c>
      <c r="D11" s="54">
        <f>all_data!D47</f>
        <v>0</v>
      </c>
      <c r="E11">
        <f>all_data!E111</f>
        <v>0</v>
      </c>
      <c r="G11" s="66">
        <f>IF(D11=0,0,RANK(D11,$D$3:$D$52,1)-COUNTIF($D$3:$D$52,"=0"))</f>
        <v>0</v>
      </c>
      <c r="H11">
        <f>IF(C11&lt;=10,D11,0)</f>
        <v>0</v>
      </c>
      <c r="I11" s="85">
        <f>all_data!H47</f>
        <v>0</v>
      </c>
      <c r="J11" s="10" t="str">
        <f t="shared" si="0"/>
        <v/>
      </c>
      <c r="K11" t="str">
        <f t="shared" si="1"/>
        <v/>
      </c>
      <c r="L11" t="str">
        <f t="shared" si="2"/>
        <v/>
      </c>
    </row>
    <row r="12" spans="1:12">
      <c r="A12" s="54">
        <f>all_data!A43</f>
        <v>41</v>
      </c>
      <c r="B12" s="54">
        <f>all_data!B43</f>
        <v>0</v>
      </c>
      <c r="C12">
        <f>all_data!C115</f>
        <v>0</v>
      </c>
      <c r="D12" s="54">
        <f>all_data!D43</f>
        <v>0</v>
      </c>
      <c r="E12">
        <f>all_data!E115</f>
        <v>0</v>
      </c>
      <c r="G12" s="66">
        <f>IF(D12=0,0,RANK(D12,$D$3:$D$52,1)-COUNTIF($D$3:$D$52,"=0"))</f>
        <v>0</v>
      </c>
      <c r="H12">
        <f>IF(C12&lt;=10,D12,0)</f>
        <v>0</v>
      </c>
      <c r="I12" s="85">
        <f>all_data!H43</f>
        <v>0</v>
      </c>
      <c r="J12" s="10" t="str">
        <f t="shared" si="0"/>
        <v/>
      </c>
      <c r="K12" t="str">
        <f t="shared" si="1"/>
        <v/>
      </c>
      <c r="L12" t="str">
        <f t="shared" si="2"/>
        <v/>
      </c>
    </row>
    <row r="13" spans="1:12">
      <c r="A13" s="54">
        <f>all_data!A41</f>
        <v>39</v>
      </c>
      <c r="B13" s="54">
        <f>all_data!B41</f>
        <v>0</v>
      </c>
      <c r="C13">
        <f>all_data!C80</f>
        <v>0</v>
      </c>
      <c r="D13" s="54">
        <f>all_data!D41</f>
        <v>0</v>
      </c>
      <c r="E13">
        <f>all_data!E80</f>
        <v>0</v>
      </c>
      <c r="G13" s="66">
        <f>IF(D13=0,0,RANK(D13,$D$3:$D$52,1)-COUNTIF($D$3:$D$52,"=0"))</f>
        <v>0</v>
      </c>
      <c r="H13">
        <f>IF(C13&lt;=10,D13,0)</f>
        <v>0</v>
      </c>
      <c r="I13" s="85">
        <f>all_data!H41</f>
        <v>0</v>
      </c>
      <c r="J13" s="10" t="str">
        <f t="shared" si="0"/>
        <v/>
      </c>
      <c r="K13" t="str">
        <f t="shared" si="1"/>
        <v/>
      </c>
      <c r="L13" t="str">
        <f t="shared" si="2"/>
        <v/>
      </c>
    </row>
    <row r="14" spans="1:12">
      <c r="A14" s="54">
        <f>all_data!A45</f>
        <v>43</v>
      </c>
      <c r="B14" s="54">
        <f>all_data!B45</f>
        <v>0</v>
      </c>
      <c r="C14">
        <f>all_data!C83</f>
        <v>0</v>
      </c>
      <c r="D14" s="54">
        <f>all_data!D45</f>
        <v>0</v>
      </c>
      <c r="E14">
        <f>all_data!E83</f>
        <v>0</v>
      </c>
      <c r="G14" s="66">
        <f>IF(D14=0,0,RANK(D14,$D$3:$D$52,1)-COUNTIF($D$3:$D$52,"=0"))</f>
        <v>0</v>
      </c>
      <c r="H14">
        <f>IF(C14&lt;=10,D14,0)</f>
        <v>0</v>
      </c>
      <c r="I14" s="85">
        <f>all_data!H45</f>
        <v>0</v>
      </c>
      <c r="J14" s="10" t="str">
        <f t="shared" si="0"/>
        <v/>
      </c>
      <c r="K14" t="str">
        <f t="shared" si="1"/>
        <v/>
      </c>
      <c r="L14" t="str">
        <f t="shared" si="2"/>
        <v/>
      </c>
    </row>
    <row r="15" spans="1:12">
      <c r="A15" s="54">
        <f>all_data!A44</f>
        <v>42</v>
      </c>
      <c r="B15" s="54">
        <f>all_data!B44</f>
        <v>0</v>
      </c>
      <c r="C15">
        <f>all_data!C128</f>
        <v>0</v>
      </c>
      <c r="D15" s="54">
        <f>all_data!D44</f>
        <v>0</v>
      </c>
      <c r="E15">
        <f>all_data!E128</f>
        <v>0</v>
      </c>
      <c r="G15" s="66">
        <f>IF(D15=0,0,RANK(D15,$D$3:$D$52,1)-COUNTIF($D$3:$D$52,"=0"))</f>
        <v>0</v>
      </c>
      <c r="H15">
        <f>IF(C15&lt;=10,D15,0)</f>
        <v>0</v>
      </c>
      <c r="I15" s="85">
        <f>all_data!H44</f>
        <v>0</v>
      </c>
      <c r="J15" s="10" t="str">
        <f t="shared" si="0"/>
        <v/>
      </c>
      <c r="K15" t="str">
        <f t="shared" si="1"/>
        <v/>
      </c>
      <c r="L15" t="str">
        <f t="shared" si="2"/>
        <v/>
      </c>
    </row>
    <row r="16" spans="1:12">
      <c r="A16" s="54">
        <f>all_data!A38</f>
        <v>36</v>
      </c>
      <c r="B16" s="54">
        <f>all_data!B38</f>
        <v>0</v>
      </c>
      <c r="C16">
        <f>all_data!C100</f>
        <v>0</v>
      </c>
      <c r="D16" s="54">
        <f>all_data!D38</f>
        <v>0</v>
      </c>
      <c r="E16">
        <f>all_data!E100</f>
        <v>0</v>
      </c>
      <c r="G16" s="66">
        <f>IF(D16=0,0,RANK(D16,$D$3:$D$52,1)-COUNTIF($D$3:$D$52,"=0"))</f>
        <v>0</v>
      </c>
      <c r="H16">
        <f>IF(C16&lt;=10,D16,0)</f>
        <v>0</v>
      </c>
      <c r="I16" s="85">
        <f>all_data!H38</f>
        <v>0</v>
      </c>
      <c r="J16" s="10" t="str">
        <f t="shared" si="0"/>
        <v/>
      </c>
      <c r="K16" t="str">
        <f t="shared" si="1"/>
        <v/>
      </c>
      <c r="L16" t="str">
        <f t="shared" si="2"/>
        <v/>
      </c>
    </row>
    <row r="17" spans="1:12">
      <c r="A17" s="54">
        <f>all_data!A18</f>
        <v>16</v>
      </c>
      <c r="B17" s="54">
        <f>all_data!B18</f>
        <v>0</v>
      </c>
      <c r="C17">
        <f>all_data!C40</f>
        <v>0</v>
      </c>
      <c r="D17" s="54">
        <f>all_data!D18</f>
        <v>0</v>
      </c>
      <c r="E17" t="str">
        <f>all_data!E40</f>
        <v/>
      </c>
      <c r="G17" s="66">
        <f>IF(D17=0,0,RANK(D17,$D$3:$D$52,1)-COUNTIF($D$3:$D$52,"=0"))</f>
        <v>0</v>
      </c>
      <c r="H17">
        <f>IF(C17&lt;=10,D17,0)</f>
        <v>0</v>
      </c>
      <c r="I17" s="85">
        <f>all_data!H18</f>
        <v>0</v>
      </c>
      <c r="J17" s="10" t="str">
        <f t="shared" si="0"/>
        <v/>
      </c>
      <c r="K17" t="str">
        <f t="shared" si="1"/>
        <v/>
      </c>
      <c r="L17" t="str">
        <f t="shared" si="2"/>
        <v/>
      </c>
    </row>
    <row r="18" spans="1:12">
      <c r="A18" s="54">
        <f>all_data!A20</f>
        <v>18</v>
      </c>
      <c r="B18" s="54">
        <f>all_data!B20</f>
        <v>0</v>
      </c>
      <c r="C18">
        <f>all_data!C121</f>
        <v>0</v>
      </c>
      <c r="D18" s="54">
        <f>all_data!D20</f>
        <v>0</v>
      </c>
      <c r="E18">
        <f>all_data!E121</f>
        <v>0</v>
      </c>
      <c r="G18" s="66">
        <f>IF(D18=0,0,RANK(D18,$D$3:$D$52,1)-COUNTIF($D$3:$D$52,"=0"))</f>
        <v>0</v>
      </c>
      <c r="H18">
        <f>IF(C18&lt;=10,D18,0)</f>
        <v>0</v>
      </c>
      <c r="I18" s="85">
        <f>all_data!H20</f>
        <v>0</v>
      </c>
      <c r="J18" s="10" t="str">
        <f t="shared" si="0"/>
        <v/>
      </c>
      <c r="K18" t="str">
        <f t="shared" si="1"/>
        <v/>
      </c>
      <c r="L18" t="str">
        <f t="shared" si="2"/>
        <v/>
      </c>
    </row>
    <row r="19" spans="1:12">
      <c r="A19" s="54">
        <f>all_data!A29</f>
        <v>27</v>
      </c>
      <c r="B19" s="54">
        <f>all_data!B29</f>
        <v>0</v>
      </c>
      <c r="C19">
        <f>all_data!C104</f>
        <v>0</v>
      </c>
      <c r="D19" s="54">
        <f>all_data!D29</f>
        <v>0</v>
      </c>
      <c r="E19">
        <f>all_data!E104</f>
        <v>0</v>
      </c>
      <c r="G19" s="66">
        <f>IF(D19=0,0,RANK(D19,$D$3:$D$52,1)-COUNTIF($D$3:$D$52,"=0"))</f>
        <v>0</v>
      </c>
      <c r="H19">
        <f>IF(C19&lt;=10,D19,0)</f>
        <v>0</v>
      </c>
      <c r="I19" s="85">
        <f>all_data!H29</f>
        <v>0</v>
      </c>
      <c r="J19" s="10" t="str">
        <f t="shared" si="0"/>
        <v/>
      </c>
      <c r="K19" t="str">
        <f t="shared" si="1"/>
        <v/>
      </c>
      <c r="L19" t="str">
        <f t="shared" si="2"/>
        <v/>
      </c>
    </row>
    <row r="20" spans="1:12">
      <c r="A20" s="54">
        <f>all_data!A19</f>
        <v>17</v>
      </c>
      <c r="B20" s="54">
        <f>all_data!B19</f>
        <v>0</v>
      </c>
      <c r="C20">
        <f>all_data!C118</f>
        <v>0</v>
      </c>
      <c r="D20" s="54">
        <f>all_data!D19</f>
        <v>0</v>
      </c>
      <c r="E20">
        <f>all_data!E118</f>
        <v>0</v>
      </c>
      <c r="G20" s="66">
        <f>IF(D20=0,0,RANK(D20,$D$3:$D$52,1)-COUNTIF($D$3:$D$52,"=0"))</f>
        <v>0</v>
      </c>
      <c r="H20">
        <f>IF(C20&lt;=10,D20,0)</f>
        <v>0</v>
      </c>
      <c r="I20" s="85">
        <f>all_data!H19</f>
        <v>0</v>
      </c>
      <c r="J20" s="10" t="str">
        <f t="shared" si="0"/>
        <v/>
      </c>
      <c r="K20" t="str">
        <f t="shared" si="1"/>
        <v/>
      </c>
      <c r="L20" t="str">
        <f t="shared" si="2"/>
        <v/>
      </c>
    </row>
    <row r="21" spans="1:12">
      <c r="A21" s="54">
        <f>all_data!A15</f>
        <v>13</v>
      </c>
      <c r="B21" s="54">
        <f>all_data!B15</f>
        <v>0</v>
      </c>
      <c r="C21">
        <f>all_data!C58</f>
        <v>0</v>
      </c>
      <c r="D21" s="54">
        <f>all_data!D15</f>
        <v>0</v>
      </c>
      <c r="E21">
        <f>all_data!E58</f>
        <v>0</v>
      </c>
      <c r="G21" s="66">
        <f>IF(D21=0,0,RANK(D21,$D$3:$D$52,1)-COUNTIF($D$3:$D$52,"=0"))</f>
        <v>0</v>
      </c>
      <c r="H21">
        <f>IF(C21&lt;=10,D21,0)</f>
        <v>0</v>
      </c>
      <c r="I21" s="85">
        <f>all_data!H15</f>
        <v>0</v>
      </c>
      <c r="J21" s="10" t="str">
        <f t="shared" si="0"/>
        <v/>
      </c>
      <c r="K21" t="str">
        <f t="shared" si="1"/>
        <v/>
      </c>
      <c r="L21" t="str">
        <f t="shared" si="2"/>
        <v/>
      </c>
    </row>
    <row r="22" spans="1:12">
      <c r="A22" s="54">
        <f>all_data!A27</f>
        <v>25</v>
      </c>
      <c r="B22" s="54">
        <f>all_data!B27</f>
        <v>0</v>
      </c>
      <c r="C22">
        <f>all_data!C113</f>
        <v>0</v>
      </c>
      <c r="D22" s="54">
        <f>all_data!D27</f>
        <v>0</v>
      </c>
      <c r="E22">
        <f>all_data!E113</f>
        <v>0</v>
      </c>
      <c r="G22" s="66">
        <f>IF(D22=0,0,RANK(D22,$D$3:$D$52,1)-COUNTIF($D$3:$D$52,"=0"))</f>
        <v>0</v>
      </c>
      <c r="H22">
        <f>IF(C22&lt;=10,D22,0)</f>
        <v>0</v>
      </c>
      <c r="I22" s="85">
        <f>all_data!H27</f>
        <v>0</v>
      </c>
      <c r="J22" s="10" t="str">
        <f t="shared" si="0"/>
        <v/>
      </c>
      <c r="K22" t="str">
        <f t="shared" si="1"/>
        <v/>
      </c>
      <c r="L22" t="str">
        <f t="shared" si="2"/>
        <v/>
      </c>
    </row>
    <row r="23" spans="1:12">
      <c r="A23" s="54">
        <f>all_data!A24</f>
        <v>22</v>
      </c>
      <c r="B23" s="54">
        <f>all_data!B24</f>
        <v>0</v>
      </c>
      <c r="C23">
        <f>all_data!C126</f>
        <v>0</v>
      </c>
      <c r="D23" s="54">
        <f>all_data!D24</f>
        <v>0</v>
      </c>
      <c r="E23">
        <f>all_data!E126</f>
        <v>0</v>
      </c>
      <c r="G23" s="66">
        <f>IF(D23=0,0,RANK(D23,$D$3:$D$52,1)-COUNTIF($D$3:$D$52,"=0"))</f>
        <v>0</v>
      </c>
      <c r="H23">
        <f>IF(C23&lt;=10,D23,0)</f>
        <v>0</v>
      </c>
      <c r="I23" s="85">
        <f>all_data!H24</f>
        <v>0</v>
      </c>
      <c r="J23" s="10" t="str">
        <f t="shared" si="0"/>
        <v/>
      </c>
      <c r="K23" t="str">
        <f t="shared" si="1"/>
        <v/>
      </c>
      <c r="L23" t="str">
        <f t="shared" si="2"/>
        <v/>
      </c>
    </row>
    <row r="24" spans="1:12">
      <c r="A24" s="54">
        <f>all_data!A36</f>
        <v>34</v>
      </c>
      <c r="B24" s="54">
        <f>all_data!B36</f>
        <v>0</v>
      </c>
      <c r="C24">
        <f>all_data!C107</f>
        <v>0</v>
      </c>
      <c r="D24" s="54">
        <f>all_data!D36</f>
        <v>0</v>
      </c>
      <c r="E24">
        <f>all_data!E107</f>
        <v>0</v>
      </c>
      <c r="G24" s="66">
        <f>IF(D24=0,0,RANK(D24,$D$3:$D$52,1)-COUNTIF($D$3:$D$52,"=0"))</f>
        <v>0</v>
      </c>
      <c r="H24">
        <f>IF(C24&lt;=10,D24,0)</f>
        <v>0</v>
      </c>
      <c r="I24" s="85">
        <f>all_data!H36</f>
        <v>0</v>
      </c>
      <c r="J24" s="10" t="str">
        <f t="shared" si="0"/>
        <v/>
      </c>
      <c r="K24" t="str">
        <f t="shared" si="1"/>
        <v/>
      </c>
      <c r="L24" t="str">
        <f t="shared" si="2"/>
        <v/>
      </c>
    </row>
    <row r="25" spans="1:12">
      <c r="A25" s="54">
        <f>all_data!A25</f>
        <v>23</v>
      </c>
      <c r="B25" s="54">
        <f>all_data!B25</f>
        <v>0</v>
      </c>
      <c r="C25">
        <f>all_data!C77</f>
        <v>0</v>
      </c>
      <c r="D25" s="54">
        <f>all_data!D25</f>
        <v>0</v>
      </c>
      <c r="E25">
        <f>all_data!E77</f>
        <v>0</v>
      </c>
      <c r="G25" s="66">
        <f>IF(D25=0,0,RANK(D25,$D$3:$D$52,1)-COUNTIF($D$3:$D$52,"=0"))</f>
        <v>0</v>
      </c>
      <c r="H25">
        <f>IF(C25&lt;=10,D25,0)</f>
        <v>0</v>
      </c>
      <c r="I25" s="85">
        <f>all_data!H25</f>
        <v>0</v>
      </c>
      <c r="J25" s="10" t="str">
        <f t="shared" si="0"/>
        <v/>
      </c>
      <c r="K25" t="str">
        <f t="shared" si="1"/>
        <v/>
      </c>
      <c r="L25" t="str">
        <f t="shared" si="2"/>
        <v/>
      </c>
    </row>
    <row r="26" spans="1:12">
      <c r="A26" s="54">
        <f>all_data!A26</f>
        <v>24</v>
      </c>
      <c r="B26" s="54">
        <f>all_data!B26</f>
        <v>0</v>
      </c>
      <c r="C26">
        <f>all_data!C105</f>
        <v>0</v>
      </c>
      <c r="D26" s="54">
        <f>all_data!D26</f>
        <v>0</v>
      </c>
      <c r="E26">
        <f>all_data!E105</f>
        <v>0</v>
      </c>
      <c r="G26" s="66">
        <f>IF(D26=0,0,RANK(D26,$D$3:$D$52,1)-COUNTIF($D$3:$D$52,"=0"))</f>
        <v>0</v>
      </c>
      <c r="H26">
        <f>IF(C26&lt;=10,D26,0)</f>
        <v>0</v>
      </c>
      <c r="I26" s="85">
        <f>all_data!H26</f>
        <v>0</v>
      </c>
      <c r="J26" s="10" t="str">
        <f t="shared" si="0"/>
        <v/>
      </c>
      <c r="K26" t="str">
        <f t="shared" si="1"/>
        <v/>
      </c>
      <c r="L26" t="str">
        <f t="shared" si="2"/>
        <v/>
      </c>
    </row>
    <row r="27" spans="1:12">
      <c r="A27" s="54">
        <f>all_data!A14</f>
        <v>12</v>
      </c>
      <c r="B27" s="54">
        <f>all_data!B14</f>
        <v>0</v>
      </c>
      <c r="C27">
        <f>all_data!C28</f>
        <v>0</v>
      </c>
      <c r="D27" s="54">
        <f>all_data!D14</f>
        <v>0</v>
      </c>
      <c r="E27" t="str">
        <f>all_data!E28</f>
        <v/>
      </c>
      <c r="G27" s="66">
        <f>IF(D27=0,0,RANK(D27,$D$3:$D$52,1)-COUNTIF($D$3:$D$52,"=0"))</f>
        <v>0</v>
      </c>
      <c r="H27">
        <f>IF(C27&lt;=10,D27,0)</f>
        <v>0</v>
      </c>
      <c r="I27" s="85">
        <f>all_data!H14</f>
        <v>0</v>
      </c>
      <c r="J27" s="10" t="str">
        <f t="shared" si="0"/>
        <v/>
      </c>
      <c r="K27" t="str">
        <f t="shared" si="1"/>
        <v/>
      </c>
      <c r="L27" t="str">
        <f t="shared" si="2"/>
        <v/>
      </c>
    </row>
    <row r="28" spans="1:12">
      <c r="A28" s="54">
        <f>all_data!A9</f>
        <v>7</v>
      </c>
      <c r="B28" s="54">
        <f>all_data!B9</f>
        <v>0</v>
      </c>
      <c r="C28">
        <f>all_data!C13</f>
        <v>0</v>
      </c>
      <c r="D28" s="54">
        <f>all_data!D9</f>
        <v>0</v>
      </c>
      <c r="E28" t="str">
        <f>all_data!E13</f>
        <v/>
      </c>
      <c r="G28" s="66">
        <f>IF(D28=0,0,RANK(D28,$D$3:$D$52,1)-COUNTIF($D$3:$D$52,"=0"))</f>
        <v>0</v>
      </c>
      <c r="H28">
        <f>IF(C28&lt;=10,D28,0)</f>
        <v>0</v>
      </c>
      <c r="I28" s="85">
        <f>all_data!H9</f>
        <v>0</v>
      </c>
      <c r="J28" s="10" t="str">
        <f t="shared" si="0"/>
        <v/>
      </c>
      <c r="K28" t="str">
        <f t="shared" si="1"/>
        <v/>
      </c>
      <c r="L28" t="str">
        <f t="shared" si="2"/>
        <v/>
      </c>
    </row>
    <row r="29" spans="1:12">
      <c r="A29" s="54">
        <f>all_data!A33</f>
        <v>31</v>
      </c>
      <c r="B29" s="54">
        <f>all_data!B33</f>
        <v>0</v>
      </c>
      <c r="C29">
        <f>all_data!C131</f>
        <v>0</v>
      </c>
      <c r="D29" s="54">
        <f>all_data!D33</f>
        <v>0</v>
      </c>
      <c r="E29">
        <f>all_data!E131</f>
        <v>0</v>
      </c>
      <c r="G29" s="66">
        <f>IF(D29=0,0,RANK(D29,$D$3:$D$52,1)-COUNTIF($D$3:$D$52,"=0"))</f>
        <v>0</v>
      </c>
      <c r="H29">
        <f>IF(C29&lt;=10,D29,0)</f>
        <v>0</v>
      </c>
      <c r="I29" s="85">
        <f>all_data!H33</f>
        <v>0</v>
      </c>
      <c r="J29" s="10" t="str">
        <f t="shared" si="0"/>
        <v/>
      </c>
      <c r="K29" t="str">
        <f t="shared" si="1"/>
        <v/>
      </c>
      <c r="L29" t="str">
        <f t="shared" si="2"/>
        <v/>
      </c>
    </row>
    <row r="30" spans="1:12">
      <c r="A30" s="54">
        <f>all_data!A17</f>
        <v>15</v>
      </c>
      <c r="B30" s="54">
        <f>all_data!B17</f>
        <v>0</v>
      </c>
      <c r="C30">
        <f>all_data!C55</f>
        <v>0</v>
      </c>
      <c r="D30" s="54">
        <f>all_data!D17</f>
        <v>0</v>
      </c>
      <c r="E30">
        <f>all_data!E55</f>
        <v>0</v>
      </c>
      <c r="G30" s="66">
        <f>IF(D30=0,0,RANK(D30,$D$3:$D$52,1)-COUNTIF($D$3:$D$52,"=0"))</f>
        <v>0</v>
      </c>
      <c r="H30">
        <f>IF(C30&lt;=10,D30,0)</f>
        <v>0</v>
      </c>
      <c r="I30" s="85">
        <f>all_data!H17</f>
        <v>0</v>
      </c>
      <c r="J30" s="10" t="str">
        <f t="shared" si="0"/>
        <v/>
      </c>
      <c r="K30" t="str">
        <f t="shared" si="1"/>
        <v/>
      </c>
      <c r="L30" t="str">
        <f t="shared" si="2"/>
        <v/>
      </c>
    </row>
    <row r="31" spans="1:12">
      <c r="A31" s="54">
        <f>all_data!A7</f>
        <v>5</v>
      </c>
      <c r="B31" s="54">
        <f>all_data!B7</f>
        <v>0</v>
      </c>
      <c r="C31">
        <f>all_data!C11</f>
        <v>0</v>
      </c>
      <c r="D31" s="54">
        <f>all_data!D7</f>
        <v>0</v>
      </c>
      <c r="E31" t="str">
        <f>all_data!E11</f>
        <v/>
      </c>
      <c r="G31" s="66">
        <f>IF(D31=0,0,RANK(D31,$D$3:$D$52,1)-COUNTIF($D$3:$D$52,"=0"))</f>
        <v>0</v>
      </c>
      <c r="H31">
        <f>IF(C31&lt;=10,D31,0)</f>
        <v>0</v>
      </c>
      <c r="I31" s="85">
        <f>all_data!H7</f>
        <v>0</v>
      </c>
      <c r="J31" s="10" t="str">
        <f t="shared" si="0"/>
        <v/>
      </c>
      <c r="K31" t="str">
        <f t="shared" si="1"/>
        <v/>
      </c>
      <c r="L31" t="str">
        <f t="shared" si="2"/>
        <v/>
      </c>
    </row>
    <row r="32" spans="1:12">
      <c r="A32" s="54">
        <f>all_data!A28</f>
        <v>26</v>
      </c>
      <c r="B32" s="54">
        <f>all_data!B28</f>
        <v>0</v>
      </c>
      <c r="C32">
        <f>all_data!C102</f>
        <v>0</v>
      </c>
      <c r="D32" s="54">
        <f>all_data!D28</f>
        <v>0</v>
      </c>
      <c r="E32">
        <f>all_data!E102</f>
        <v>0</v>
      </c>
      <c r="G32" s="66">
        <f>IF(D32=0,0,RANK(D32,$D$3:$D$52,1)-COUNTIF($D$3:$D$52,"=0"))</f>
        <v>0</v>
      </c>
      <c r="H32">
        <f>IF(C32&lt;=10,D32,0)</f>
        <v>0</v>
      </c>
      <c r="I32" s="85">
        <f>all_data!H28</f>
        <v>0</v>
      </c>
      <c r="J32" s="10" t="str">
        <f t="shared" si="0"/>
        <v/>
      </c>
      <c r="K32" t="str">
        <f t="shared" si="1"/>
        <v/>
      </c>
      <c r="L32" t="str">
        <f t="shared" si="2"/>
        <v/>
      </c>
    </row>
    <row r="33" spans="1:12">
      <c r="A33" s="54">
        <f>all_data!A11</f>
        <v>9</v>
      </c>
      <c r="B33" s="54">
        <f>all_data!B11</f>
        <v>0</v>
      </c>
      <c r="C33">
        <f>all_data!C4</f>
        <v>0</v>
      </c>
      <c r="D33" s="54">
        <f>all_data!D11</f>
        <v>0</v>
      </c>
      <c r="E33" t="str">
        <f>all_data!E4</f>
        <v/>
      </c>
      <c r="G33" s="66">
        <f>IF(D33=0,0,RANK(D33,$D$3:$D$52,1)-COUNTIF($D$3:$D$52,"=0"))</f>
        <v>0</v>
      </c>
      <c r="H33">
        <f>IF(C33&lt;=10,D33,0)</f>
        <v>0</v>
      </c>
      <c r="I33" s="85">
        <f>all_data!H11</f>
        <v>0</v>
      </c>
      <c r="J33" s="10" t="str">
        <f t="shared" si="0"/>
        <v/>
      </c>
      <c r="K33" t="str">
        <f t="shared" si="1"/>
        <v/>
      </c>
      <c r="L33" t="str">
        <f t="shared" si="2"/>
        <v/>
      </c>
    </row>
    <row r="34" spans="1:12">
      <c r="A34" s="54">
        <f>all_data!A30</f>
        <v>28</v>
      </c>
      <c r="B34" s="54">
        <f>all_data!B30</f>
        <v>0</v>
      </c>
      <c r="C34">
        <f>all_data!C106</f>
        <v>0</v>
      </c>
      <c r="D34" s="54">
        <f>all_data!D30</f>
        <v>0</v>
      </c>
      <c r="E34">
        <f>all_data!E106</f>
        <v>0</v>
      </c>
      <c r="G34" s="66">
        <f>IF(D34=0,0,RANK(D34,$D$3:$D$52,1)-COUNTIF($D$3:$D$52,"=0"))</f>
        <v>0</v>
      </c>
      <c r="H34">
        <f>IF(C34&lt;=10,D34,0)</f>
        <v>0</v>
      </c>
      <c r="I34" s="85">
        <f>all_data!H30</f>
        <v>0</v>
      </c>
      <c r="J34" s="10" t="str">
        <f t="shared" si="0"/>
        <v/>
      </c>
      <c r="K34" t="str">
        <f t="shared" si="1"/>
        <v/>
      </c>
      <c r="L34" t="str">
        <f t="shared" si="2"/>
        <v/>
      </c>
    </row>
    <row r="35" spans="1:12">
      <c r="A35" s="54">
        <f>all_data!A40</f>
        <v>38</v>
      </c>
      <c r="B35" s="54">
        <f>all_data!B40</f>
        <v>0</v>
      </c>
      <c r="C35">
        <f>all_data!C93</f>
        <v>0</v>
      </c>
      <c r="D35" s="54">
        <f>all_data!D40</f>
        <v>0</v>
      </c>
      <c r="E35">
        <f>all_data!E93</f>
        <v>0</v>
      </c>
      <c r="G35" s="66">
        <f>IF(D35=0,0,RANK(D35,$D$3:$D$52,1)-COUNTIF($D$3:$D$52,"=0"))</f>
        <v>0</v>
      </c>
      <c r="H35">
        <f>IF(C35&lt;=10,D35,0)</f>
        <v>0</v>
      </c>
      <c r="I35" s="85">
        <f>all_data!H40</f>
        <v>0</v>
      </c>
      <c r="J35" s="10" t="str">
        <f t="shared" ref="J35:J52" si="3">IF(H35&gt;0,B35,"")</f>
        <v/>
      </c>
      <c r="K35" t="str">
        <f t="shared" ref="K35:K52" si="4">IF(H35&gt;0,D35,"")</f>
        <v/>
      </c>
      <c r="L35" t="str">
        <f t="shared" ref="L35:L52" si="5">IF(H35&gt;0,F35,"")</f>
        <v/>
      </c>
    </row>
    <row r="36" spans="1:12">
      <c r="A36" s="54">
        <f>all_data!A23</f>
        <v>21</v>
      </c>
      <c r="B36" s="54">
        <f>all_data!B23</f>
        <v>0</v>
      </c>
      <c r="C36">
        <f>all_data!C125</f>
        <v>0</v>
      </c>
      <c r="D36" s="54">
        <f>all_data!D23</f>
        <v>0</v>
      </c>
      <c r="E36">
        <f>all_data!E125</f>
        <v>0</v>
      </c>
      <c r="G36" s="66">
        <f>IF(D36=0,0,RANK(D36,$D$3:$D$52,1)-COUNTIF($D$3:$D$52,"=0"))</f>
        <v>0</v>
      </c>
      <c r="H36">
        <f>IF(C36&lt;=10,D36,0)</f>
        <v>0</v>
      </c>
      <c r="I36" s="85">
        <f>all_data!H23</f>
        <v>0</v>
      </c>
      <c r="J36" s="10" t="str">
        <f t="shared" si="3"/>
        <v/>
      </c>
      <c r="K36" t="str">
        <f t="shared" si="4"/>
        <v/>
      </c>
      <c r="L36" t="str">
        <f t="shared" si="5"/>
        <v/>
      </c>
    </row>
    <row r="37" spans="1:12">
      <c r="A37" s="54">
        <f>all_data!A10</f>
        <v>8</v>
      </c>
      <c r="B37" s="54">
        <f>all_data!B10</f>
        <v>0</v>
      </c>
      <c r="C37">
        <f>all_data!C12</f>
        <v>0</v>
      </c>
      <c r="D37" s="54">
        <f>all_data!D10</f>
        <v>0</v>
      </c>
      <c r="E37" t="str">
        <f>all_data!E12</f>
        <v/>
      </c>
      <c r="G37" s="66">
        <f>IF(D37=0,0,RANK(D37,$D$3:$D$52,1)-COUNTIF($D$3:$D$52,"=0"))</f>
        <v>0</v>
      </c>
      <c r="H37">
        <f>IF(C37&lt;=10,D37,0)</f>
        <v>0</v>
      </c>
      <c r="I37" s="85">
        <f>all_data!H10</f>
        <v>0</v>
      </c>
      <c r="J37" s="10" t="str">
        <f t="shared" si="3"/>
        <v/>
      </c>
      <c r="K37" t="str">
        <f t="shared" si="4"/>
        <v/>
      </c>
      <c r="L37" t="str">
        <f t="shared" si="5"/>
        <v/>
      </c>
    </row>
    <row r="38" spans="1:12">
      <c r="A38" s="54">
        <f>all_data!A8</f>
        <v>6</v>
      </c>
      <c r="B38" s="54">
        <f>all_data!B8</f>
        <v>0</v>
      </c>
      <c r="C38">
        <f>all_data!C8</f>
        <v>0</v>
      </c>
      <c r="D38" s="54">
        <f>all_data!D8</f>
        <v>0</v>
      </c>
      <c r="E38" t="str">
        <f>all_data!E8</f>
        <v/>
      </c>
      <c r="G38" s="66">
        <f>IF(D38=0,0,RANK(D38,$D$3:$D$52,1)-COUNTIF($D$3:$D$52,"=0"))</f>
        <v>0</v>
      </c>
      <c r="H38">
        <f>IF(C38&lt;=10,D38,0)</f>
        <v>0</v>
      </c>
      <c r="I38" s="85">
        <f>all_data!H8</f>
        <v>0</v>
      </c>
      <c r="J38" s="10" t="str">
        <f t="shared" si="3"/>
        <v/>
      </c>
      <c r="K38" t="str">
        <f t="shared" si="4"/>
        <v/>
      </c>
      <c r="L38" t="str">
        <f t="shared" si="5"/>
        <v/>
      </c>
    </row>
    <row r="39" spans="1:12">
      <c r="A39" s="54">
        <f>all_data!A32</f>
        <v>30</v>
      </c>
      <c r="B39" s="54">
        <f>all_data!B32</f>
        <v>0</v>
      </c>
      <c r="C39">
        <f>all_data!C112</f>
        <v>0</v>
      </c>
      <c r="D39" s="54">
        <f>all_data!D32</f>
        <v>0</v>
      </c>
      <c r="E39">
        <f>all_data!E112</f>
        <v>0</v>
      </c>
      <c r="G39" s="66">
        <f>IF(D39=0,0,RANK(D39,$D$3:$D$52,1)-COUNTIF($D$3:$D$52,"=0"))</f>
        <v>0</v>
      </c>
      <c r="H39">
        <f>IF(C39&lt;=10,D39,0)</f>
        <v>0</v>
      </c>
      <c r="I39" s="85">
        <f>all_data!H32</f>
        <v>0</v>
      </c>
      <c r="J39" s="10" t="str">
        <f t="shared" si="3"/>
        <v/>
      </c>
      <c r="K39" t="str">
        <f t="shared" si="4"/>
        <v/>
      </c>
      <c r="L39" t="str">
        <f t="shared" si="5"/>
        <v/>
      </c>
    </row>
    <row r="40" spans="1:12">
      <c r="A40" s="54">
        <f>all_data!A16</f>
        <v>14</v>
      </c>
      <c r="B40" s="54">
        <f>all_data!B16</f>
        <v>0</v>
      </c>
      <c r="C40">
        <f>all_data!C49</f>
        <v>0</v>
      </c>
      <c r="D40" s="54">
        <f>all_data!D16</f>
        <v>0</v>
      </c>
      <c r="E40" t="str">
        <f>all_data!E49</f>
        <v/>
      </c>
      <c r="G40" s="66">
        <f>IF(D40=0,0,RANK(D40,$D$3:$D$52,1)-COUNTIF($D$3:$D$52,"=0"))</f>
        <v>0</v>
      </c>
      <c r="H40">
        <f>IF(C40&lt;=10,D40,0)</f>
        <v>0</v>
      </c>
      <c r="I40" s="85">
        <f>all_data!H16</f>
        <v>0</v>
      </c>
      <c r="J40" s="10" t="str">
        <f t="shared" si="3"/>
        <v/>
      </c>
      <c r="K40" t="str">
        <f t="shared" si="4"/>
        <v/>
      </c>
      <c r="L40" t="str">
        <f t="shared" si="5"/>
        <v/>
      </c>
    </row>
    <row r="41" spans="1:12">
      <c r="A41" s="54">
        <f>all_data!A35</f>
        <v>33</v>
      </c>
      <c r="B41" s="54">
        <f>all_data!B35</f>
        <v>0</v>
      </c>
      <c r="C41">
        <f>all_data!C134</f>
        <v>0</v>
      </c>
      <c r="D41" s="54">
        <f>all_data!D35</f>
        <v>0</v>
      </c>
      <c r="E41">
        <f>all_data!E134</f>
        <v>0</v>
      </c>
      <c r="G41" s="66">
        <f>IF(D41=0,0,RANK(D41,$D$3:$D$52,1)-COUNTIF($D$3:$D$52,"=0"))</f>
        <v>0</v>
      </c>
      <c r="H41">
        <f>IF(C41&lt;=10,D41,0)</f>
        <v>0</v>
      </c>
      <c r="I41" s="85">
        <f>all_data!H35</f>
        <v>0</v>
      </c>
      <c r="J41" s="10" t="str">
        <f t="shared" si="3"/>
        <v/>
      </c>
      <c r="K41" t="str">
        <f t="shared" si="4"/>
        <v/>
      </c>
      <c r="L41" t="str">
        <f t="shared" si="5"/>
        <v/>
      </c>
    </row>
    <row r="42" spans="1:12">
      <c r="A42" s="54">
        <f>all_data!A21</f>
        <v>19</v>
      </c>
      <c r="B42" s="54">
        <f>all_data!B21</f>
        <v>0</v>
      </c>
      <c r="C42">
        <f>all_data!C117</f>
        <v>0</v>
      </c>
      <c r="D42" s="54">
        <f>all_data!D21</f>
        <v>0</v>
      </c>
      <c r="E42">
        <f>all_data!E117</f>
        <v>0</v>
      </c>
      <c r="G42" s="66">
        <f>IF(D42=0,0,RANK(D42,$D$3:$D$52,1)-COUNTIF($D$3:$D$52,"=0"))</f>
        <v>0</v>
      </c>
      <c r="H42">
        <f>IF(C42&lt;=10,D42,0)</f>
        <v>0</v>
      </c>
      <c r="I42" s="85">
        <f>all_data!H21</f>
        <v>0</v>
      </c>
      <c r="J42" s="10" t="str">
        <f t="shared" si="3"/>
        <v/>
      </c>
      <c r="K42" t="str">
        <f t="shared" si="4"/>
        <v/>
      </c>
      <c r="L42" t="str">
        <f t="shared" si="5"/>
        <v/>
      </c>
    </row>
    <row r="43" spans="1:12">
      <c r="A43" s="54">
        <f>all_data!A22</f>
        <v>20</v>
      </c>
      <c r="B43" s="54">
        <f>all_data!B22</f>
        <v>0</v>
      </c>
      <c r="C43">
        <f>all_data!C76</f>
        <v>0</v>
      </c>
      <c r="D43" s="54">
        <f>all_data!D22</f>
        <v>0</v>
      </c>
      <c r="E43">
        <f>all_data!E76</f>
        <v>0</v>
      </c>
      <c r="G43" s="66">
        <f>IF(D43=0,0,RANK(D43,$D$3:$D$52,1)-COUNTIF($D$3:$D$52,"=0"))</f>
        <v>0</v>
      </c>
      <c r="H43">
        <f>IF(C43&lt;=10,D43,0)</f>
        <v>0</v>
      </c>
      <c r="I43" s="85">
        <f>all_data!H22</f>
        <v>0</v>
      </c>
      <c r="J43" s="10" t="str">
        <f t="shared" si="3"/>
        <v/>
      </c>
      <c r="K43" t="str">
        <f t="shared" si="4"/>
        <v/>
      </c>
      <c r="L43" t="str">
        <f t="shared" si="5"/>
        <v/>
      </c>
    </row>
    <row r="44" spans="1:12">
      <c r="A44" s="54">
        <f>all_data!A37</f>
        <v>35</v>
      </c>
      <c r="B44" s="54">
        <f>all_data!B37</f>
        <v>0</v>
      </c>
      <c r="C44">
        <f>all_data!C51</f>
        <v>0</v>
      </c>
      <c r="D44" s="54">
        <f>all_data!D37</f>
        <v>0</v>
      </c>
      <c r="E44" t="str">
        <f>all_data!E51</f>
        <v/>
      </c>
      <c r="G44" s="66">
        <f>IF(D44=0,0,RANK(D44,$D$3:$D$52,1)-COUNTIF($D$3:$D$52,"=0"))</f>
        <v>0</v>
      </c>
      <c r="H44">
        <f>IF(C44&lt;=10,D44,0)</f>
        <v>0</v>
      </c>
      <c r="I44" s="85">
        <f>all_data!H37</f>
        <v>0</v>
      </c>
      <c r="J44" s="10" t="str">
        <f t="shared" si="3"/>
        <v/>
      </c>
      <c r="K44" t="str">
        <f t="shared" si="4"/>
        <v/>
      </c>
      <c r="L44" t="str">
        <f t="shared" si="5"/>
        <v/>
      </c>
    </row>
    <row r="45" spans="1:12">
      <c r="A45" s="54">
        <f>all_data!A13</f>
        <v>11</v>
      </c>
      <c r="B45" s="54">
        <f>all_data!B13</f>
        <v>0</v>
      </c>
      <c r="C45">
        <f>all_data!C18</f>
        <v>0</v>
      </c>
      <c r="D45" s="54">
        <f>all_data!D13</f>
        <v>0</v>
      </c>
      <c r="E45" t="str">
        <f>all_data!E18</f>
        <v/>
      </c>
      <c r="G45" s="66">
        <f>IF(D45=0,0,RANK(D45,$D$3:$D$52,1)-COUNTIF($D$3:$D$52,"=0"))</f>
        <v>0</v>
      </c>
      <c r="H45">
        <f>IF(C45&lt;=10,D45,0)</f>
        <v>0</v>
      </c>
      <c r="I45" s="85">
        <f>all_data!H13</f>
        <v>0</v>
      </c>
      <c r="J45" s="10" t="str">
        <f t="shared" si="3"/>
        <v/>
      </c>
      <c r="K45" t="str">
        <f t="shared" si="4"/>
        <v/>
      </c>
      <c r="L45" t="str">
        <f t="shared" si="5"/>
        <v/>
      </c>
    </row>
    <row r="46" spans="1:12">
      <c r="A46" s="54">
        <f>all_data!A12</f>
        <v>10</v>
      </c>
      <c r="B46" s="54">
        <f>all_data!B12</f>
        <v>0</v>
      </c>
      <c r="C46">
        <f>all_data!C24</f>
        <v>0</v>
      </c>
      <c r="D46" s="54">
        <f>all_data!D12</f>
        <v>0</v>
      </c>
      <c r="E46" t="str">
        <f>all_data!E24</f>
        <v/>
      </c>
      <c r="G46" s="66">
        <f>IF(D46=0,0,RANK(D46,$D$3:$D$52,1)-COUNTIF($D$3:$D$52,"=0"))</f>
        <v>0</v>
      </c>
      <c r="H46">
        <f>IF(C46&lt;=10,D46,0)</f>
        <v>0</v>
      </c>
      <c r="I46" s="85">
        <f>all_data!H12</f>
        <v>0</v>
      </c>
      <c r="J46" s="10" t="str">
        <f t="shared" si="3"/>
        <v/>
      </c>
      <c r="K46" t="str">
        <f t="shared" si="4"/>
        <v/>
      </c>
      <c r="L46" t="str">
        <f t="shared" si="5"/>
        <v/>
      </c>
    </row>
    <row r="47" spans="1:12">
      <c r="A47" s="54">
        <f>all_data!A31</f>
        <v>29</v>
      </c>
      <c r="B47" s="54">
        <f>all_data!B31</f>
        <v>0</v>
      </c>
      <c r="C47">
        <f>all_data!C124</f>
        <v>0</v>
      </c>
      <c r="D47" s="54">
        <f>all_data!D31</f>
        <v>0</v>
      </c>
      <c r="E47">
        <f>all_data!E124</f>
        <v>0</v>
      </c>
      <c r="G47" s="66">
        <f>IF(D47=0,0,RANK(D47,$D$3:$D$52,1)-COUNTIF($D$3:$D$52,"=0"))</f>
        <v>0</v>
      </c>
      <c r="H47">
        <f>IF(C47&lt;=10,D47,0)</f>
        <v>0</v>
      </c>
      <c r="I47" s="85">
        <f>all_data!H31</f>
        <v>0</v>
      </c>
      <c r="J47" s="10" t="str">
        <f t="shared" si="3"/>
        <v/>
      </c>
      <c r="K47" t="str">
        <f t="shared" si="4"/>
        <v/>
      </c>
      <c r="L47" t="str">
        <f t="shared" si="5"/>
        <v/>
      </c>
    </row>
    <row r="48" spans="1:12">
      <c r="A48" s="54">
        <f>all_data!A42</f>
        <v>40</v>
      </c>
      <c r="B48" s="54">
        <f>all_data!B42</f>
        <v>0</v>
      </c>
      <c r="C48">
        <f>all_data!C129</f>
        <v>0</v>
      </c>
      <c r="D48" s="54">
        <f>all_data!D42</f>
        <v>0</v>
      </c>
      <c r="E48">
        <f>all_data!E129</f>
        <v>0</v>
      </c>
      <c r="G48" s="66">
        <f>IF(D48=0,0,RANK(D48,$D$3:$D$52,1)-COUNTIF($D$3:$D$52,"=0"))</f>
        <v>0</v>
      </c>
      <c r="H48">
        <f>IF(C48&lt;=10,D48,0)</f>
        <v>0</v>
      </c>
      <c r="I48" s="85">
        <f>all_data!H42</f>
        <v>0</v>
      </c>
      <c r="J48" s="10" t="str">
        <f t="shared" si="3"/>
        <v/>
      </c>
      <c r="K48" t="str">
        <f t="shared" si="4"/>
        <v/>
      </c>
      <c r="L48" t="str">
        <f t="shared" si="5"/>
        <v/>
      </c>
    </row>
    <row r="49" spans="1:12">
      <c r="A49" s="54">
        <f>all_data!A4</f>
        <v>2</v>
      </c>
      <c r="B49" s="54" t="str">
        <f>all_data!B4</f>
        <v>Schiff 2</v>
      </c>
      <c r="C49">
        <f>all_data!C6</f>
        <v>0</v>
      </c>
      <c r="D49" s="54">
        <f>all_data!D4</f>
        <v>0</v>
      </c>
      <c r="E49" t="str">
        <f>all_data!E6</f>
        <v/>
      </c>
      <c r="G49" s="66">
        <f>IF(D49=0,0,RANK(D49,$D$3:$D$52,1)-COUNTIF($D$3:$D$52,"=0"))</f>
        <v>0</v>
      </c>
      <c r="H49">
        <f>IF(C49&lt;=10,D49,0)</f>
        <v>0</v>
      </c>
      <c r="I49" s="85" t="str">
        <f>all_data!H4</f>
        <v>Hannes Neumann
Michael Neumann</v>
      </c>
      <c r="J49" s="10" t="str">
        <f t="shared" si="3"/>
        <v/>
      </c>
      <c r="K49" t="str">
        <f t="shared" si="4"/>
        <v/>
      </c>
      <c r="L49" t="str">
        <f t="shared" si="5"/>
        <v/>
      </c>
    </row>
    <row r="50" spans="1:12">
      <c r="A50" s="54">
        <f>all_data!A3</f>
        <v>1</v>
      </c>
      <c r="B50" s="54" t="str">
        <f>all_data!B3</f>
        <v>Schiff 1</v>
      </c>
      <c r="C50">
        <f>all_data!C23</f>
        <v>0</v>
      </c>
      <c r="D50" s="54">
        <f>all_data!D3</f>
        <v>0</v>
      </c>
      <c r="E50" t="str">
        <f>all_data!E23</f>
        <v/>
      </c>
      <c r="G50" s="66">
        <f>IF(D50=0,0,RANK(D50,$D$3:$D$52,1)-COUNTIF($D$3:$D$52,"=0"))</f>
        <v>0</v>
      </c>
      <c r="H50">
        <f>IF(C50&lt;=10,D50,0)</f>
        <v>0</v>
      </c>
      <c r="I50" s="85" t="str">
        <f>all_data!H3</f>
        <v>Johannes Riebe</v>
      </c>
      <c r="J50" s="10" t="str">
        <f t="shared" si="3"/>
        <v/>
      </c>
      <c r="K50" t="str">
        <f t="shared" si="4"/>
        <v/>
      </c>
      <c r="L50" t="str">
        <f t="shared" si="5"/>
        <v/>
      </c>
    </row>
    <row r="51" spans="1:12">
      <c r="A51" s="54">
        <f>all_data!A6</f>
        <v>4</v>
      </c>
      <c r="B51" s="54" t="str">
        <f>all_data!B6</f>
        <v>Schiff 4</v>
      </c>
      <c r="C51">
        <f>all_data!C22</f>
        <v>0</v>
      </c>
      <c r="D51" s="54">
        <f>all_data!D6</f>
        <v>0</v>
      </c>
      <c r="E51" t="str">
        <f>all_data!E22</f>
        <v/>
      </c>
      <c r="G51" s="66">
        <f>IF(D51=0,0,RANK(D51,$D$3:$D$52,1)-COUNTIF($D$3:$D$52,"=0"))</f>
        <v>0</v>
      </c>
      <c r="H51">
        <f>IF(C51&lt;=10,D51,0)</f>
        <v>0</v>
      </c>
      <c r="I51" s="85" t="str">
        <f>all_data!H6</f>
        <v>Ulf Cantow</v>
      </c>
      <c r="J51" s="10" t="str">
        <f t="shared" si="3"/>
        <v/>
      </c>
      <c r="K51" t="str">
        <f t="shared" si="4"/>
        <v/>
      </c>
      <c r="L51" t="str">
        <f t="shared" si="5"/>
        <v/>
      </c>
    </row>
    <row r="52" spans="1:12">
      <c r="A52" s="54">
        <f>all_data!A5</f>
        <v>3</v>
      </c>
      <c r="B52" s="54" t="str">
        <f>all_data!B5</f>
        <v>Schiff 3</v>
      </c>
      <c r="C52">
        <f>all_data!C3</f>
        <v>0</v>
      </c>
      <c r="D52" s="54">
        <f>all_data!D5</f>
        <v>0</v>
      </c>
      <c r="E52" t="str">
        <f>all_data!E3</f>
        <v/>
      </c>
      <c r="G52" s="66">
        <f>IF(D52=0,0,RANK(D52,$D$3:$D$52,1)-COUNTIF($D$3:$D$52,"=0"))</f>
        <v>0</v>
      </c>
      <c r="H52">
        <f>IF(C52&lt;=10,D52,0)</f>
        <v>0</v>
      </c>
      <c r="I52" s="85" t="str">
        <f>all_data!H5</f>
        <v>Martin Eckermann</v>
      </c>
      <c r="J52" s="10" t="str">
        <f t="shared" si="3"/>
        <v/>
      </c>
      <c r="K52" t="str">
        <f t="shared" si="4"/>
        <v/>
      </c>
      <c r="L52" t="str">
        <f t="shared" si="5"/>
        <v/>
      </c>
    </row>
    <row r="53" spans="1:12">
      <c r="A53" s="54"/>
      <c r="B53" s="54"/>
      <c r="D53" s="54"/>
    </row>
    <row r="54" spans="1:12">
      <c r="A54" s="54"/>
      <c r="B54" s="54"/>
      <c r="D54" s="54"/>
    </row>
    <row r="55" spans="1:12">
      <c r="A55" s="54"/>
      <c r="B55" s="54"/>
      <c r="D55" s="54"/>
    </row>
    <row r="56" spans="1:12">
      <c r="A56" s="54"/>
      <c r="B56" s="54"/>
      <c r="D56" s="54"/>
    </row>
    <row r="57" spans="1:12">
      <c r="A57" s="54"/>
      <c r="B57" s="54"/>
      <c r="D57" s="54"/>
    </row>
    <row r="58" spans="1:12">
      <c r="A58" s="54"/>
      <c r="B58" s="54"/>
      <c r="D58" s="54"/>
    </row>
    <row r="59" spans="1:12">
      <c r="A59" s="54"/>
      <c r="B59" s="54"/>
      <c r="D59" s="54"/>
    </row>
    <row r="60" spans="1:12">
      <c r="A60" s="54"/>
      <c r="B60" s="54"/>
      <c r="D60" s="54"/>
    </row>
    <row r="61" spans="1:12">
      <c r="A61" s="54"/>
      <c r="B61" s="54"/>
      <c r="D61" s="54"/>
    </row>
    <row r="62" spans="1:12">
      <c r="A62" s="54"/>
      <c r="B62" s="54"/>
      <c r="D62" s="54"/>
    </row>
    <row r="63" spans="1:12">
      <c r="A63" s="54"/>
      <c r="B63" s="54"/>
      <c r="D63" s="54"/>
    </row>
    <row r="64" spans="1:12">
      <c r="A64" s="54"/>
      <c r="B64" s="54"/>
      <c r="D64" s="54"/>
    </row>
    <row r="65" spans="1:4">
      <c r="A65" s="54"/>
      <c r="B65" s="54"/>
      <c r="D65" s="54"/>
    </row>
    <row r="66" spans="1:4">
      <c r="A66" s="54"/>
      <c r="B66" s="54"/>
      <c r="D66" s="54"/>
    </row>
    <row r="67" spans="1:4">
      <c r="A67" s="54"/>
      <c r="B67" s="54"/>
      <c r="D67" s="54"/>
    </row>
    <row r="68" spans="1:4">
      <c r="A68" s="54"/>
      <c r="B68" s="54"/>
      <c r="D68" s="54"/>
    </row>
    <row r="69" spans="1:4">
      <c r="A69" s="54"/>
      <c r="B69" s="54"/>
      <c r="D69" s="54"/>
    </row>
    <row r="70" spans="1:4">
      <c r="A70" s="54"/>
      <c r="B70" s="54"/>
      <c r="D70" s="54"/>
    </row>
    <row r="71" spans="1:4">
      <c r="A71" s="54"/>
      <c r="B71" s="54"/>
      <c r="D71" s="54"/>
    </row>
    <row r="72" spans="1:4">
      <c r="A72" s="54"/>
      <c r="B72" s="54"/>
      <c r="D72" s="54"/>
    </row>
    <row r="73" spans="1:4">
      <c r="A73" s="54"/>
      <c r="B73" s="54"/>
      <c r="D73" s="54"/>
    </row>
    <row r="74" spans="1:4">
      <c r="A74" s="54"/>
      <c r="B74" s="54"/>
      <c r="D74" s="54"/>
    </row>
    <row r="75" spans="1:4">
      <c r="A75" s="54"/>
      <c r="B75" s="54"/>
      <c r="D75" s="54"/>
    </row>
    <row r="76" spans="1:4">
      <c r="B76" s="54"/>
      <c r="D76" s="54"/>
    </row>
    <row r="77" spans="1:4">
      <c r="B77" s="54"/>
      <c r="D77" s="54"/>
    </row>
    <row r="78" spans="1:4">
      <c r="B78" s="54"/>
      <c r="D78" s="54"/>
    </row>
    <row r="79" spans="1:4">
      <c r="B79" s="54"/>
      <c r="D79" s="54"/>
    </row>
    <row r="80" spans="1:4">
      <c r="B80" s="54"/>
      <c r="D80" s="54"/>
    </row>
    <row r="81" spans="2:4">
      <c r="B81" s="54"/>
      <c r="D81" s="54"/>
    </row>
    <row r="82" spans="2:4">
      <c r="B82" s="54"/>
      <c r="D82" s="54"/>
    </row>
    <row r="83" spans="2:4">
      <c r="B83" s="54"/>
      <c r="D83" s="54"/>
    </row>
    <row r="84" spans="2:4">
      <c r="B84" s="54"/>
      <c r="D84" s="54"/>
    </row>
    <row r="85" spans="2:4">
      <c r="B85" s="54"/>
      <c r="D85" s="54"/>
    </row>
    <row r="86" spans="2:4">
      <c r="B86" s="54"/>
      <c r="D86" s="54"/>
    </row>
    <row r="87" spans="2:4">
      <c r="B87" s="54"/>
      <c r="D87" s="54"/>
    </row>
    <row r="88" spans="2:4">
      <c r="B88" s="54"/>
      <c r="D88" s="54"/>
    </row>
    <row r="89" spans="2:4">
      <c r="B89" s="54"/>
      <c r="D89" s="54"/>
    </row>
    <row r="90" spans="2:4">
      <c r="B90" s="54"/>
      <c r="D90" s="54"/>
    </row>
    <row r="91" spans="2:4">
      <c r="B91" s="54"/>
      <c r="D91" s="54"/>
    </row>
    <row r="92" spans="2:4">
      <c r="B92" s="54"/>
      <c r="D92" s="54"/>
    </row>
    <row r="93" spans="2:4">
      <c r="B93" s="54"/>
      <c r="D93" s="54"/>
    </row>
    <row r="94" spans="2:4">
      <c r="B94" s="54"/>
      <c r="D94" s="54"/>
    </row>
    <row r="95" spans="2:4">
      <c r="B95" s="54"/>
      <c r="D95" s="54"/>
    </row>
    <row r="96" spans="2:4">
      <c r="B96" s="54"/>
      <c r="D96" s="54"/>
    </row>
    <row r="97" spans="2:4">
      <c r="B97" s="54"/>
      <c r="D97" s="54"/>
    </row>
    <row r="98" spans="2:4">
      <c r="B98" s="54"/>
      <c r="D98" s="54"/>
    </row>
    <row r="99" spans="2:4">
      <c r="B99" s="54"/>
      <c r="D99" s="54"/>
    </row>
    <row r="100" spans="2:4">
      <c r="B100" s="54"/>
      <c r="D100" s="54"/>
    </row>
    <row r="101" spans="2:4">
      <c r="B101" s="54"/>
      <c r="D101" s="54"/>
    </row>
    <row r="102" spans="2:4">
      <c r="B102" s="54"/>
      <c r="D102" s="54"/>
    </row>
    <row r="103" spans="2:4">
      <c r="B103" s="54"/>
      <c r="D103" s="54"/>
    </row>
    <row r="104" spans="2:4">
      <c r="B104" s="54"/>
      <c r="D104" s="54"/>
    </row>
    <row r="105" spans="2:4">
      <c r="B105" s="54"/>
      <c r="D105" s="54"/>
    </row>
    <row r="106" spans="2:4">
      <c r="B106" s="54"/>
      <c r="D106" s="54"/>
    </row>
    <row r="107" spans="2:4">
      <c r="B107" s="54"/>
      <c r="D107" s="54"/>
    </row>
    <row r="108" spans="2:4">
      <c r="B108" s="54"/>
      <c r="D108" s="54"/>
    </row>
    <row r="109" spans="2:4">
      <c r="B109" s="54"/>
      <c r="D109" s="54"/>
    </row>
    <row r="110" spans="2:4">
      <c r="B110" s="54"/>
      <c r="D110" s="54"/>
    </row>
    <row r="111" spans="2:4">
      <c r="B111" s="54"/>
      <c r="D111" s="54"/>
    </row>
    <row r="112" spans="2:4">
      <c r="B112" s="54"/>
      <c r="D112" s="54"/>
    </row>
    <row r="113" spans="2:4">
      <c r="B113" s="54"/>
      <c r="D113" s="54"/>
    </row>
    <row r="114" spans="2:4">
      <c r="B114" s="54"/>
      <c r="D114" s="54"/>
    </row>
    <row r="115" spans="2:4">
      <c r="B115" s="54"/>
      <c r="D115" s="54"/>
    </row>
    <row r="116" spans="2:4">
      <c r="B116" s="54"/>
      <c r="D116" s="54"/>
    </row>
    <row r="117" spans="2:4">
      <c r="B117" s="54"/>
      <c r="D117" s="54"/>
    </row>
    <row r="118" spans="2:4">
      <c r="B118" s="54"/>
      <c r="D118" s="54"/>
    </row>
    <row r="119" spans="2:4">
      <c r="B119" s="54"/>
      <c r="D119" s="54"/>
    </row>
    <row r="120" spans="2:4">
      <c r="B120" s="54"/>
      <c r="D120" s="54"/>
    </row>
    <row r="121" spans="2:4">
      <c r="B121" s="54"/>
      <c r="D121" s="54"/>
    </row>
    <row r="122" spans="2:4">
      <c r="B122" s="54"/>
      <c r="D122" s="54"/>
    </row>
    <row r="123" spans="2:4">
      <c r="B123" s="54"/>
      <c r="D123" s="54"/>
    </row>
    <row r="124" spans="2:4">
      <c r="B124" s="54"/>
      <c r="D124" s="54"/>
    </row>
    <row r="125" spans="2:4">
      <c r="B125" s="54"/>
      <c r="D125" s="54"/>
    </row>
    <row r="126" spans="2:4">
      <c r="B126" s="54"/>
      <c r="D126" s="54"/>
    </row>
    <row r="127" spans="2:4">
      <c r="B127" s="54"/>
      <c r="D127" s="54"/>
    </row>
    <row r="128" spans="2:4">
      <c r="B128" s="54"/>
      <c r="D128" s="54"/>
    </row>
    <row r="129" spans="2:4">
      <c r="B129" s="54"/>
      <c r="D129" s="54"/>
    </row>
    <row r="130" spans="2:4">
      <c r="B130" s="54"/>
      <c r="D130" s="54"/>
    </row>
    <row r="131" spans="2:4">
      <c r="B131" s="54"/>
      <c r="D131" s="54"/>
    </row>
    <row r="132" spans="2:4">
      <c r="B132" s="54"/>
      <c r="D132" s="54"/>
    </row>
    <row r="133" spans="2:4">
      <c r="B133" s="54"/>
      <c r="D133" s="54"/>
    </row>
    <row r="134" spans="2:4">
      <c r="B134" s="54"/>
      <c r="D134" s="54"/>
    </row>
    <row r="135" spans="2:4">
      <c r="B135" s="54"/>
      <c r="D135" s="54"/>
    </row>
    <row r="136" spans="2:4">
      <c r="B136" s="54"/>
      <c r="D136" s="54"/>
    </row>
    <row r="137" spans="2:4">
      <c r="B137" s="54"/>
      <c r="D137" s="54"/>
    </row>
    <row r="138" spans="2:4">
      <c r="B138" s="54"/>
      <c r="D138" s="54"/>
    </row>
    <row r="139" spans="2:4">
      <c r="B139" s="54"/>
      <c r="D139" s="54"/>
    </row>
    <row r="140" spans="2:4">
      <c r="B140" s="54"/>
      <c r="D140" s="54"/>
    </row>
    <row r="141" spans="2:4">
      <c r="B141" s="54"/>
      <c r="D141" s="54"/>
    </row>
    <row r="142" spans="2:4">
      <c r="B142" s="54"/>
      <c r="D142" s="54"/>
    </row>
    <row r="143" spans="2:4">
      <c r="B143" s="54"/>
      <c r="D143" s="54"/>
    </row>
    <row r="144" spans="2:4">
      <c r="B144" s="54"/>
      <c r="D144" s="54"/>
    </row>
    <row r="145" spans="2:4">
      <c r="B145" s="54"/>
      <c r="D145" s="54"/>
    </row>
    <row r="146" spans="2:4">
      <c r="B146" s="54"/>
      <c r="D146" s="54"/>
    </row>
    <row r="147" spans="2:4">
      <c r="B147" s="54"/>
      <c r="D147" s="54"/>
    </row>
    <row r="148" spans="2:4">
      <c r="B148" s="54"/>
      <c r="D148" s="54"/>
    </row>
    <row r="149" spans="2:4">
      <c r="B149" s="54"/>
      <c r="D149" s="54"/>
    </row>
    <row r="150" spans="2:4">
      <c r="B150" s="54"/>
      <c r="D150" s="54"/>
    </row>
    <row r="151" spans="2:4">
      <c r="B151" s="54"/>
      <c r="D151" s="54"/>
    </row>
    <row r="152" spans="2:4">
      <c r="B152" s="54"/>
      <c r="D152" s="54"/>
    </row>
    <row r="153" spans="2:4">
      <c r="B153" s="54"/>
      <c r="D153" s="54"/>
    </row>
    <row r="154" spans="2:4">
      <c r="B154" s="54"/>
      <c r="D154" s="54"/>
    </row>
    <row r="155" spans="2:4">
      <c r="B155" s="54"/>
      <c r="D155" s="54"/>
    </row>
    <row r="156" spans="2:4">
      <c r="B156" s="54"/>
      <c r="D156" s="54"/>
    </row>
    <row r="157" spans="2:4">
      <c r="B157" s="54"/>
      <c r="D157" s="54"/>
    </row>
    <row r="158" spans="2:4">
      <c r="B158" s="54"/>
      <c r="D158" s="54"/>
    </row>
    <row r="159" spans="2:4">
      <c r="B159" s="54"/>
      <c r="D159" s="54"/>
    </row>
    <row r="160" spans="2:4">
      <c r="B160" s="54"/>
      <c r="D160" s="54"/>
    </row>
    <row r="161" spans="2:4">
      <c r="B161" s="54"/>
      <c r="D161" s="54"/>
    </row>
    <row r="162" spans="2:4">
      <c r="B162" s="54"/>
      <c r="D162" s="54"/>
    </row>
    <row r="163" spans="2:4">
      <c r="B163" s="54"/>
      <c r="D163" s="54"/>
    </row>
    <row r="164" spans="2:4">
      <c r="B164" s="54"/>
      <c r="D164" s="54"/>
    </row>
    <row r="165" spans="2:4">
      <c r="B165" s="54"/>
      <c r="D165" s="54"/>
    </row>
    <row r="166" spans="2:4">
      <c r="B166" s="54"/>
      <c r="D166" s="54"/>
    </row>
    <row r="167" spans="2:4">
      <c r="B167" s="54"/>
      <c r="D167" s="54"/>
    </row>
    <row r="168" spans="2:4">
      <c r="B168" s="54"/>
      <c r="D168" s="54"/>
    </row>
    <row r="169" spans="2:4">
      <c r="B169" s="54"/>
      <c r="D169" s="54"/>
    </row>
    <row r="170" spans="2:4">
      <c r="B170" s="54"/>
      <c r="D170" s="54"/>
    </row>
    <row r="171" spans="2:4">
      <c r="B171" s="54"/>
      <c r="D171" s="54"/>
    </row>
    <row r="172" spans="2:4">
      <c r="B172" s="54"/>
      <c r="D172" s="54"/>
    </row>
    <row r="173" spans="2:4">
      <c r="B173" s="54"/>
      <c r="D173" s="54"/>
    </row>
    <row r="174" spans="2:4">
      <c r="B174" s="54"/>
      <c r="D174" s="54"/>
    </row>
    <row r="175" spans="2:4">
      <c r="B175" s="54"/>
      <c r="D175" s="54"/>
    </row>
    <row r="176" spans="2:4">
      <c r="B176" s="54"/>
      <c r="D176" s="54"/>
    </row>
    <row r="177" spans="2:4">
      <c r="B177" s="54"/>
      <c r="D177" s="54"/>
    </row>
    <row r="178" spans="2:4">
      <c r="B178" s="54"/>
      <c r="D178" s="54"/>
    </row>
    <row r="179" spans="2:4">
      <c r="B179" s="54"/>
      <c r="D179" s="54"/>
    </row>
    <row r="180" spans="2:4">
      <c r="B180" s="54"/>
      <c r="D180" s="54"/>
    </row>
    <row r="181" spans="2:4">
      <c r="B181" s="54"/>
      <c r="D181" s="54"/>
    </row>
    <row r="182" spans="2:4">
      <c r="B182" s="54"/>
      <c r="D182" s="54"/>
    </row>
    <row r="183" spans="2:4">
      <c r="B183" s="54"/>
      <c r="D183" s="54"/>
    </row>
    <row r="184" spans="2:4">
      <c r="B184" s="54"/>
      <c r="D184" s="54"/>
    </row>
    <row r="185" spans="2:4">
      <c r="B185" s="54"/>
      <c r="D185" s="54"/>
    </row>
    <row r="186" spans="2:4">
      <c r="B186" s="54"/>
      <c r="D186" s="54"/>
    </row>
    <row r="187" spans="2:4">
      <c r="B187" s="54"/>
      <c r="D187" s="54"/>
    </row>
    <row r="188" spans="2:4">
      <c r="B188" s="54"/>
      <c r="D188" s="54"/>
    </row>
    <row r="189" spans="2:4">
      <c r="B189" s="54"/>
      <c r="D189" s="54"/>
    </row>
    <row r="190" spans="2:4">
      <c r="B190" s="54"/>
      <c r="D190" s="54"/>
    </row>
    <row r="191" spans="2:4">
      <c r="B191" s="54"/>
      <c r="D191" s="54"/>
    </row>
    <row r="192" spans="2:4">
      <c r="B192" s="54"/>
      <c r="D192" s="54"/>
    </row>
    <row r="193" spans="2:4">
      <c r="B193" s="54"/>
      <c r="D193" s="54"/>
    </row>
    <row r="194" spans="2:4">
      <c r="B194" s="54"/>
      <c r="D194" s="54"/>
    </row>
    <row r="195" spans="2:4">
      <c r="B195" s="54"/>
      <c r="D195" s="54"/>
    </row>
    <row r="196" spans="2:4">
      <c r="B196" s="54"/>
      <c r="D196" s="54"/>
    </row>
    <row r="197" spans="2:4">
      <c r="B197" s="54"/>
      <c r="D197" s="54"/>
    </row>
    <row r="198" spans="2:4">
      <c r="B198" s="54"/>
      <c r="D198" s="54"/>
    </row>
    <row r="199" spans="2:4">
      <c r="B199" s="54"/>
      <c r="D199" s="54"/>
    </row>
    <row r="200" spans="2:4">
      <c r="B200" s="54"/>
      <c r="D200" s="54"/>
    </row>
    <row r="201" spans="2:4">
      <c r="B201" s="54"/>
      <c r="D201" s="54"/>
    </row>
    <row r="202" spans="2:4">
      <c r="B202" s="54"/>
      <c r="D202" s="54"/>
    </row>
    <row r="203" spans="2:4">
      <c r="B203" s="54"/>
      <c r="D203" s="54"/>
    </row>
    <row r="204" spans="2:4">
      <c r="B204" s="54"/>
      <c r="D204" s="54"/>
    </row>
    <row r="205" spans="2:4">
      <c r="B205" s="54"/>
      <c r="D205" s="54"/>
    </row>
    <row r="206" spans="2:4">
      <c r="B206" s="54"/>
      <c r="D206" s="54"/>
    </row>
    <row r="207" spans="2:4">
      <c r="D207" s="54"/>
    </row>
    <row r="208" spans="2:4">
      <c r="D208" s="54"/>
    </row>
    <row r="209" spans="4:4">
      <c r="D209" s="54"/>
    </row>
    <row r="210" spans="4:4">
      <c r="D210" s="54"/>
    </row>
    <row r="211" spans="4:4">
      <c r="D211" s="54"/>
    </row>
    <row r="212" spans="4:4">
      <c r="D212" s="54"/>
    </row>
    <row r="213" spans="4:4">
      <c r="D213" s="54"/>
    </row>
    <row r="214" spans="4:4">
      <c r="D214" s="54"/>
    </row>
    <row r="215" spans="4:4">
      <c r="D215" s="54"/>
    </row>
    <row r="216" spans="4:4">
      <c r="D216" s="54"/>
    </row>
    <row r="217" spans="4:4">
      <c r="D217" s="54"/>
    </row>
    <row r="218" spans="4:4">
      <c r="D218" s="54"/>
    </row>
    <row r="219" spans="4:4">
      <c r="D219" s="54"/>
    </row>
    <row r="220" spans="4:4">
      <c r="D220" s="54"/>
    </row>
    <row r="221" spans="4:4">
      <c r="D221" s="54"/>
    </row>
    <row r="222" spans="4:4">
      <c r="D222" s="54"/>
    </row>
    <row r="223" spans="4:4">
      <c r="D223" s="54"/>
    </row>
    <row r="224" spans="4:4">
      <c r="D224" s="54"/>
    </row>
    <row r="225" spans="4:4">
      <c r="D225" s="54"/>
    </row>
    <row r="226" spans="4:4">
      <c r="D226" s="54"/>
    </row>
    <row r="227" spans="4:4">
      <c r="D227" s="54"/>
    </row>
    <row r="228" spans="4:4">
      <c r="D228" s="54"/>
    </row>
    <row r="229" spans="4:4">
      <c r="D229" s="54"/>
    </row>
    <row r="230" spans="4:4">
      <c r="D230" s="54"/>
    </row>
    <row r="231" spans="4:4">
      <c r="D231" s="54"/>
    </row>
    <row r="232" spans="4:4">
      <c r="D232" s="54"/>
    </row>
    <row r="233" spans="4:4">
      <c r="D233" s="54"/>
    </row>
    <row r="234" spans="4:4">
      <c r="D234" s="54"/>
    </row>
    <row r="235" spans="4:4">
      <c r="D235" s="54"/>
    </row>
    <row r="236" spans="4:4">
      <c r="D236" s="54"/>
    </row>
    <row r="237" spans="4:4">
      <c r="D237" s="54"/>
    </row>
    <row r="238" spans="4:4">
      <c r="D238" s="54"/>
    </row>
    <row r="239" spans="4:4">
      <c r="D239" s="54"/>
    </row>
    <row r="240" spans="4:4">
      <c r="D240" s="54"/>
    </row>
    <row r="241" spans="4:4">
      <c r="D241" s="54"/>
    </row>
    <row r="242" spans="4:4">
      <c r="D242" s="54"/>
    </row>
    <row r="243" spans="4:4">
      <c r="D243" s="54"/>
    </row>
    <row r="244" spans="4:4">
      <c r="D244" s="54"/>
    </row>
    <row r="245" spans="4:4">
      <c r="D245" s="54"/>
    </row>
    <row r="246" spans="4:4">
      <c r="D246" s="54"/>
    </row>
    <row r="247" spans="4:4">
      <c r="D247" s="54"/>
    </row>
    <row r="248" spans="4:4">
      <c r="D248" s="54"/>
    </row>
    <row r="249" spans="4:4">
      <c r="D249" s="54"/>
    </row>
    <row r="250" spans="4:4">
      <c r="D250" s="54"/>
    </row>
    <row r="251" spans="4:4">
      <c r="D251" s="54"/>
    </row>
    <row r="252" spans="4:4">
      <c r="D252" s="54"/>
    </row>
    <row r="253" spans="4:4">
      <c r="D253" s="54"/>
    </row>
    <row r="254" spans="4:4">
      <c r="D254" s="54"/>
    </row>
    <row r="255" spans="4:4">
      <c r="D255" s="54"/>
    </row>
    <row r="256" spans="4:4">
      <c r="D256" s="54"/>
    </row>
  </sheetData>
  <sortState ref="A3:I52">
    <sortCondition ref="G3"/>
  </sortState>
  <customSheetViews>
    <customSheetView guid="{78B3A349-4A6A-4124-974B-C4B81C7019CD}" scale="60" showRuler="0" topLeftCell="A10">
      <selection activeCell="J3" sqref="J3"/>
      <pageMargins left="0.78740157499999996" right="0.78740157499999996" top="0.984251969" bottom="0.984251969" header="0.4921259845" footer="0.4921259845"/>
      <headerFooter alignWithMargins="0"/>
    </customSheetView>
    <customSheetView guid="{F48999E8-45B5-4A7E-B3AF-FA7A59AA8144}" scale="60" showRuler="0" topLeftCell="A10">
      <selection activeCell="J3" sqref="J3"/>
      <pageMargins left="0.78740157499999996" right="0.78740157499999996" top="0.984251969" bottom="0.984251969" header="0.4921259845" footer="0.4921259845"/>
      <headerFooter alignWithMargins="0"/>
    </customSheetView>
  </customSheetViews>
  <phoneticPr fontId="0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2:U44"/>
  <sheetViews>
    <sheetView workbookViewId="0">
      <selection activeCell="B3" sqref="B3"/>
    </sheetView>
  </sheetViews>
  <sheetFormatPr baseColWidth="10" defaultRowHeight="12.75"/>
  <cols>
    <col min="1" max="1" width="7" customWidth="1"/>
    <col min="2" max="2" width="19.140625" customWidth="1"/>
    <col min="6" max="6" width="19" customWidth="1"/>
    <col min="7" max="7" width="17.7109375" customWidth="1"/>
    <col min="11" max="11" width="11.42578125" style="68"/>
  </cols>
  <sheetData>
    <row r="2" spans="1:7">
      <c r="A2" s="41" t="s">
        <v>29</v>
      </c>
      <c r="B2" s="41" t="s">
        <v>30</v>
      </c>
      <c r="C2" s="41" t="s">
        <v>42</v>
      </c>
      <c r="E2" s="41" t="s">
        <v>29</v>
      </c>
      <c r="F2" s="41" t="s">
        <v>30</v>
      </c>
      <c r="G2" s="41" t="s">
        <v>42</v>
      </c>
    </row>
    <row r="3" spans="1:7">
      <c r="B3">
        <f>contest_life!B2</f>
        <v>0</v>
      </c>
      <c r="C3">
        <f>contest_life!D2</f>
        <v>0</v>
      </c>
    </row>
    <row r="4" spans="1:7">
      <c r="B4" s="67">
        <f>contest_life!B3</f>
        <v>0</v>
      </c>
      <c r="C4" s="67">
        <f>contest_life!D3</f>
        <v>0</v>
      </c>
    </row>
    <row r="5" spans="1:7">
      <c r="B5" s="67">
        <f>contest_life!B4</f>
        <v>0</v>
      </c>
      <c r="C5" s="67">
        <f>contest_life!D4</f>
        <v>0</v>
      </c>
    </row>
    <row r="6" spans="1:7">
      <c r="B6" s="67">
        <f>contest_life!B5</f>
        <v>0</v>
      </c>
      <c r="C6" s="67">
        <f>contest_life!D5</f>
        <v>0</v>
      </c>
    </row>
    <row r="7" spans="1:7">
      <c r="B7" s="67">
        <f>contest_life!B6</f>
        <v>0</v>
      </c>
      <c r="C7" s="67">
        <f>contest_life!D6</f>
        <v>0</v>
      </c>
    </row>
    <row r="8" spans="1:7">
      <c r="B8" s="67">
        <f>contest_life!B7</f>
        <v>0</v>
      </c>
      <c r="C8" s="67">
        <f>contest_life!D7</f>
        <v>0</v>
      </c>
    </row>
    <row r="9" spans="1:7">
      <c r="B9" s="67">
        <f>contest_life!B8</f>
        <v>0</v>
      </c>
      <c r="C9" s="67">
        <f>contest_life!D8</f>
        <v>0</v>
      </c>
    </row>
    <row r="10" spans="1:7">
      <c r="B10" s="67">
        <f>contest_life!B9</f>
        <v>0</v>
      </c>
      <c r="C10" s="67">
        <f>contest_life!D9</f>
        <v>0</v>
      </c>
    </row>
    <row r="11" spans="1:7">
      <c r="B11" s="67">
        <f>contest_life!B10</f>
        <v>0</v>
      </c>
      <c r="C11" s="67">
        <f>contest_life!D10</f>
        <v>0</v>
      </c>
    </row>
    <row r="12" spans="1:7">
      <c r="B12" s="67">
        <f>contest_life!B11</f>
        <v>0</v>
      </c>
      <c r="C12" s="67">
        <f>contest_life!D11</f>
        <v>0</v>
      </c>
    </row>
    <row r="13" spans="1:7">
      <c r="B13" s="67">
        <f>contest_life!B12</f>
        <v>0</v>
      </c>
      <c r="C13" s="67">
        <f>contest_life!D12</f>
        <v>0</v>
      </c>
    </row>
    <row r="14" spans="1:7">
      <c r="B14" s="67">
        <f>contest_life!B13</f>
        <v>0</v>
      </c>
      <c r="C14" s="67">
        <f>contest_life!D13</f>
        <v>0</v>
      </c>
    </row>
    <row r="15" spans="1:7">
      <c r="B15" s="67">
        <f>contest_life!B14</f>
        <v>0</v>
      </c>
      <c r="C15" s="67">
        <f>contest_life!D14</f>
        <v>0</v>
      </c>
    </row>
    <row r="16" spans="1:7">
      <c r="B16" s="67">
        <f>contest_life!B15</f>
        <v>0</v>
      </c>
      <c r="C16" s="67">
        <f>contest_life!D15</f>
        <v>0</v>
      </c>
    </row>
    <row r="17" spans="2:11">
      <c r="B17" s="67">
        <f>contest_life!B16</f>
        <v>0</v>
      </c>
      <c r="C17" s="67">
        <f>contest_life!D16</f>
        <v>0</v>
      </c>
    </row>
    <row r="18" spans="2:11">
      <c r="B18" s="67">
        <f>contest_life!B17</f>
        <v>0</v>
      </c>
      <c r="C18" s="67">
        <f>contest_life!D17</f>
        <v>0</v>
      </c>
    </row>
    <row r="19" spans="2:11">
      <c r="B19" s="67">
        <f>contest_life!B18</f>
        <v>0</v>
      </c>
      <c r="C19" s="67">
        <f>contest_life!D18</f>
        <v>0</v>
      </c>
    </row>
    <row r="20" spans="2:11">
      <c r="B20" s="67">
        <f>contest_life!B19</f>
        <v>0</v>
      </c>
      <c r="C20" s="67">
        <f>contest_life!D19</f>
        <v>0</v>
      </c>
    </row>
    <row r="21" spans="2:11">
      <c r="B21" s="67">
        <f>contest_life!B20</f>
        <v>0</v>
      </c>
      <c r="C21" s="67">
        <f>contest_life!D20</f>
        <v>0</v>
      </c>
    </row>
    <row r="22" spans="2:11">
      <c r="B22" s="67">
        <f>contest_life!B21</f>
        <v>0</v>
      </c>
      <c r="C22" s="67">
        <f>contest_life!D21</f>
        <v>0</v>
      </c>
    </row>
    <row r="23" spans="2:11">
      <c r="B23" s="67">
        <f>contest_life!B22</f>
        <v>0</v>
      </c>
      <c r="C23" s="67">
        <f>contest_life!D22</f>
        <v>0</v>
      </c>
    </row>
    <row r="24" spans="2:11">
      <c r="B24" s="67">
        <f>contest_life!B23</f>
        <v>0</v>
      </c>
      <c r="C24" s="67">
        <f>contest_life!D23</f>
        <v>0</v>
      </c>
    </row>
    <row r="25" spans="2:11">
      <c r="B25" s="67">
        <f>contest_life!B24</f>
        <v>0</v>
      </c>
      <c r="C25" s="67">
        <f>contest_life!D24</f>
        <v>0</v>
      </c>
    </row>
    <row r="26" spans="2:11">
      <c r="B26" s="67">
        <f>contest_life!B25</f>
        <v>0</v>
      </c>
      <c r="C26" s="67">
        <f>contest_life!D25</f>
        <v>0</v>
      </c>
    </row>
    <row r="27" spans="2:11">
      <c r="B27" s="67">
        <f>contest_life!B26</f>
        <v>0</v>
      </c>
      <c r="C27" s="67">
        <f>contest_life!D26</f>
        <v>0</v>
      </c>
    </row>
    <row r="29" spans="2:11">
      <c r="K29" s="68">
        <v>0.6</v>
      </c>
    </row>
    <row r="44" spans="21:21">
      <c r="U44">
        <v>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locked="0" defaultSize="0" print="0" autoFill="0" autoPict="0" macro="[0]!AllesLos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8</xdr:col>
                    <xdr:colOff>742950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Drop Down 4">
              <controlPr locked="0" defaultSize="0" autoLine="0" autoPict="0" macro="[0]!Dropdown11_BeiÄnderung">
                <anchor moveWithCells="1">
                  <from>
                    <xdr:col>9</xdr:col>
                    <xdr:colOff>152400</xdr:colOff>
                    <xdr:row>1</xdr:row>
                    <xdr:rowOff>76200</xdr:rowOff>
                  </from>
                  <to>
                    <xdr:col>12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100"/>
  <sheetViews>
    <sheetView zoomScale="60" workbookViewId="0">
      <selection activeCell="H3" sqref="H3"/>
    </sheetView>
  </sheetViews>
  <sheetFormatPr baseColWidth="10" defaultRowHeight="12.75"/>
  <cols>
    <col min="1" max="1" width="7.140625" customWidth="1"/>
    <col min="2" max="2" width="18.85546875" customWidth="1"/>
    <col min="5" max="5" width="14" style="5" customWidth="1"/>
    <col min="7" max="7" width="12.42578125" customWidth="1"/>
    <col min="8" max="8" width="23.28515625" customWidth="1"/>
  </cols>
  <sheetData>
    <row r="1" spans="1:8" s="6" customFormat="1" ht="15">
      <c r="A1" s="6" t="str">
        <f>all_data!A1</f>
        <v>Nr.</v>
      </c>
      <c r="B1" s="6" t="str">
        <f>all_data!B1</f>
        <v>SchiffsName</v>
      </c>
      <c r="C1" s="6" t="str">
        <f>all_data!C1</f>
        <v>mLS</v>
      </c>
      <c r="D1" s="6" t="str">
        <f>all_data!D1</f>
        <v>deadweight</v>
      </c>
      <c r="E1" s="8" t="str">
        <f>all_data!E1</f>
        <v>dw/mLS</v>
      </c>
      <c r="F1" s="6" t="str">
        <f>all_data!F1</f>
        <v>prediction</v>
      </c>
      <c r="H1" s="6" t="s">
        <v>25</v>
      </c>
    </row>
    <row r="2" spans="1:8" s="6" customFormat="1" ht="15">
      <c r="A2" s="6">
        <f>all_data!A2</f>
        <v>0</v>
      </c>
      <c r="B2" s="6">
        <f>all_data!B2</f>
        <v>0</v>
      </c>
      <c r="C2" s="6" t="str">
        <f>all_data!C2</f>
        <v>[g]</v>
      </c>
      <c r="D2" s="6">
        <f>all_data!D2</f>
        <v>5.2</v>
      </c>
      <c r="E2" s="8" t="str">
        <f>all_data!E2</f>
        <v>[-]</v>
      </c>
      <c r="F2" s="6" t="str">
        <f>all_data!F2</f>
        <v>[g]</v>
      </c>
    </row>
    <row r="3" spans="1:8">
      <c r="A3">
        <f>all_data!A31</f>
        <v>29</v>
      </c>
      <c r="B3">
        <f>all_data!B31</f>
        <v>0</v>
      </c>
      <c r="C3">
        <f>all_data!C31</f>
        <v>0</v>
      </c>
      <c r="D3">
        <f>all_data!D115</f>
        <v>0</v>
      </c>
      <c r="E3" s="5">
        <f t="shared" ref="E3:E34" si="0">IF(D3&lt;=0,,D3/C3)</f>
        <v>0</v>
      </c>
      <c r="F3">
        <f>all_data!F115</f>
        <v>0</v>
      </c>
      <c r="H3">
        <f t="shared" ref="H3:H34" si="1">IF(C3&lt;=10,D3,0)</f>
        <v>0</v>
      </c>
    </row>
    <row r="4" spans="1:8">
      <c r="A4" s="54">
        <f>all_data!A19</f>
        <v>17</v>
      </c>
      <c r="B4" s="54">
        <f>all_data!B19</f>
        <v>0</v>
      </c>
      <c r="C4" s="54">
        <f>all_data!C19</f>
        <v>0</v>
      </c>
      <c r="D4">
        <f>all_data!D108</f>
        <v>0</v>
      </c>
      <c r="E4" s="5">
        <f t="shared" si="0"/>
        <v>0</v>
      </c>
      <c r="F4">
        <f>all_data!F108</f>
        <v>0</v>
      </c>
      <c r="H4">
        <f t="shared" si="1"/>
        <v>0</v>
      </c>
    </row>
    <row r="5" spans="1:8">
      <c r="A5" s="54">
        <f>all_data!A37</f>
        <v>35</v>
      </c>
      <c r="B5" s="54">
        <f>all_data!B37</f>
        <v>0</v>
      </c>
      <c r="C5" s="54">
        <f>all_data!C37</f>
        <v>0</v>
      </c>
      <c r="D5">
        <f>all_data!D110</f>
        <v>0</v>
      </c>
      <c r="E5" s="5">
        <f t="shared" si="0"/>
        <v>0</v>
      </c>
      <c r="F5">
        <f>all_data!F110</f>
        <v>0</v>
      </c>
      <c r="H5">
        <f t="shared" si="1"/>
        <v>0</v>
      </c>
    </row>
    <row r="6" spans="1:8">
      <c r="A6" s="54">
        <f>all_data!A20</f>
        <v>18</v>
      </c>
      <c r="B6" s="54">
        <f>all_data!B20</f>
        <v>0</v>
      </c>
      <c r="C6" s="54">
        <f>all_data!C20</f>
        <v>0</v>
      </c>
      <c r="D6">
        <f>all_data!D126</f>
        <v>0</v>
      </c>
      <c r="E6" s="5">
        <f t="shared" si="0"/>
        <v>0</v>
      </c>
      <c r="F6">
        <f>all_data!F126</f>
        <v>0</v>
      </c>
      <c r="H6">
        <f t="shared" si="1"/>
        <v>0</v>
      </c>
    </row>
    <row r="7" spans="1:8">
      <c r="A7" s="54">
        <f>all_data!A4</f>
        <v>2</v>
      </c>
      <c r="B7" s="54" t="str">
        <f>all_data!B4</f>
        <v>Schiff 2</v>
      </c>
      <c r="C7" s="54">
        <f>all_data!C4</f>
        <v>0</v>
      </c>
      <c r="D7">
        <f>all_data!D28</f>
        <v>0</v>
      </c>
      <c r="E7" s="5">
        <f t="shared" si="0"/>
        <v>0</v>
      </c>
      <c r="F7">
        <f>all_data!F28</f>
        <v>0</v>
      </c>
      <c r="H7">
        <f t="shared" si="1"/>
        <v>0</v>
      </c>
    </row>
    <row r="8" spans="1:8">
      <c r="A8" s="54">
        <f>all_data!A21</f>
        <v>19</v>
      </c>
      <c r="B8" s="54">
        <f>all_data!B21</f>
        <v>0</v>
      </c>
      <c r="C8" s="54">
        <f>all_data!C21</f>
        <v>0</v>
      </c>
      <c r="D8">
        <f>all_data!D105</f>
        <v>0</v>
      </c>
      <c r="E8" s="5">
        <f t="shared" si="0"/>
        <v>0</v>
      </c>
      <c r="F8">
        <f>all_data!F105</f>
        <v>0</v>
      </c>
      <c r="H8">
        <f t="shared" si="1"/>
        <v>0</v>
      </c>
    </row>
    <row r="9" spans="1:8">
      <c r="A9" s="54">
        <f>all_data!A24</f>
        <v>22</v>
      </c>
      <c r="B9" s="54">
        <f>all_data!B24</f>
        <v>0</v>
      </c>
      <c r="C9" s="54">
        <f>all_data!C24</f>
        <v>0</v>
      </c>
      <c r="D9">
        <f>all_data!D106</f>
        <v>0</v>
      </c>
      <c r="E9" s="5">
        <f t="shared" si="0"/>
        <v>0</v>
      </c>
      <c r="F9">
        <f>all_data!F106</f>
        <v>0</v>
      </c>
      <c r="H9">
        <f t="shared" si="1"/>
        <v>0</v>
      </c>
    </row>
    <row r="10" spans="1:8">
      <c r="A10" s="54">
        <f>all_data!A27</f>
        <v>25</v>
      </c>
      <c r="B10" s="54">
        <f>all_data!B27</f>
        <v>0</v>
      </c>
      <c r="C10" s="54">
        <f>all_data!C27</f>
        <v>0</v>
      </c>
      <c r="D10">
        <f>all_data!D131</f>
        <v>0</v>
      </c>
      <c r="E10" s="5">
        <f t="shared" si="0"/>
        <v>0</v>
      </c>
      <c r="F10">
        <f>all_data!F131</f>
        <v>0</v>
      </c>
      <c r="H10">
        <f t="shared" si="1"/>
        <v>0</v>
      </c>
    </row>
    <row r="11" spans="1:8">
      <c r="A11" s="54">
        <f>all_data!A40</f>
        <v>38</v>
      </c>
      <c r="B11" s="54">
        <f>all_data!B40</f>
        <v>0</v>
      </c>
      <c r="C11" s="54">
        <f>all_data!C40</f>
        <v>0</v>
      </c>
      <c r="D11">
        <f>all_data!D123</f>
        <v>0</v>
      </c>
      <c r="E11" s="5">
        <f t="shared" si="0"/>
        <v>0</v>
      </c>
      <c r="F11">
        <f>all_data!F123</f>
        <v>0</v>
      </c>
      <c r="H11">
        <f t="shared" si="1"/>
        <v>0</v>
      </c>
    </row>
    <row r="12" spans="1:8">
      <c r="A12" s="54">
        <f>all_data!A44</f>
        <v>42</v>
      </c>
      <c r="B12" s="54">
        <f>all_data!B44</f>
        <v>0</v>
      </c>
      <c r="C12" s="54">
        <f>all_data!C44</f>
        <v>0</v>
      </c>
      <c r="D12">
        <f>all_data!D93</f>
        <v>0</v>
      </c>
      <c r="E12" s="5">
        <f t="shared" si="0"/>
        <v>0</v>
      </c>
      <c r="F12">
        <f>all_data!F93</f>
        <v>0</v>
      </c>
      <c r="H12">
        <f t="shared" si="1"/>
        <v>0</v>
      </c>
    </row>
    <row r="13" spans="1:8">
      <c r="A13" s="54">
        <f>all_data!A3</f>
        <v>1</v>
      </c>
      <c r="B13" s="54" t="str">
        <f>all_data!B3</f>
        <v>Schiff 1</v>
      </c>
      <c r="C13" s="54">
        <f>all_data!C3</f>
        <v>0</v>
      </c>
      <c r="D13">
        <f>all_data!D58</f>
        <v>0</v>
      </c>
      <c r="E13" s="5">
        <f t="shared" si="0"/>
        <v>0</v>
      </c>
      <c r="F13">
        <f>all_data!F58</f>
        <v>0</v>
      </c>
      <c r="H13">
        <f t="shared" si="1"/>
        <v>0</v>
      </c>
    </row>
    <row r="14" spans="1:8">
      <c r="A14" s="54">
        <f>all_data!A22</f>
        <v>20</v>
      </c>
      <c r="B14" s="54">
        <f>all_data!B22</f>
        <v>0</v>
      </c>
      <c r="C14" s="54">
        <f>all_data!C22</f>
        <v>0</v>
      </c>
      <c r="D14">
        <f>all_data!D113</f>
        <v>0</v>
      </c>
      <c r="E14" s="5">
        <f t="shared" si="0"/>
        <v>0</v>
      </c>
      <c r="F14">
        <f>all_data!F113</f>
        <v>0</v>
      </c>
      <c r="H14">
        <f t="shared" si="1"/>
        <v>0</v>
      </c>
    </row>
    <row r="15" spans="1:8">
      <c r="A15" s="54">
        <f>all_data!A48</f>
        <v>46</v>
      </c>
      <c r="B15" s="54">
        <f>all_data!B48</f>
        <v>0</v>
      </c>
      <c r="C15" s="54">
        <f>all_data!C48</f>
        <v>0</v>
      </c>
      <c r="D15">
        <f>all_data!D83</f>
        <v>0</v>
      </c>
      <c r="E15" s="5">
        <f t="shared" si="0"/>
        <v>0</v>
      </c>
      <c r="F15">
        <f>all_data!F83</f>
        <v>0</v>
      </c>
      <c r="H15">
        <f t="shared" si="1"/>
        <v>0</v>
      </c>
    </row>
    <row r="16" spans="1:8">
      <c r="A16" s="54">
        <f>all_data!A11</f>
        <v>9</v>
      </c>
      <c r="B16" s="54">
        <f>all_data!B11</f>
        <v>0</v>
      </c>
      <c r="C16" s="54">
        <f>all_data!C11</f>
        <v>0</v>
      </c>
      <c r="D16">
        <f>all_data!D117</f>
        <v>0</v>
      </c>
      <c r="E16" s="5">
        <f t="shared" si="0"/>
        <v>0</v>
      </c>
      <c r="F16">
        <f>all_data!F117</f>
        <v>0</v>
      </c>
      <c r="H16">
        <f t="shared" si="1"/>
        <v>0</v>
      </c>
    </row>
    <row r="17" spans="1:11">
      <c r="A17" s="54">
        <f>all_data!A16</f>
        <v>14</v>
      </c>
      <c r="B17" s="54">
        <f>all_data!B16</f>
        <v>0</v>
      </c>
      <c r="C17" s="54">
        <f>all_data!C16</f>
        <v>0</v>
      </c>
      <c r="D17">
        <f>all_data!D76</f>
        <v>0</v>
      </c>
      <c r="E17" s="5">
        <f t="shared" si="0"/>
        <v>0</v>
      </c>
      <c r="F17">
        <f>all_data!F76</f>
        <v>0</v>
      </c>
      <c r="H17">
        <f t="shared" si="1"/>
        <v>0</v>
      </c>
    </row>
    <row r="18" spans="1:11">
      <c r="A18" s="54">
        <f>all_data!A17</f>
        <v>15</v>
      </c>
      <c r="B18" s="54">
        <f>all_data!B17</f>
        <v>0</v>
      </c>
      <c r="C18" s="54">
        <f>all_data!C17</f>
        <v>0</v>
      </c>
      <c r="D18">
        <f>all_data!D102</f>
        <v>0</v>
      </c>
      <c r="E18" s="5">
        <f t="shared" si="0"/>
        <v>0</v>
      </c>
      <c r="F18">
        <f>all_data!F102</f>
        <v>0</v>
      </c>
      <c r="H18">
        <f t="shared" si="1"/>
        <v>0</v>
      </c>
      <c r="K18" t="s">
        <v>15</v>
      </c>
    </row>
    <row r="19" spans="1:11">
      <c r="A19" s="54">
        <f>all_data!A18</f>
        <v>16</v>
      </c>
      <c r="B19" s="54">
        <f>all_data!B18</f>
        <v>0</v>
      </c>
      <c r="C19" s="54">
        <f>all_data!C18</f>
        <v>0</v>
      </c>
      <c r="D19">
        <f>all_data!D77</f>
        <v>0</v>
      </c>
      <c r="E19" s="5">
        <f t="shared" si="0"/>
        <v>0</v>
      </c>
      <c r="F19">
        <f>all_data!F77</f>
        <v>0</v>
      </c>
      <c r="H19">
        <f t="shared" si="1"/>
        <v>0</v>
      </c>
    </row>
    <row r="20" spans="1:11">
      <c r="A20" s="54">
        <f>all_data!A33</f>
        <v>31</v>
      </c>
      <c r="B20" s="54">
        <f>all_data!B33</f>
        <v>0</v>
      </c>
      <c r="C20" s="54">
        <f>all_data!C33</f>
        <v>0</v>
      </c>
      <c r="D20">
        <f>all_data!D134</f>
        <v>0</v>
      </c>
      <c r="E20" s="5">
        <f t="shared" si="0"/>
        <v>0</v>
      </c>
      <c r="F20">
        <f>all_data!F134</f>
        <v>0</v>
      </c>
      <c r="H20">
        <f t="shared" si="1"/>
        <v>0</v>
      </c>
    </row>
    <row r="21" spans="1:11">
      <c r="A21" s="54">
        <f>all_data!A13</f>
        <v>11</v>
      </c>
      <c r="B21" s="54">
        <f>all_data!B13</f>
        <v>0</v>
      </c>
      <c r="C21" s="54">
        <f>all_data!C13</f>
        <v>0</v>
      </c>
      <c r="D21">
        <f>all_data!D118</f>
        <v>0</v>
      </c>
      <c r="E21" s="5">
        <f t="shared" si="0"/>
        <v>0</v>
      </c>
      <c r="F21">
        <f>all_data!F118</f>
        <v>0</v>
      </c>
      <c r="H21">
        <f t="shared" si="1"/>
        <v>0</v>
      </c>
    </row>
    <row r="22" spans="1:11">
      <c r="A22" s="54">
        <f>all_data!A14</f>
        <v>12</v>
      </c>
      <c r="B22" s="54">
        <f>all_data!B14</f>
        <v>0</v>
      </c>
      <c r="C22" s="54">
        <f>all_data!C14</f>
        <v>0</v>
      </c>
      <c r="D22">
        <f>all_data!D125</f>
        <v>0</v>
      </c>
      <c r="E22" s="5">
        <f t="shared" si="0"/>
        <v>0</v>
      </c>
      <c r="F22">
        <f>all_data!F125</f>
        <v>0</v>
      </c>
      <c r="H22">
        <f t="shared" si="1"/>
        <v>0</v>
      </c>
    </row>
    <row r="23" spans="1:11">
      <c r="A23" s="54">
        <f>all_data!A26</f>
        <v>24</v>
      </c>
      <c r="B23" s="54">
        <f>all_data!B26</f>
        <v>0</v>
      </c>
      <c r="C23" s="54">
        <f>all_data!C26</f>
        <v>0</v>
      </c>
      <c r="D23">
        <f>all_data!D112</f>
        <v>0</v>
      </c>
      <c r="E23" s="5">
        <f t="shared" si="0"/>
        <v>0</v>
      </c>
      <c r="F23">
        <f>all_data!F112</f>
        <v>0</v>
      </c>
      <c r="H23">
        <f t="shared" si="1"/>
        <v>0</v>
      </c>
    </row>
    <row r="24" spans="1:11">
      <c r="A24" s="54">
        <f>all_data!A30</f>
        <v>28</v>
      </c>
      <c r="B24" s="54">
        <f>all_data!B30</f>
        <v>0</v>
      </c>
      <c r="C24" s="54">
        <f>all_data!C30</f>
        <v>0</v>
      </c>
      <c r="D24">
        <f>all_data!D82</f>
        <v>0</v>
      </c>
      <c r="E24" s="5">
        <f t="shared" si="0"/>
        <v>0</v>
      </c>
      <c r="F24">
        <f>all_data!F82</f>
        <v>0</v>
      </c>
      <c r="H24">
        <f t="shared" si="1"/>
        <v>0</v>
      </c>
    </row>
    <row r="25" spans="1:11">
      <c r="A25" s="54">
        <f>all_data!A34</f>
        <v>32</v>
      </c>
      <c r="B25" s="54">
        <f>all_data!B34</f>
        <v>0</v>
      </c>
      <c r="C25" s="54">
        <f>all_data!C34</f>
        <v>0</v>
      </c>
      <c r="D25">
        <f>all_data!D62</f>
        <v>0</v>
      </c>
      <c r="E25" s="5">
        <f t="shared" si="0"/>
        <v>0</v>
      </c>
      <c r="F25">
        <f>all_data!F62</f>
        <v>0</v>
      </c>
      <c r="H25">
        <f t="shared" si="1"/>
        <v>0</v>
      </c>
    </row>
    <row r="26" spans="1:11">
      <c r="A26" s="54">
        <f>all_data!A42</f>
        <v>40</v>
      </c>
      <c r="B26" s="54">
        <f>all_data!B42</f>
        <v>0</v>
      </c>
      <c r="C26" s="54">
        <f>all_data!C42</f>
        <v>0</v>
      </c>
      <c r="D26">
        <f>all_data!D128</f>
        <v>0</v>
      </c>
      <c r="E26" s="5">
        <f t="shared" si="0"/>
        <v>0</v>
      </c>
      <c r="F26">
        <f>all_data!F128</f>
        <v>0</v>
      </c>
      <c r="H26">
        <f t="shared" si="1"/>
        <v>0</v>
      </c>
    </row>
    <row r="27" spans="1:11">
      <c r="A27" s="54">
        <f>all_data!A49</f>
        <v>47</v>
      </c>
      <c r="B27" s="54">
        <f>all_data!B49</f>
        <v>0</v>
      </c>
      <c r="C27" s="54">
        <f>all_data!C49</f>
        <v>0</v>
      </c>
      <c r="D27">
        <f>all_data!D47</f>
        <v>0</v>
      </c>
      <c r="E27" s="5">
        <f t="shared" si="0"/>
        <v>0</v>
      </c>
      <c r="F27">
        <f>all_data!F47</f>
        <v>0</v>
      </c>
      <c r="H27">
        <f t="shared" si="1"/>
        <v>0</v>
      </c>
    </row>
    <row r="28" spans="1:11">
      <c r="A28" s="54">
        <f>all_data!A41</f>
        <v>39</v>
      </c>
      <c r="B28" s="54">
        <f>all_data!B41</f>
        <v>0</v>
      </c>
      <c r="C28" s="54">
        <f>all_data!C41</f>
        <v>0</v>
      </c>
      <c r="D28">
        <f>all_data!D129</f>
        <v>0</v>
      </c>
      <c r="E28" s="5">
        <f t="shared" si="0"/>
        <v>0</v>
      </c>
      <c r="F28">
        <f>all_data!F129</f>
        <v>0</v>
      </c>
      <c r="H28">
        <f t="shared" si="1"/>
        <v>0</v>
      </c>
    </row>
    <row r="29" spans="1:11">
      <c r="A29" s="54">
        <f>all_data!A32</f>
        <v>30</v>
      </c>
      <c r="B29" s="54">
        <f>all_data!B32</f>
        <v>0</v>
      </c>
      <c r="C29" s="54">
        <f>all_data!C32</f>
        <v>0</v>
      </c>
      <c r="D29">
        <f>all_data!D73</f>
        <v>0</v>
      </c>
      <c r="E29" s="5">
        <f t="shared" si="0"/>
        <v>0</v>
      </c>
      <c r="F29">
        <f>all_data!F73</f>
        <v>0</v>
      </c>
      <c r="H29">
        <f t="shared" si="1"/>
        <v>0</v>
      </c>
    </row>
    <row r="30" spans="1:11">
      <c r="A30" s="54">
        <f>all_data!A51</f>
        <v>49</v>
      </c>
      <c r="B30" s="54">
        <f>all_data!B51</f>
        <v>0</v>
      </c>
      <c r="C30" s="54">
        <f>all_data!C51</f>
        <v>0</v>
      </c>
      <c r="D30">
        <f>all_data!D72</f>
        <v>0</v>
      </c>
      <c r="E30" s="5">
        <f t="shared" si="0"/>
        <v>0</v>
      </c>
      <c r="F30">
        <f>all_data!F72</f>
        <v>0</v>
      </c>
      <c r="H30">
        <f t="shared" si="1"/>
        <v>0</v>
      </c>
    </row>
    <row r="31" spans="1:11">
      <c r="A31" s="54">
        <f>all_data!A8</f>
        <v>6</v>
      </c>
      <c r="B31" s="54">
        <f>all_data!B8</f>
        <v>0</v>
      </c>
      <c r="C31" s="54">
        <f>all_data!C8</f>
        <v>0</v>
      </c>
      <c r="D31">
        <f>all_data!D39</f>
        <v>0</v>
      </c>
      <c r="E31" s="5">
        <f t="shared" si="0"/>
        <v>0</v>
      </c>
      <c r="F31">
        <f>all_data!F39</f>
        <v>0</v>
      </c>
      <c r="H31">
        <f t="shared" si="1"/>
        <v>0</v>
      </c>
    </row>
    <row r="32" spans="1:11">
      <c r="A32" s="54">
        <f>all_data!A9</f>
        <v>7</v>
      </c>
      <c r="B32" s="54">
        <f>all_data!B9</f>
        <v>0</v>
      </c>
      <c r="C32" s="54">
        <f>all_data!C9</f>
        <v>0</v>
      </c>
      <c r="D32">
        <f>all_data!D32</f>
        <v>0</v>
      </c>
      <c r="E32" s="5">
        <f t="shared" si="0"/>
        <v>0</v>
      </c>
      <c r="F32">
        <f>all_data!F32</f>
        <v>0</v>
      </c>
      <c r="H32">
        <f t="shared" si="1"/>
        <v>0</v>
      </c>
    </row>
    <row r="33" spans="1:8">
      <c r="A33" s="54">
        <f>all_data!A28</f>
        <v>26</v>
      </c>
      <c r="B33" s="54">
        <f>all_data!B28</f>
        <v>0</v>
      </c>
      <c r="C33" s="54">
        <f>all_data!C28</f>
        <v>0</v>
      </c>
      <c r="D33">
        <f>all_data!D51</f>
        <v>0</v>
      </c>
      <c r="E33" s="5">
        <f t="shared" si="0"/>
        <v>0</v>
      </c>
      <c r="F33">
        <f>all_data!F51</f>
        <v>0</v>
      </c>
      <c r="H33">
        <f t="shared" si="1"/>
        <v>0</v>
      </c>
    </row>
    <row r="34" spans="1:8">
      <c r="A34" s="54">
        <f>all_data!A29</f>
        <v>27</v>
      </c>
      <c r="B34" s="54">
        <f>all_data!B29</f>
        <v>0</v>
      </c>
      <c r="C34" s="54">
        <f>all_data!C29</f>
        <v>0</v>
      </c>
      <c r="D34">
        <f>all_data!D130</f>
        <v>0</v>
      </c>
      <c r="E34" s="5">
        <f t="shared" si="0"/>
        <v>0</v>
      </c>
      <c r="F34">
        <f>all_data!F130</f>
        <v>0</v>
      </c>
      <c r="H34">
        <f t="shared" si="1"/>
        <v>0</v>
      </c>
    </row>
    <row r="35" spans="1:8">
      <c r="A35" s="54">
        <f>all_data!A43</f>
        <v>41</v>
      </c>
      <c r="B35" s="54">
        <f>all_data!B43</f>
        <v>0</v>
      </c>
      <c r="C35" s="54">
        <f>all_data!C43</f>
        <v>0</v>
      </c>
      <c r="D35">
        <f>all_data!D79</f>
        <v>0</v>
      </c>
      <c r="E35" s="5">
        <f t="shared" ref="E35:E52" si="2">IF(D35&lt;=0,,D35/C35)</f>
        <v>0</v>
      </c>
      <c r="F35">
        <f>all_data!F79</f>
        <v>0</v>
      </c>
      <c r="H35">
        <f t="shared" ref="H35:H52" si="3">IF(C35&lt;=10,D35,0)</f>
        <v>0</v>
      </c>
    </row>
    <row r="36" spans="1:8">
      <c r="A36" s="54">
        <f>all_data!A45</f>
        <v>43</v>
      </c>
      <c r="B36" s="54">
        <f>all_data!B45</f>
        <v>0</v>
      </c>
      <c r="C36" s="54">
        <f>all_data!C45</f>
        <v>0</v>
      </c>
      <c r="D36">
        <f>all_data!D109</f>
        <v>0</v>
      </c>
      <c r="E36" s="5">
        <f t="shared" si="2"/>
        <v>0</v>
      </c>
      <c r="F36">
        <f>all_data!F109</f>
        <v>0</v>
      </c>
      <c r="H36">
        <f t="shared" si="3"/>
        <v>0</v>
      </c>
    </row>
    <row r="37" spans="1:8">
      <c r="A37" s="54">
        <f>all_data!A10</f>
        <v>8</v>
      </c>
      <c r="B37" s="54">
        <f>all_data!B10</f>
        <v>0</v>
      </c>
      <c r="C37" s="54">
        <f>all_data!C10</f>
        <v>0</v>
      </c>
      <c r="D37">
        <f>all_data!D40</f>
        <v>0</v>
      </c>
      <c r="E37" s="5">
        <f t="shared" si="2"/>
        <v>0</v>
      </c>
      <c r="F37">
        <f>all_data!F40</f>
        <v>0</v>
      </c>
      <c r="H37">
        <f t="shared" si="3"/>
        <v>0</v>
      </c>
    </row>
    <row r="38" spans="1:8">
      <c r="A38" s="54">
        <f>all_data!A15</f>
        <v>13</v>
      </c>
      <c r="B38" s="54">
        <f>all_data!B15</f>
        <v>0</v>
      </c>
      <c r="C38" s="54">
        <f>all_data!C15</f>
        <v>0</v>
      </c>
      <c r="D38">
        <f>all_data!D137</f>
        <v>0</v>
      </c>
      <c r="E38" s="5">
        <f t="shared" si="2"/>
        <v>0</v>
      </c>
      <c r="F38">
        <f>all_data!F137</f>
        <v>0</v>
      </c>
      <c r="H38">
        <f t="shared" si="3"/>
        <v>0</v>
      </c>
    </row>
    <row r="39" spans="1:8">
      <c r="A39" s="54">
        <f>all_data!A50</f>
        <v>48</v>
      </c>
      <c r="B39" s="54">
        <f>all_data!B50</f>
        <v>0</v>
      </c>
      <c r="C39" s="54">
        <f>all_data!C50</f>
        <v>0</v>
      </c>
      <c r="D39">
        <f>all_data!D99</f>
        <v>0</v>
      </c>
      <c r="E39" s="5">
        <f t="shared" si="2"/>
        <v>0</v>
      </c>
      <c r="F39">
        <f>all_data!F99</f>
        <v>0</v>
      </c>
      <c r="H39">
        <f t="shared" si="3"/>
        <v>0</v>
      </c>
    </row>
    <row r="40" spans="1:8">
      <c r="A40" s="54">
        <f>all_data!A12</f>
        <v>10</v>
      </c>
      <c r="B40" s="54">
        <f>all_data!B12</f>
        <v>0</v>
      </c>
      <c r="C40" s="54">
        <f>all_data!C12</f>
        <v>0</v>
      </c>
      <c r="D40">
        <f>all_data!D121</f>
        <v>0</v>
      </c>
      <c r="E40" s="5">
        <f t="shared" si="2"/>
        <v>0</v>
      </c>
      <c r="F40">
        <f>all_data!F121</f>
        <v>0</v>
      </c>
      <c r="H40">
        <f t="shared" si="3"/>
        <v>0</v>
      </c>
    </row>
    <row r="41" spans="1:8">
      <c r="A41" s="54">
        <f>all_data!A38</f>
        <v>36</v>
      </c>
      <c r="B41" s="54">
        <f>all_data!B38</f>
        <v>0</v>
      </c>
      <c r="C41" s="54">
        <f>all_data!C38</f>
        <v>0</v>
      </c>
      <c r="D41">
        <f>all_data!D80</f>
        <v>0</v>
      </c>
      <c r="E41" s="5">
        <f t="shared" si="2"/>
        <v>0</v>
      </c>
      <c r="F41">
        <f>all_data!F80</f>
        <v>0</v>
      </c>
      <c r="H41">
        <f t="shared" si="3"/>
        <v>0</v>
      </c>
    </row>
    <row r="42" spans="1:8">
      <c r="A42" s="54">
        <f>all_data!A47</f>
        <v>45</v>
      </c>
      <c r="B42" s="54">
        <f>all_data!B47</f>
        <v>0</v>
      </c>
      <c r="C42" s="54">
        <f>all_data!C47</f>
        <v>0</v>
      </c>
      <c r="D42">
        <f>all_data!D111</f>
        <v>0</v>
      </c>
      <c r="E42" s="5">
        <f t="shared" si="2"/>
        <v>0</v>
      </c>
      <c r="F42">
        <f>all_data!F111</f>
        <v>0</v>
      </c>
      <c r="H42">
        <f t="shared" si="3"/>
        <v>0</v>
      </c>
    </row>
    <row r="43" spans="1:8">
      <c r="A43" s="54">
        <f>all_data!A36</f>
        <v>34</v>
      </c>
      <c r="B43" s="54">
        <f>all_data!B36</f>
        <v>0</v>
      </c>
      <c r="C43" s="54">
        <f>all_data!C36</f>
        <v>0</v>
      </c>
      <c r="D43">
        <f>all_data!D100</f>
        <v>0</v>
      </c>
      <c r="E43" s="5">
        <f t="shared" si="2"/>
        <v>0</v>
      </c>
      <c r="F43">
        <f>all_data!F100</f>
        <v>0</v>
      </c>
      <c r="H43">
        <f t="shared" si="3"/>
        <v>0</v>
      </c>
    </row>
    <row r="44" spans="1:8">
      <c r="A44" s="54">
        <f>all_data!A52</f>
        <v>50</v>
      </c>
      <c r="B44" s="54">
        <f>all_data!B52</f>
        <v>0</v>
      </c>
      <c r="C44" s="54">
        <f>all_data!C52</f>
        <v>0</v>
      </c>
      <c r="D44">
        <f>all_data!D95</f>
        <v>0</v>
      </c>
      <c r="E44" s="5">
        <f t="shared" si="2"/>
        <v>0</v>
      </c>
      <c r="F44">
        <f>all_data!F95</f>
        <v>0</v>
      </c>
      <c r="H44">
        <f t="shared" si="3"/>
        <v>0</v>
      </c>
    </row>
    <row r="45" spans="1:8">
      <c r="A45" s="54">
        <f>all_data!A7</f>
        <v>5</v>
      </c>
      <c r="B45" s="54">
        <f>all_data!B7</f>
        <v>0</v>
      </c>
      <c r="C45" s="54">
        <f>all_data!C7</f>
        <v>0</v>
      </c>
      <c r="D45">
        <f>all_data!D55</f>
        <v>0</v>
      </c>
      <c r="E45" s="5">
        <f t="shared" si="2"/>
        <v>0</v>
      </c>
      <c r="F45">
        <f>all_data!F55</f>
        <v>0</v>
      </c>
      <c r="H45">
        <f t="shared" si="3"/>
        <v>0</v>
      </c>
    </row>
    <row r="46" spans="1:8">
      <c r="A46" s="54">
        <f>all_data!A23</f>
        <v>21</v>
      </c>
      <c r="B46" s="54">
        <f>all_data!B23</f>
        <v>0</v>
      </c>
      <c r="C46" s="54">
        <f>all_data!C23</f>
        <v>0</v>
      </c>
      <c r="D46">
        <f>all_data!D104</f>
        <v>0</v>
      </c>
      <c r="E46" s="5">
        <f t="shared" si="2"/>
        <v>0</v>
      </c>
      <c r="F46">
        <f>all_data!F104</f>
        <v>0</v>
      </c>
      <c r="H46">
        <f t="shared" si="3"/>
        <v>0</v>
      </c>
    </row>
    <row r="47" spans="1:8">
      <c r="A47" s="54">
        <f>all_data!A6</f>
        <v>4</v>
      </c>
      <c r="B47" s="54" t="str">
        <f>all_data!B6</f>
        <v>Schiff 4</v>
      </c>
      <c r="C47" s="54">
        <f>all_data!C6</f>
        <v>0</v>
      </c>
      <c r="D47">
        <f>all_data!D45</f>
        <v>0</v>
      </c>
      <c r="E47" s="5">
        <f t="shared" si="2"/>
        <v>0</v>
      </c>
      <c r="F47">
        <f>all_data!F45</f>
        <v>0</v>
      </c>
      <c r="H47">
        <f t="shared" si="3"/>
        <v>0</v>
      </c>
    </row>
    <row r="48" spans="1:8">
      <c r="A48" s="54">
        <f>all_data!A5</f>
        <v>3</v>
      </c>
      <c r="B48" s="54" t="str">
        <f>all_data!B5</f>
        <v>Schiff 3</v>
      </c>
      <c r="C48" s="54">
        <f>all_data!C5</f>
        <v>0</v>
      </c>
      <c r="D48">
        <f>all_data!D49</f>
        <v>0</v>
      </c>
      <c r="E48" s="5">
        <f t="shared" si="2"/>
        <v>0</v>
      </c>
      <c r="F48">
        <f>all_data!F49</f>
        <v>0</v>
      </c>
      <c r="H48">
        <f t="shared" si="3"/>
        <v>0</v>
      </c>
    </row>
    <row r="49" spans="1:8">
      <c r="A49" s="54">
        <f>all_data!A35</f>
        <v>33</v>
      </c>
      <c r="B49" s="54">
        <f>all_data!B35</f>
        <v>0</v>
      </c>
      <c r="C49" s="54">
        <f>all_data!C35</f>
        <v>0</v>
      </c>
      <c r="D49">
        <f>all_data!D107</f>
        <v>0</v>
      </c>
      <c r="E49" s="5">
        <f t="shared" si="2"/>
        <v>0</v>
      </c>
      <c r="F49">
        <f>all_data!F107</f>
        <v>0</v>
      </c>
      <c r="H49">
        <f t="shared" si="3"/>
        <v>0</v>
      </c>
    </row>
    <row r="50" spans="1:8">
      <c r="A50" s="54">
        <f>all_data!A46</f>
        <v>44</v>
      </c>
      <c r="B50" s="54">
        <f>all_data!B46</f>
        <v>0</v>
      </c>
      <c r="C50" s="54">
        <f>all_data!C46</f>
        <v>0</v>
      </c>
      <c r="D50">
        <f>all_data!D97</f>
        <v>0</v>
      </c>
      <c r="E50" s="5">
        <f t="shared" si="2"/>
        <v>0</v>
      </c>
      <c r="F50">
        <f>all_data!F97</f>
        <v>0</v>
      </c>
      <c r="H50">
        <f t="shared" si="3"/>
        <v>0</v>
      </c>
    </row>
    <row r="51" spans="1:8">
      <c r="A51" s="54">
        <f>all_data!A25</f>
        <v>23</v>
      </c>
      <c r="B51" s="54">
        <f>all_data!B25</f>
        <v>0</v>
      </c>
      <c r="C51" s="54">
        <f>all_data!C25</f>
        <v>0</v>
      </c>
      <c r="D51">
        <f>all_data!D124</f>
        <v>0</v>
      </c>
      <c r="E51" s="5">
        <f t="shared" si="2"/>
        <v>0</v>
      </c>
      <c r="F51">
        <f>all_data!F124</f>
        <v>0</v>
      </c>
      <c r="H51">
        <f t="shared" si="3"/>
        <v>0</v>
      </c>
    </row>
    <row r="52" spans="1:8">
      <c r="A52" s="54">
        <f>all_data!A39</f>
        <v>37</v>
      </c>
      <c r="B52" s="54">
        <f>all_data!B39</f>
        <v>0</v>
      </c>
      <c r="C52" s="54">
        <f>all_data!C39</f>
        <v>0</v>
      </c>
      <c r="D52">
        <f>all_data!D94</f>
        <v>0</v>
      </c>
      <c r="E52" s="5">
        <f t="shared" si="2"/>
        <v>0</v>
      </c>
      <c r="F52">
        <f>all_data!F94</f>
        <v>0</v>
      </c>
      <c r="H52">
        <f t="shared" si="3"/>
        <v>0</v>
      </c>
    </row>
    <row r="53" spans="1:8">
      <c r="A53" s="54"/>
    </row>
    <row r="54" spans="1:8">
      <c r="A54" s="54"/>
    </row>
    <row r="55" spans="1:8">
      <c r="A55" s="54"/>
    </row>
    <row r="56" spans="1:8">
      <c r="A56" s="54"/>
    </row>
    <row r="57" spans="1:8">
      <c r="A57" s="54"/>
    </row>
    <row r="58" spans="1:8">
      <c r="A58" s="54"/>
    </row>
    <row r="59" spans="1:8">
      <c r="A59" s="54"/>
    </row>
    <row r="60" spans="1:8">
      <c r="A60" s="54"/>
    </row>
    <row r="61" spans="1:8">
      <c r="A61" s="54"/>
    </row>
    <row r="62" spans="1:8">
      <c r="A62" s="54"/>
    </row>
    <row r="63" spans="1:8">
      <c r="A63" s="54"/>
    </row>
    <row r="64" spans="1:8">
      <c r="A64" s="54"/>
    </row>
    <row r="65" spans="1:1">
      <c r="A65" s="54"/>
    </row>
    <row r="66" spans="1:1">
      <c r="A66" s="54"/>
    </row>
    <row r="67" spans="1:1">
      <c r="A67" s="54"/>
    </row>
    <row r="68" spans="1:1">
      <c r="A68" s="54"/>
    </row>
    <row r="69" spans="1:1">
      <c r="A69" s="54"/>
    </row>
    <row r="70" spans="1:1">
      <c r="A70" s="54"/>
    </row>
    <row r="71" spans="1:1">
      <c r="A71" s="54"/>
    </row>
    <row r="72" spans="1:1">
      <c r="A72" s="54"/>
    </row>
    <row r="73" spans="1:1">
      <c r="A73" s="54"/>
    </row>
    <row r="74" spans="1:1">
      <c r="A74" s="54"/>
    </row>
    <row r="75" spans="1:1">
      <c r="A75" s="54"/>
    </row>
    <row r="76" spans="1:1">
      <c r="A76" s="54"/>
    </row>
    <row r="77" spans="1:1">
      <c r="A77" s="54"/>
    </row>
    <row r="78" spans="1:1">
      <c r="A78" s="54"/>
    </row>
    <row r="79" spans="1:1">
      <c r="A79" s="54"/>
    </row>
    <row r="80" spans="1:1">
      <c r="A80" s="54"/>
    </row>
    <row r="81" spans="1:1">
      <c r="A81" s="54"/>
    </row>
    <row r="82" spans="1:1">
      <c r="A82" s="54"/>
    </row>
    <row r="83" spans="1:1">
      <c r="A83" s="54"/>
    </row>
    <row r="84" spans="1:1">
      <c r="A84" s="54"/>
    </row>
    <row r="85" spans="1:1">
      <c r="A85" s="54"/>
    </row>
    <row r="86" spans="1:1">
      <c r="A86" s="54"/>
    </row>
    <row r="87" spans="1:1">
      <c r="A87" s="54"/>
    </row>
    <row r="88" spans="1:1">
      <c r="A88" s="54"/>
    </row>
    <row r="89" spans="1:1">
      <c r="A89" s="54"/>
    </row>
    <row r="90" spans="1:1">
      <c r="A90" s="54"/>
    </row>
    <row r="91" spans="1:1">
      <c r="A91" s="54"/>
    </row>
    <row r="92" spans="1:1">
      <c r="A92" s="54"/>
    </row>
    <row r="93" spans="1:1">
      <c r="A93" s="54"/>
    </row>
    <row r="94" spans="1:1">
      <c r="A94" s="54"/>
    </row>
    <row r="95" spans="1:1">
      <c r="A95" s="54"/>
    </row>
    <row r="96" spans="1:1">
      <c r="A96" s="54"/>
    </row>
    <row r="97" spans="1:1">
      <c r="A97" s="54"/>
    </row>
    <row r="98" spans="1:1">
      <c r="A98" s="54"/>
    </row>
    <row r="99" spans="1:1">
      <c r="A99" s="54"/>
    </row>
    <row r="100" spans="1:1">
      <c r="A100" s="54"/>
    </row>
  </sheetData>
  <sortState ref="A3:H52">
    <sortCondition descending="1" ref="C3"/>
  </sortState>
  <customSheetViews>
    <customSheetView guid="{78B3A349-4A6A-4124-974B-C4B81C7019CD}" scale="60" showRuler="0">
      <selection activeCell="D32" sqref="D32"/>
      <pageMargins left="0.78740157499999996" right="0.78740157499999996" top="0.984251969" bottom="0.984251969" header="0.4921259845" footer="0.4921259845"/>
      <headerFooter alignWithMargins="0"/>
    </customSheetView>
    <customSheetView guid="{F48999E8-45B5-4A7E-B3AF-FA7A59AA8144}" scale="60" showRuler="0">
      <selection activeCell="D32" sqref="D32"/>
      <pageMargins left="0.78740157499999996" right="0.78740157499999996" top="0.984251969" bottom="0.984251969" header="0.4921259845" footer="0.4921259845"/>
      <headerFooter alignWithMargins="0"/>
    </customSheetView>
  </customSheetViews>
  <phoneticPr fontId="0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indexed="50"/>
  </sheetPr>
  <dimension ref="A1:U100"/>
  <sheetViews>
    <sheetView tabSelected="1" showOutlineSymbols="0" defaultGridColor="0" colorId="9" zoomScale="120" zoomScaleNormal="120" workbookViewId="0">
      <pane ySplit="16455" topLeftCell="A105"/>
      <selection activeCell="L105" sqref="L105"/>
      <selection pane="bottomLeft" activeCell="B3" sqref="B3:D3"/>
    </sheetView>
  </sheetViews>
  <sheetFormatPr baseColWidth="10" defaultColWidth="11.42578125" defaultRowHeight="15"/>
  <cols>
    <col min="1" max="1" width="10.140625" style="62" customWidth="1"/>
    <col min="2" max="2" width="25" style="43" customWidth="1"/>
    <col min="3" max="3" width="13.28515625" style="43" hidden="1" customWidth="1"/>
    <col min="4" max="4" width="13.140625" style="80" customWidth="1"/>
    <col min="5" max="5" width="3.7109375" style="43" customWidth="1"/>
    <col min="6" max="6" width="10.5703125" style="62" customWidth="1"/>
    <col min="7" max="7" width="26.42578125" style="43" customWidth="1"/>
    <col min="8" max="8" width="0.28515625" style="43" customWidth="1"/>
    <col min="9" max="9" width="12.85546875" style="73" customWidth="1"/>
    <col min="10" max="10" width="6" style="43" customWidth="1"/>
    <col min="11" max="11" width="27.42578125" style="43" customWidth="1"/>
    <col min="12" max="12" width="8.28515625" style="43" customWidth="1"/>
    <col min="13" max="13" width="10" style="43" customWidth="1"/>
    <col min="14" max="16384" width="11.42578125" style="43"/>
  </cols>
  <sheetData>
    <row r="1" spans="1:21" s="77" customFormat="1" ht="30.75" customHeight="1">
      <c r="A1" s="75" t="s">
        <v>41</v>
      </c>
      <c r="B1" s="76" t="s">
        <v>46</v>
      </c>
      <c r="C1" s="76" t="s">
        <v>42</v>
      </c>
      <c r="D1" s="78" t="s">
        <v>47</v>
      </c>
      <c r="E1" s="75"/>
      <c r="F1" s="75" t="str">
        <f>IF(F2&lt;&gt;"","PLATZ","")</f>
        <v/>
      </c>
      <c r="G1" s="76" t="str">
        <f>IF(F2&lt;&gt;"","NAME","")</f>
        <v/>
      </c>
      <c r="H1" s="75"/>
      <c r="I1" s="75" t="str">
        <f>IF(F2&lt;&gt;"","ZEIT IN SEC","")</f>
        <v/>
      </c>
      <c r="U1" s="77">
        <v>1</v>
      </c>
    </row>
    <row r="2" spans="1:21" ht="15.75">
      <c r="A2" s="103" t="str">
        <f>IF(B2&lt;&gt;"",1,"")</f>
        <v/>
      </c>
      <c r="B2" s="104"/>
      <c r="C2" s="105"/>
      <c r="D2" s="106"/>
      <c r="E2" s="103"/>
      <c r="F2" s="103"/>
      <c r="G2" s="105"/>
      <c r="H2" s="105"/>
      <c r="I2" s="109"/>
    </row>
    <row r="3" spans="1:21" ht="15.75">
      <c r="A3" s="103" t="str">
        <f>IF(B3&lt;&gt;"",2,"")</f>
        <v/>
      </c>
      <c r="B3" s="104"/>
      <c r="C3" s="105"/>
      <c r="D3" s="106"/>
      <c r="E3" s="103"/>
      <c r="F3" s="103"/>
      <c r="G3" s="105"/>
      <c r="H3" s="105"/>
      <c r="I3" s="109"/>
    </row>
    <row r="4" spans="1:21" ht="15.75">
      <c r="A4" s="103" t="str">
        <f>IF(B4&lt;&gt;"",3,"")</f>
        <v/>
      </c>
      <c r="B4" s="104"/>
      <c r="C4" s="105"/>
      <c r="D4" s="106"/>
      <c r="E4" s="103"/>
      <c r="F4" s="103"/>
      <c r="G4" s="105"/>
      <c r="H4" s="105"/>
      <c r="I4" s="109"/>
    </row>
    <row r="5" spans="1:21" ht="15.75">
      <c r="A5" s="103" t="str">
        <f>IF(B5&lt;&gt;"",4,"")</f>
        <v/>
      </c>
      <c r="B5" s="104"/>
      <c r="C5" s="105"/>
      <c r="D5" s="106"/>
      <c r="E5" s="103"/>
      <c r="F5" s="103"/>
      <c r="G5" s="105"/>
      <c r="H5" s="105"/>
      <c r="I5" s="109"/>
      <c r="K5" s="111">
        <f>K29</f>
        <v>0</v>
      </c>
      <c r="L5" s="111"/>
      <c r="M5" s="111"/>
      <c r="N5" s="111"/>
    </row>
    <row r="6" spans="1:21" ht="15.75">
      <c r="A6" s="103" t="str">
        <f>IF(B6&lt;&gt;"",5,"")</f>
        <v/>
      </c>
      <c r="B6" s="104"/>
      <c r="C6" s="105"/>
      <c r="D6" s="106"/>
      <c r="E6" s="103"/>
      <c r="F6" s="103"/>
      <c r="G6" s="105"/>
      <c r="H6" s="105"/>
      <c r="I6" s="109"/>
      <c r="K6" s="111"/>
      <c r="L6" s="111"/>
      <c r="M6" s="111"/>
      <c r="N6" s="111"/>
    </row>
    <row r="7" spans="1:21" ht="15.75">
      <c r="A7" s="103" t="str">
        <f>IF(B7&lt;&gt;"",6,"")</f>
        <v/>
      </c>
      <c r="B7" s="104"/>
      <c r="C7" s="105"/>
      <c r="D7" s="106"/>
      <c r="E7" s="103"/>
      <c r="F7" s="103"/>
      <c r="G7" s="105"/>
      <c r="H7" s="105"/>
      <c r="I7" s="109"/>
      <c r="K7" s="111"/>
      <c r="L7" s="111"/>
      <c r="M7" s="111"/>
      <c r="N7" s="111"/>
    </row>
    <row r="8" spans="1:21" ht="15.75">
      <c r="A8" s="103" t="str">
        <f>IF(B8&lt;&gt;"",7,"")</f>
        <v/>
      </c>
      <c r="B8" s="104"/>
      <c r="C8" s="105"/>
      <c r="D8" s="106"/>
      <c r="E8" s="103"/>
      <c r="F8" s="103"/>
      <c r="G8" s="105"/>
      <c r="H8" s="105"/>
      <c r="I8" s="109"/>
      <c r="K8" s="111"/>
      <c r="L8" s="111"/>
      <c r="M8" s="111"/>
      <c r="N8" s="111"/>
    </row>
    <row r="9" spans="1:21" ht="15.75">
      <c r="A9" s="103" t="str">
        <f>IF(B9&lt;&gt;"",8,"")</f>
        <v/>
      </c>
      <c r="B9" s="104"/>
      <c r="C9" s="105"/>
      <c r="D9" s="106"/>
      <c r="E9" s="103"/>
      <c r="F9" s="103"/>
      <c r="G9" s="105"/>
      <c r="H9" s="105"/>
      <c r="I9" s="109"/>
      <c r="K9" s="111"/>
      <c r="L9" s="111"/>
      <c r="M9" s="111"/>
      <c r="N9" s="111"/>
    </row>
    <row r="10" spans="1:21" ht="15.75">
      <c r="A10" s="103" t="str">
        <f>IF(B10&lt;&gt;"",9,"")</f>
        <v/>
      </c>
      <c r="B10" s="104"/>
      <c r="C10" s="105"/>
      <c r="D10" s="106"/>
      <c r="E10" s="103"/>
      <c r="F10" s="103"/>
      <c r="G10" s="105"/>
      <c r="H10" s="105"/>
      <c r="I10" s="109"/>
      <c r="K10" s="111"/>
      <c r="L10" s="111"/>
      <c r="M10" s="111"/>
      <c r="N10" s="111"/>
    </row>
    <row r="11" spans="1:21" ht="15.75">
      <c r="A11" s="103" t="str">
        <f>IF(B11&lt;&gt;"",10,"")</f>
        <v/>
      </c>
      <c r="B11" s="104"/>
      <c r="C11" s="105"/>
      <c r="D11" s="106"/>
      <c r="E11" s="103"/>
      <c r="F11" s="103"/>
      <c r="G11" s="105"/>
      <c r="H11" s="105"/>
      <c r="I11" s="109"/>
      <c r="K11" s="111"/>
      <c r="L11" s="111"/>
      <c r="M11" s="111"/>
      <c r="N11" s="111"/>
    </row>
    <row r="12" spans="1:21" ht="15.75">
      <c r="A12" s="103" t="str">
        <f>IF(B12&lt;&gt;"",11,"")</f>
        <v/>
      </c>
      <c r="B12" s="104"/>
      <c r="C12" s="105"/>
      <c r="D12" s="106"/>
      <c r="E12" s="103"/>
      <c r="F12" s="103"/>
      <c r="G12" s="105"/>
      <c r="H12" s="105"/>
      <c r="I12" s="109"/>
      <c r="K12" s="111"/>
      <c r="L12" s="111"/>
      <c r="M12" s="111"/>
      <c r="N12" s="111"/>
    </row>
    <row r="13" spans="1:21" ht="15.75">
      <c r="A13" s="103" t="str">
        <f>IF(B13&lt;&gt;"",12,"")</f>
        <v/>
      </c>
      <c r="B13" s="104"/>
      <c r="C13" s="105"/>
      <c r="D13" s="106"/>
      <c r="E13" s="103"/>
      <c r="F13" s="103"/>
      <c r="G13" s="105"/>
      <c r="H13" s="105"/>
      <c r="I13" s="109"/>
      <c r="K13" s="111"/>
      <c r="L13" s="111"/>
      <c r="M13" s="111"/>
      <c r="N13" s="111"/>
    </row>
    <row r="14" spans="1:21" ht="15.75">
      <c r="A14" s="103" t="str">
        <f>IF(B14&lt;&gt;"",13,"")</f>
        <v/>
      </c>
      <c r="B14" s="104"/>
      <c r="C14" s="105"/>
      <c r="D14" s="106"/>
      <c r="E14" s="103"/>
      <c r="F14" s="103"/>
      <c r="G14" s="105"/>
      <c r="H14" s="105"/>
      <c r="I14" s="109"/>
      <c r="K14" s="111"/>
      <c r="L14" s="111"/>
      <c r="M14" s="111"/>
      <c r="N14" s="111"/>
    </row>
    <row r="15" spans="1:21" ht="15.75">
      <c r="A15" s="103" t="str">
        <f>IF(B15&lt;&gt;"",14,"")</f>
        <v/>
      </c>
      <c r="B15" s="104"/>
      <c r="C15" s="105"/>
      <c r="D15" s="106"/>
      <c r="E15" s="103"/>
      <c r="F15" s="103"/>
      <c r="G15" s="105"/>
      <c r="H15" s="105"/>
      <c r="I15" s="109"/>
      <c r="K15" s="111"/>
      <c r="L15" s="111"/>
      <c r="M15" s="111"/>
      <c r="N15" s="111"/>
    </row>
    <row r="16" spans="1:21" ht="15.75">
      <c r="A16" s="103" t="str">
        <f>IF(B16&lt;&gt;"",15,"")</f>
        <v/>
      </c>
      <c r="B16" s="104"/>
      <c r="C16" s="105"/>
      <c r="D16" s="106"/>
      <c r="E16" s="103"/>
      <c r="F16" s="103"/>
      <c r="G16" s="105"/>
      <c r="H16" s="105"/>
      <c r="I16" s="109"/>
      <c r="K16" s="111"/>
      <c r="L16" s="111"/>
      <c r="M16" s="111"/>
      <c r="N16" s="111"/>
    </row>
    <row r="17" spans="1:16" ht="15.75">
      <c r="A17" s="103" t="str">
        <f>IF(B17&lt;&gt;"",16,"")</f>
        <v/>
      </c>
      <c r="B17" s="104"/>
      <c r="C17" s="105"/>
      <c r="D17" s="106"/>
      <c r="E17" s="103"/>
      <c r="F17" s="103"/>
      <c r="G17" s="105"/>
      <c r="H17" s="105"/>
      <c r="I17" s="109"/>
      <c r="K17" s="111"/>
      <c r="L17" s="111"/>
      <c r="M17" s="111"/>
      <c r="N17" s="111"/>
    </row>
    <row r="18" spans="1:16" ht="15.75">
      <c r="A18" s="103" t="str">
        <f>IF(B18&lt;&gt;"",17,"")</f>
        <v/>
      </c>
      <c r="B18" s="104"/>
      <c r="C18" s="105"/>
      <c r="D18" s="106"/>
      <c r="E18" s="103"/>
      <c r="F18" s="103"/>
      <c r="G18" s="105"/>
      <c r="H18" s="105"/>
      <c r="I18" s="109"/>
      <c r="K18" s="112" t="str">
        <f>K100</f>
        <v>Schiff 1</v>
      </c>
      <c r="L18" s="113"/>
      <c r="M18" s="113"/>
      <c r="N18" s="114"/>
    </row>
    <row r="19" spans="1:16" ht="18" customHeight="1">
      <c r="A19" s="103" t="str">
        <f>IF(B19&lt;&gt;"",18,"")</f>
        <v/>
      </c>
      <c r="B19" s="104"/>
      <c r="C19" s="105"/>
      <c r="D19" s="106"/>
      <c r="E19" s="103"/>
      <c r="F19" s="103"/>
      <c r="G19" s="105"/>
      <c r="H19" s="105"/>
      <c r="I19" s="109"/>
      <c r="K19" s="115"/>
      <c r="L19" s="116"/>
      <c r="M19" s="116"/>
      <c r="N19" s="117"/>
      <c r="P19" s="107"/>
    </row>
    <row r="20" spans="1:16" ht="15.75">
      <c r="A20" s="103" t="str">
        <f>IF(B20&lt;&gt;"",19,"")</f>
        <v/>
      </c>
      <c r="B20" s="104"/>
      <c r="C20" s="105"/>
      <c r="D20" s="106"/>
      <c r="E20" s="103"/>
      <c r="F20" s="103"/>
      <c r="G20" s="105"/>
      <c r="H20" s="105"/>
      <c r="I20" s="109"/>
      <c r="K20" s="118" t="str">
        <f>L100&amp;"  "&amp;M100</f>
        <v xml:space="preserve">  </v>
      </c>
      <c r="L20" s="119"/>
      <c r="M20" s="119"/>
      <c r="N20" s="120"/>
    </row>
    <row r="21" spans="1:16" ht="15.75">
      <c r="A21" s="103" t="str">
        <f>IF(B21&lt;&gt;"",20,"")</f>
        <v/>
      </c>
      <c r="B21" s="104"/>
      <c r="C21" s="105"/>
      <c r="D21" s="106"/>
      <c r="E21" s="103"/>
      <c r="F21" s="103"/>
      <c r="G21" s="105"/>
      <c r="H21" s="105"/>
      <c r="I21" s="109"/>
      <c r="K21" s="121"/>
      <c r="L21" s="122"/>
      <c r="M21" s="122"/>
      <c r="N21" s="123"/>
    </row>
    <row r="22" spans="1:16" ht="15.75">
      <c r="A22" s="103" t="str">
        <f>IF(B22&lt;&gt;"",21,"")</f>
        <v/>
      </c>
      <c r="B22" s="104"/>
      <c r="C22" s="105"/>
      <c r="D22" s="106"/>
      <c r="E22" s="103"/>
      <c r="F22" s="103"/>
      <c r="G22" s="105"/>
      <c r="H22" s="105"/>
      <c r="I22" s="109"/>
      <c r="K22" s="121"/>
      <c r="L22" s="122"/>
      <c r="M22" s="122"/>
      <c r="N22" s="123"/>
    </row>
    <row r="23" spans="1:16" ht="15.75">
      <c r="A23" s="103" t="str">
        <f>IF(B23&lt;&gt;"",22,"")</f>
        <v/>
      </c>
      <c r="B23" s="104"/>
      <c r="C23" s="105"/>
      <c r="D23" s="106"/>
      <c r="E23" s="103"/>
      <c r="F23" s="103"/>
      <c r="G23" s="105"/>
      <c r="H23" s="105"/>
      <c r="I23" s="109"/>
      <c r="K23" s="124"/>
      <c r="L23" s="125"/>
      <c r="M23" s="125"/>
      <c r="N23" s="126"/>
    </row>
    <row r="24" spans="1:16" ht="15.75">
      <c r="A24" s="103" t="str">
        <f>IF(B24&lt;&gt;"",23,"")</f>
        <v/>
      </c>
      <c r="B24" s="104"/>
      <c r="C24" s="105"/>
      <c r="D24" s="106"/>
      <c r="E24" s="103"/>
      <c r="F24" s="103"/>
      <c r="G24" s="105"/>
      <c r="H24" s="105"/>
      <c r="I24" s="109"/>
    </row>
    <row r="25" spans="1:16" ht="15.75">
      <c r="A25" s="103" t="str">
        <f>IF(B25&lt;&gt;"",24,"")</f>
        <v/>
      </c>
      <c r="B25" s="104"/>
      <c r="C25" s="105"/>
      <c r="D25" s="106"/>
      <c r="E25" s="103"/>
      <c r="F25" s="103"/>
      <c r="G25" s="105"/>
      <c r="H25" s="105"/>
      <c r="I25" s="109"/>
    </row>
    <row r="26" spans="1:16" ht="15.75">
      <c r="A26" s="103" t="str">
        <f>IF(B26&lt;&gt;"",25,"")</f>
        <v/>
      </c>
      <c r="B26" s="104"/>
      <c r="C26" s="108"/>
      <c r="D26" s="106"/>
      <c r="E26" s="103"/>
      <c r="F26" s="103"/>
      <c r="G26" s="105"/>
      <c r="H26" s="105"/>
      <c r="I26" s="109"/>
    </row>
    <row r="27" spans="1:16" ht="15.75">
      <c r="A27" s="61" t="str">
        <f>IF(B27&lt;&gt;"",26,"")</f>
        <v/>
      </c>
      <c r="B27" s="60"/>
      <c r="C27" s="64"/>
      <c r="D27" s="79"/>
      <c r="E27" s="56"/>
      <c r="F27" s="102"/>
      <c r="G27" s="65"/>
      <c r="H27" s="65"/>
    </row>
    <row r="28" spans="1:16" ht="15.75">
      <c r="A28" s="61" t="str">
        <f>IF(B28&lt;&gt;"",27,"")</f>
        <v/>
      </c>
      <c r="B28" s="60"/>
      <c r="C28" s="59"/>
      <c r="D28" s="79"/>
      <c r="E28" s="56"/>
      <c r="F28" s="69" t="s">
        <v>45</v>
      </c>
      <c r="G28" s="46"/>
      <c r="H28" s="65"/>
    </row>
    <row r="29" spans="1:16" ht="17.25">
      <c r="A29" s="61" t="str">
        <f>IF(B29&lt;&gt;"",28,"")</f>
        <v/>
      </c>
      <c r="B29" s="60"/>
      <c r="C29" s="59"/>
      <c r="D29" s="79"/>
      <c r="E29" s="56"/>
      <c r="F29" s="69"/>
      <c r="G29" s="46"/>
      <c r="H29" s="65"/>
      <c r="K29" s="110"/>
      <c r="L29" s="110"/>
    </row>
    <row r="30" spans="1:16" ht="15.75">
      <c r="A30" s="61" t="str">
        <f>IF(B30&lt;&gt;"",29,"")</f>
        <v/>
      </c>
      <c r="B30" s="60"/>
      <c r="C30" s="59"/>
      <c r="D30" s="79"/>
      <c r="E30" s="56"/>
      <c r="F30" s="69" t="s">
        <v>45</v>
      </c>
      <c r="G30" s="46"/>
      <c r="H30" s="65"/>
    </row>
    <row r="31" spans="1:16" ht="15.75">
      <c r="A31" s="61" t="str">
        <f>IF(B31&lt;&gt;"",30,"")</f>
        <v/>
      </c>
      <c r="B31" s="60"/>
      <c r="C31" s="59"/>
      <c r="D31" s="79"/>
      <c r="E31" s="56"/>
      <c r="F31" s="69" t="s">
        <v>45</v>
      </c>
      <c r="G31" s="46"/>
      <c r="H31" s="65"/>
      <c r="I31" s="74"/>
      <c r="J31" s="46"/>
      <c r="K31" s="46"/>
      <c r="L31" s="46"/>
      <c r="M31" s="46"/>
      <c r="N31" s="46"/>
      <c r="O31" s="46"/>
    </row>
    <row r="32" spans="1:16" ht="15.75">
      <c r="A32" s="61" t="str">
        <f>IF(B32&lt;&gt;"",31,"")</f>
        <v/>
      </c>
      <c r="B32" s="60"/>
      <c r="C32" s="46"/>
      <c r="D32" s="79"/>
      <c r="E32" s="46"/>
      <c r="F32" s="70"/>
      <c r="G32" s="46"/>
      <c r="H32" s="65"/>
      <c r="I32" s="74"/>
      <c r="J32" s="46"/>
      <c r="K32" s="46"/>
      <c r="L32" s="46"/>
      <c r="M32" s="46"/>
      <c r="N32" s="46"/>
      <c r="O32" s="46"/>
    </row>
    <row r="33" spans="1:21" ht="15.75">
      <c r="A33" s="61" t="str">
        <f>IF(B33&lt;&gt;"",32,"")</f>
        <v/>
      </c>
      <c r="B33" s="60"/>
      <c r="C33" s="57"/>
      <c r="D33" s="79"/>
      <c r="E33" s="57"/>
      <c r="F33" s="71"/>
      <c r="G33" s="46"/>
      <c r="H33" s="65"/>
      <c r="I33" s="74"/>
      <c r="J33" s="46"/>
      <c r="K33" s="46"/>
      <c r="L33" s="46"/>
      <c r="M33" s="46"/>
      <c r="N33" s="46"/>
      <c r="O33" s="46"/>
    </row>
    <row r="34" spans="1:21" ht="15.75">
      <c r="A34" s="61" t="str">
        <f>IF(B34&lt;&gt;"",33,"")</f>
        <v/>
      </c>
      <c r="B34" s="60"/>
      <c r="C34" s="57"/>
      <c r="D34" s="79"/>
      <c r="E34" s="58"/>
      <c r="F34" s="72"/>
      <c r="G34" s="46"/>
      <c r="H34" s="65"/>
      <c r="I34" s="74"/>
      <c r="J34" s="46"/>
      <c r="K34" s="46"/>
      <c r="L34" s="46"/>
      <c r="M34" s="46"/>
      <c r="N34" s="46"/>
      <c r="O34" s="46"/>
    </row>
    <row r="35" spans="1:21" ht="15.75">
      <c r="A35" s="61" t="str">
        <f>IF(B35&lt;&gt;"",34,"")</f>
        <v/>
      </c>
      <c r="B35" s="60"/>
      <c r="D35" s="79"/>
      <c r="G35" s="44"/>
      <c r="H35" s="65"/>
    </row>
    <row r="36" spans="1:21" ht="12.75" customHeight="1">
      <c r="A36" s="61" t="str">
        <f>IF(B36&lt;&gt;"",35,"")</f>
        <v/>
      </c>
      <c r="B36" s="60"/>
      <c r="D36" s="79"/>
      <c r="H36" s="65"/>
    </row>
    <row r="37" spans="1:21" ht="12.75" customHeight="1">
      <c r="A37" s="61" t="str">
        <f>IF(B37&lt;&gt;"",36,"")</f>
        <v/>
      </c>
      <c r="B37" s="60"/>
      <c r="D37" s="79"/>
      <c r="H37" s="65"/>
    </row>
    <row r="38" spans="1:21" ht="15.75">
      <c r="A38" s="61" t="str">
        <f>IF(B38&lt;&gt;"",37,"")</f>
        <v/>
      </c>
      <c r="B38" s="60"/>
      <c r="D38" s="79"/>
      <c r="H38" s="65"/>
    </row>
    <row r="39" spans="1:21" ht="15.75">
      <c r="A39" s="61" t="str">
        <f>IF(B39&lt;&gt;"",38,"")</f>
        <v/>
      </c>
      <c r="B39" s="60"/>
      <c r="D39" s="79"/>
      <c r="H39" s="65"/>
    </row>
    <row r="40" spans="1:21" s="47" customFormat="1" ht="18">
      <c r="A40" s="61" t="str">
        <f>IF(B40&lt;&gt;"",39,"")</f>
        <v/>
      </c>
      <c r="B40" s="60"/>
      <c r="D40" s="79"/>
      <c r="F40" s="63"/>
      <c r="H40" s="65"/>
      <c r="I40" s="73"/>
    </row>
    <row r="41" spans="1:21" s="47" customFormat="1" ht="18">
      <c r="A41" s="61" t="str">
        <f>IF(B41&lt;&gt;"",40,"")</f>
        <v/>
      </c>
      <c r="B41" s="60"/>
      <c r="D41" s="79"/>
      <c r="F41" s="63"/>
      <c r="H41" s="65"/>
      <c r="I41" s="73"/>
    </row>
    <row r="42" spans="1:21" ht="15.75">
      <c r="A42" s="61" t="str">
        <f>IF(B42&lt;&gt;"",41,"")</f>
        <v/>
      </c>
      <c r="B42" s="60"/>
      <c r="D42" s="79"/>
      <c r="H42" s="65"/>
    </row>
    <row r="43" spans="1:21" ht="15.75">
      <c r="A43" s="61" t="str">
        <f>IF(B43&lt;&gt;"",42,"")</f>
        <v/>
      </c>
      <c r="H43" s="65"/>
    </row>
    <row r="44" spans="1:21" ht="15.75">
      <c r="A44" s="61" t="str">
        <f>IF(B44&lt;&gt;"",43,"")</f>
        <v/>
      </c>
      <c r="H44" s="65"/>
      <c r="U44" s="48"/>
    </row>
    <row r="45" spans="1:21" ht="15.75">
      <c r="A45" s="61" t="str">
        <f>IF(B45&lt;&gt;"",44,"")</f>
        <v/>
      </c>
      <c r="H45" s="65"/>
      <c r="U45" s="48"/>
    </row>
    <row r="46" spans="1:21" ht="15.75">
      <c r="A46" s="61" t="str">
        <f>IF(B46&lt;&gt;"",45,"")</f>
        <v/>
      </c>
      <c r="H46" s="65"/>
    </row>
    <row r="47" spans="1:21" ht="18">
      <c r="A47" s="61" t="str">
        <f>IF(B47&lt;&gt;"",46,"")</f>
        <v/>
      </c>
      <c r="H47" s="65"/>
      <c r="J47" s="47"/>
      <c r="K47" s="47"/>
    </row>
    <row r="48" spans="1:21" ht="15.75">
      <c r="A48" s="61" t="str">
        <f>IF(B48&lt;&gt;"",47,"")</f>
        <v/>
      </c>
      <c r="H48" s="65"/>
    </row>
    <row r="49" spans="1:8" ht="15.75">
      <c r="A49" s="61" t="str">
        <f>IF(B49&lt;&gt;"",48,"")</f>
        <v/>
      </c>
      <c r="H49" s="65"/>
    </row>
    <row r="50" spans="1:8" ht="15.75">
      <c r="A50" s="61" t="str">
        <f>IF(B50&lt;&gt;"",49,"")</f>
        <v/>
      </c>
      <c r="H50" s="65"/>
    </row>
    <row r="51" spans="1:8" ht="15.75">
      <c r="A51" s="61" t="str">
        <f>IF(B51&lt;&gt;"",50,"")</f>
        <v/>
      </c>
      <c r="H51" s="65"/>
    </row>
    <row r="52" spans="1:8" ht="15.75">
      <c r="A52" s="81" t="s">
        <v>48</v>
      </c>
      <c r="B52" s="82"/>
      <c r="C52" s="83"/>
      <c r="D52" s="84"/>
      <c r="E52" s="83"/>
      <c r="H52" s="65"/>
    </row>
    <row r="53" spans="1:8">
      <c r="A53" s="81" t="s">
        <v>49</v>
      </c>
      <c r="B53" s="82" t="s">
        <v>52</v>
      </c>
      <c r="C53" s="83" t="s">
        <v>66</v>
      </c>
      <c r="D53" s="84"/>
      <c r="E53" s="83"/>
    </row>
    <row r="54" spans="1:8">
      <c r="A54" s="81" t="s">
        <v>50</v>
      </c>
      <c r="B54" s="82" t="s">
        <v>51</v>
      </c>
      <c r="C54" s="83"/>
      <c r="D54" s="84"/>
      <c r="E54" s="83"/>
    </row>
    <row r="55" spans="1:8">
      <c r="A55" s="81" t="s">
        <v>65</v>
      </c>
      <c r="B55" s="83">
        <v>10</v>
      </c>
    </row>
    <row r="100" spans="11:12">
      <c r="K100" s="43" t="s">
        <v>67</v>
      </c>
      <c r="L100" s="45" t="str">
        <f>IF(M100&lt;&gt;"","Platz","")</f>
        <v/>
      </c>
    </row>
  </sheetData>
  <customSheetViews>
    <customSheetView guid="{78B3A349-4A6A-4124-974B-C4B81C7019CD}" showGridLines="0" showRowCol="0" outlineSymbols="0" zeroValues="0" showRuler="0">
      <pane ySplit="41" topLeftCell="A80" activePane="bottomLeft" state="frozenSplit"/>
      <selection pane="bottomLeft" activeCell="K29" sqref="K29:L29"/>
      <pageMargins left="0.78740157499999996" right="0.78740157499999996" top="0.984251969" bottom="0.984251969" header="0.4921259845" footer="0.4921259845"/>
      <pageSetup paperSize="9" orientation="portrait" horizontalDpi="1200" verticalDpi="1200" r:id="rId1"/>
      <headerFooter alignWithMargins="0"/>
    </customSheetView>
    <customSheetView guid="{F48999E8-45B5-4A7E-B3AF-FA7A59AA8144}" showGridLines="0" showRowCol="0" outlineSymbols="0" zeroValues="0" showRuler="0">
      <pane ySplit="42" topLeftCell="A79" activePane="bottomLeft" state="frozenSplit"/>
      <selection pane="bottomLeft" activeCell="K29" sqref="K29:L29"/>
      <pageMargins left="0.78740157499999996" right="0.78740157499999996" top="0.984251969" bottom="0.984251969" header="0.4921259845" footer="0.4921259845"/>
      <pageSetup paperSize="9" orientation="portrait" horizontalDpi="1200" verticalDpi="1200" r:id="rId2"/>
      <headerFooter alignWithMargins="0"/>
    </customSheetView>
  </customSheetViews>
  <mergeCells count="4">
    <mergeCell ref="K29:L29"/>
    <mergeCell ref="K5:N17"/>
    <mergeCell ref="K18:N19"/>
    <mergeCell ref="K20:N23"/>
  </mergeCells>
  <phoneticPr fontId="0" type="noConversion"/>
  <pageMargins left="0.78740157499999996" right="0.78740157499999996" top="0.984251969" bottom="0.984251969" header="0.4921259845" footer="0.4921259845"/>
  <pageSetup paperSize="9" orientation="portrait" horizontalDpi="1200" verticalDpi="1200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6" name="Button 10">
              <controlPr locked="0" defaultSize="0" print="0" autoFill="0" autoPict="0" macro="[0]!test">
                <anchor moveWithCells="1" sizeWithCells="1">
                  <from>
                    <xdr:col>10</xdr:col>
                    <xdr:colOff>1409700</xdr:colOff>
                    <xdr:row>0</xdr:row>
                    <xdr:rowOff>66675</xdr:rowOff>
                  </from>
                  <to>
                    <xdr:col>11</xdr:col>
                    <xdr:colOff>485775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Drop Down 11">
              <controlPr locked="0" defaultSize="0" autoLine="0" autoPict="0" macro="[0]!Dropdown11_BeiÄnderung">
                <anchor moveWithCells="1">
                  <from>
                    <xdr:col>12</xdr:col>
                    <xdr:colOff>0</xdr:colOff>
                    <xdr:row>0</xdr:row>
                    <xdr:rowOff>57150</xdr:rowOff>
                  </from>
                  <to>
                    <xdr:col>13</xdr:col>
                    <xdr:colOff>742950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8" name="Button 14">
              <controlPr locked="0" defaultSize="0" print="0" autoFill="0" autoPict="0" macro="[0]!UrkundenErstellen">
                <anchor moveWithCells="1" sizeWithCells="1">
                  <from>
                    <xdr:col>14</xdr:col>
                    <xdr:colOff>66675</xdr:colOff>
                    <xdr:row>0</xdr:row>
                    <xdr:rowOff>38100</xdr:rowOff>
                  </from>
                  <to>
                    <xdr:col>15</xdr:col>
                    <xdr:colOff>457200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9" name="Button 21">
              <controlPr defaultSize="0" print="0" autoFill="0" autoPict="0" macro="[0]!Connect">
                <anchor moveWithCells="1" sizeWithCells="1">
                  <from>
                    <xdr:col>2</xdr:col>
                    <xdr:colOff>0</xdr:colOff>
                    <xdr:row>50</xdr:row>
                    <xdr:rowOff>190500</xdr:rowOff>
                  </from>
                  <to>
                    <xdr:col>4</xdr:col>
                    <xdr:colOff>238125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0" name="Button 22">
              <controlPr defaultSize="0" print="0" autoFill="0" autoPict="0" macro="[0]!Messwert1">
                <anchor moveWithCells="1" sizeWithCells="1">
                  <from>
                    <xdr:col>8</xdr:col>
                    <xdr:colOff>752475</xdr:colOff>
                    <xdr:row>0</xdr:row>
                    <xdr:rowOff>47625</xdr:rowOff>
                  </from>
                  <to>
                    <xdr:col>10</xdr:col>
                    <xdr:colOff>381000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1" name="Button 24">
              <controlPr defaultSize="0" print="0" autoFill="0" autoPict="0" macro="[0]!Messwert2">
                <anchor moveWithCells="1" sizeWithCells="1">
                  <from>
                    <xdr:col>10</xdr:col>
                    <xdr:colOff>419100</xdr:colOff>
                    <xdr:row>0</xdr:row>
                    <xdr:rowOff>47625</xdr:rowOff>
                  </from>
                  <to>
                    <xdr:col>10</xdr:col>
                    <xdr:colOff>1304925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B1:I1"/>
  <sheetViews>
    <sheetView workbookViewId="0">
      <selection activeCell="B2" sqref="B2:BE2"/>
    </sheetView>
  </sheetViews>
  <sheetFormatPr baseColWidth="10" defaultRowHeight="12.75"/>
  <cols>
    <col min="2" max="2" width="16.7109375" customWidth="1"/>
    <col min="3" max="3" width="0.5703125" customWidth="1"/>
    <col min="5" max="5" width="1" customWidth="1"/>
    <col min="6" max="6" width="6" customWidth="1"/>
    <col min="9" max="9" width="35.85546875" customWidth="1"/>
  </cols>
  <sheetData>
    <row r="1" spans="2:9" s="88" customFormat="1" ht="15">
      <c r="B1" s="88" t="s">
        <v>53</v>
      </c>
      <c r="C1" s="88" t="s">
        <v>54</v>
      </c>
      <c r="D1" s="88" t="s">
        <v>42</v>
      </c>
      <c r="G1" s="88" t="s">
        <v>29</v>
      </c>
      <c r="I1" s="88" t="s">
        <v>16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E324"/>
  <sheetViews>
    <sheetView zoomScale="75" workbookViewId="0">
      <selection activeCell="I63" sqref="I63"/>
    </sheetView>
  </sheetViews>
  <sheetFormatPr baseColWidth="10" defaultColWidth="11.42578125" defaultRowHeight="12.75"/>
  <cols>
    <col min="1" max="1" width="6.7109375" style="20" customWidth="1"/>
    <col min="2" max="2" width="22" style="40" customWidth="1"/>
    <col min="3" max="3" width="22.28515625" style="91" customWidth="1"/>
    <col min="4" max="4" width="35.28515625" style="15" customWidth="1"/>
    <col min="5" max="5" width="41" style="31" customWidth="1"/>
    <col min="6" max="16384" width="11.42578125" style="13"/>
  </cols>
  <sheetData>
    <row r="1" spans="1:5" s="21" customFormat="1" ht="32.25" customHeight="1">
      <c r="A1" s="127" t="s">
        <v>58</v>
      </c>
      <c r="B1" s="128"/>
      <c r="C1" s="129"/>
      <c r="D1" s="128"/>
      <c r="E1" s="28"/>
    </row>
    <row r="3" spans="1:5" s="16" customFormat="1" ht="15.75">
      <c r="A3" s="12" t="s">
        <v>29</v>
      </c>
      <c r="B3" s="27" t="s">
        <v>30</v>
      </c>
      <c r="C3" s="89" t="s">
        <v>57</v>
      </c>
      <c r="D3" s="12" t="s">
        <v>38</v>
      </c>
      <c r="E3" s="29" t="s">
        <v>17</v>
      </c>
    </row>
    <row r="4" spans="1:5" s="17" customFormat="1" ht="15.75">
      <c r="A4" s="18">
        <v>1</v>
      </c>
      <c r="B4" s="92">
        <f>Schnellster!B2</f>
        <v>0</v>
      </c>
      <c r="C4" s="93">
        <f>Schnellster!D2</f>
        <v>0</v>
      </c>
      <c r="D4" s="94">
        <f>Schnellster!I2</f>
        <v>0</v>
      </c>
      <c r="E4" s="95"/>
    </row>
    <row r="5" spans="1:5" s="17" customFormat="1" ht="15.75">
      <c r="A5" s="18">
        <v>2</v>
      </c>
      <c r="B5" s="92">
        <f>Schnellster!B3</f>
        <v>0</v>
      </c>
      <c r="C5" s="93">
        <f>Schnellster!D3</f>
        <v>0</v>
      </c>
      <c r="D5" s="94">
        <f>Schnellster!I3</f>
        <v>0</v>
      </c>
      <c r="E5" s="95"/>
    </row>
    <row r="6" spans="1:5" s="17" customFormat="1" ht="15.75">
      <c r="A6" s="18">
        <v>3</v>
      </c>
      <c r="B6" s="92">
        <f>Schnellster!B4</f>
        <v>0</v>
      </c>
      <c r="C6" s="93">
        <f>Schnellster!D4</f>
        <v>0</v>
      </c>
      <c r="D6" s="94">
        <f>Schnellster!I4</f>
        <v>0</v>
      </c>
      <c r="E6" s="95"/>
    </row>
    <row r="7" spans="1:5" s="17" customFormat="1" ht="15.75">
      <c r="A7" s="18">
        <v>4</v>
      </c>
      <c r="B7" s="92">
        <f>Schnellster!B5</f>
        <v>0</v>
      </c>
      <c r="C7" s="93">
        <f>Schnellster!D5</f>
        <v>0</v>
      </c>
      <c r="D7" s="94">
        <f>Schnellster!I5</f>
        <v>0</v>
      </c>
      <c r="E7" s="95"/>
    </row>
    <row r="8" spans="1:5" s="17" customFormat="1" ht="15.75">
      <c r="A8" s="18">
        <v>5</v>
      </c>
      <c r="B8" s="92">
        <f>Schnellster!B6</f>
        <v>0</v>
      </c>
      <c r="C8" s="93">
        <f>Schnellster!D6</f>
        <v>0</v>
      </c>
      <c r="D8" s="94">
        <f>Schnellster!I6</f>
        <v>0</v>
      </c>
      <c r="E8" s="95"/>
    </row>
    <row r="9" spans="1:5" s="17" customFormat="1" ht="15.75">
      <c r="A9" s="18">
        <v>6</v>
      </c>
      <c r="B9" s="92">
        <f>Schnellster!B7</f>
        <v>0</v>
      </c>
      <c r="C9" s="93">
        <f>Schnellster!D7</f>
        <v>0</v>
      </c>
      <c r="D9" s="94">
        <f>Schnellster!I7</f>
        <v>0</v>
      </c>
      <c r="E9" s="95"/>
    </row>
    <row r="10" spans="1:5" s="17" customFormat="1" ht="15.75">
      <c r="A10" s="18">
        <v>7</v>
      </c>
      <c r="B10" s="92">
        <f>Schnellster!B8</f>
        <v>0</v>
      </c>
      <c r="C10" s="93">
        <f>Schnellster!D8</f>
        <v>0</v>
      </c>
      <c r="D10" s="94">
        <f>Schnellster!I8</f>
        <v>0</v>
      </c>
      <c r="E10" s="95"/>
    </row>
    <row r="11" spans="1:5" s="17" customFormat="1" ht="15.75">
      <c r="A11" s="18">
        <v>8</v>
      </c>
      <c r="B11" s="92">
        <f>Schnellster!B9</f>
        <v>0</v>
      </c>
      <c r="C11" s="93">
        <f>Schnellster!D9</f>
        <v>0</v>
      </c>
      <c r="D11" s="94">
        <f>Schnellster!I9</f>
        <v>0</v>
      </c>
      <c r="E11" s="95"/>
    </row>
    <row r="12" spans="1:5" ht="15.75">
      <c r="A12" s="18">
        <v>9</v>
      </c>
      <c r="B12" s="92">
        <f>Schnellster!B10</f>
        <v>0</v>
      </c>
      <c r="C12" s="93">
        <f>Schnellster!D10</f>
        <v>0</v>
      </c>
      <c r="D12" s="94">
        <f>Schnellster!I10</f>
        <v>0</v>
      </c>
      <c r="E12" s="95"/>
    </row>
    <row r="13" spans="1:5" ht="15.75">
      <c r="A13" s="18">
        <v>10</v>
      </c>
      <c r="B13" s="92">
        <f>Schnellster!B11</f>
        <v>0</v>
      </c>
      <c r="C13" s="93">
        <f>Schnellster!D11</f>
        <v>0</v>
      </c>
      <c r="D13" s="94">
        <f>Schnellster!I11</f>
        <v>0</v>
      </c>
      <c r="E13" s="95"/>
    </row>
    <row r="14" spans="1:5" ht="15.75">
      <c r="A14" s="18">
        <v>11</v>
      </c>
      <c r="B14" s="92">
        <f>Schnellster!B12</f>
        <v>0</v>
      </c>
      <c r="C14" s="93">
        <f>Schnellster!D12</f>
        <v>0</v>
      </c>
      <c r="D14" s="94">
        <f>Schnellster!I12</f>
        <v>0</v>
      </c>
      <c r="E14" s="95"/>
    </row>
    <row r="15" spans="1:5" ht="15.75">
      <c r="A15" s="18">
        <v>12</v>
      </c>
      <c r="B15" s="92">
        <f>Schnellster!B13</f>
        <v>0</v>
      </c>
      <c r="C15" s="93">
        <f>Schnellster!D13</f>
        <v>0</v>
      </c>
      <c r="D15" s="94">
        <f>Schnellster!I13</f>
        <v>0</v>
      </c>
      <c r="E15" s="95"/>
    </row>
    <row r="16" spans="1:5" ht="15.75">
      <c r="A16" s="18">
        <v>13</v>
      </c>
      <c r="B16" s="92">
        <f>Schnellster!B14</f>
        <v>0</v>
      </c>
      <c r="C16" s="93">
        <f>Schnellster!D14</f>
        <v>0</v>
      </c>
      <c r="D16" s="94">
        <f>Schnellster!I14</f>
        <v>0</v>
      </c>
      <c r="E16" s="95"/>
    </row>
    <row r="17" spans="1:5" ht="15.75">
      <c r="A17" s="18">
        <v>14</v>
      </c>
      <c r="B17" s="92">
        <f>Schnellster!B15</f>
        <v>0</v>
      </c>
      <c r="C17" s="93">
        <f>Schnellster!D15</f>
        <v>0</v>
      </c>
      <c r="D17" s="94">
        <f>Schnellster!I15</f>
        <v>0</v>
      </c>
      <c r="E17" s="95"/>
    </row>
    <row r="18" spans="1:5" ht="15.75">
      <c r="A18" s="18">
        <v>15</v>
      </c>
      <c r="B18" s="92">
        <f>Schnellster!B16</f>
        <v>0</v>
      </c>
      <c r="C18" s="93">
        <f>Schnellster!D16</f>
        <v>0</v>
      </c>
      <c r="D18" s="94">
        <f>Schnellster!I16</f>
        <v>0</v>
      </c>
      <c r="E18" s="95"/>
    </row>
    <row r="19" spans="1:5" ht="15.75">
      <c r="A19" s="18">
        <v>16</v>
      </c>
      <c r="B19" s="92">
        <f>Schnellster!B17</f>
        <v>0</v>
      </c>
      <c r="C19" s="93">
        <f>Schnellster!D17</f>
        <v>0</v>
      </c>
      <c r="D19" s="94">
        <f>Schnellster!I17</f>
        <v>0</v>
      </c>
      <c r="E19" s="95"/>
    </row>
    <row r="20" spans="1:5" ht="15.75">
      <c r="A20" s="18">
        <v>17</v>
      </c>
      <c r="B20" s="92">
        <f>Schnellster!B18</f>
        <v>0</v>
      </c>
      <c r="C20" s="93">
        <f>Schnellster!D18</f>
        <v>0</v>
      </c>
      <c r="D20" s="94">
        <f>Schnellster!I18</f>
        <v>0</v>
      </c>
      <c r="E20" s="95"/>
    </row>
    <row r="21" spans="1:5" ht="15.75">
      <c r="A21" s="18">
        <v>18</v>
      </c>
      <c r="B21" s="92">
        <f>Schnellster!B19</f>
        <v>0</v>
      </c>
      <c r="C21" s="93">
        <f>Schnellster!D19</f>
        <v>0</v>
      </c>
      <c r="D21" s="94">
        <f>Schnellster!I19</f>
        <v>0</v>
      </c>
      <c r="E21" s="95"/>
    </row>
    <row r="22" spans="1:5" ht="15.75">
      <c r="A22" s="18">
        <v>19</v>
      </c>
      <c r="B22" s="92">
        <f>Schnellster!B20</f>
        <v>0</v>
      </c>
      <c r="C22" s="93">
        <f>Schnellster!D20</f>
        <v>0</v>
      </c>
      <c r="D22" s="94">
        <f>Schnellster!I20</f>
        <v>0</v>
      </c>
      <c r="E22" s="95"/>
    </row>
    <row r="23" spans="1:5" ht="15.75">
      <c r="A23" s="18">
        <v>20</v>
      </c>
      <c r="B23" s="92">
        <f>Schnellster!B21</f>
        <v>0</v>
      </c>
      <c r="C23" s="93">
        <f>Schnellster!D21</f>
        <v>0</v>
      </c>
      <c r="D23" s="94">
        <f>Schnellster!I21</f>
        <v>0</v>
      </c>
      <c r="E23" s="95"/>
    </row>
    <row r="24" spans="1:5" ht="15.75">
      <c r="A24" s="18">
        <v>21</v>
      </c>
      <c r="B24" s="92">
        <f>Schnellster!B22</f>
        <v>0</v>
      </c>
      <c r="C24" s="93">
        <f>Schnellster!D22</f>
        <v>0</v>
      </c>
      <c r="D24" s="94">
        <f>Schnellster!I22</f>
        <v>0</v>
      </c>
      <c r="E24" s="95"/>
    </row>
    <row r="25" spans="1:5" ht="15.75">
      <c r="A25" s="18">
        <v>22</v>
      </c>
      <c r="B25" s="92">
        <f>Schnellster!B23</f>
        <v>0</v>
      </c>
      <c r="C25" s="93">
        <f>Schnellster!D23</f>
        <v>0</v>
      </c>
      <c r="D25" s="94">
        <f>Schnellster!I23</f>
        <v>0</v>
      </c>
      <c r="E25" s="95"/>
    </row>
    <row r="26" spans="1:5" ht="15.75">
      <c r="A26" s="18">
        <v>23</v>
      </c>
      <c r="B26" s="92">
        <f>Schnellster!B24</f>
        <v>0</v>
      </c>
      <c r="C26" s="93">
        <f>Schnellster!D24</f>
        <v>0</v>
      </c>
      <c r="D26" s="94">
        <f>Schnellster!I24</f>
        <v>0</v>
      </c>
      <c r="E26" s="95"/>
    </row>
    <row r="27" spans="1:5" ht="15.75">
      <c r="A27" s="18">
        <v>24</v>
      </c>
      <c r="B27" s="92">
        <f>Schnellster!B25</f>
        <v>0</v>
      </c>
      <c r="C27" s="93">
        <f>Schnellster!D25</f>
        <v>0</v>
      </c>
      <c r="D27" s="94">
        <f>Schnellster!I25</f>
        <v>0</v>
      </c>
      <c r="E27" s="95"/>
    </row>
    <row r="28" spans="1:5" ht="15.75">
      <c r="A28" s="18">
        <v>25</v>
      </c>
      <c r="B28" s="92">
        <f>Schnellster!B26</f>
        <v>0</v>
      </c>
      <c r="C28" s="93">
        <f>Schnellster!D26</f>
        <v>0</v>
      </c>
      <c r="D28" s="94">
        <f>Schnellster!I26</f>
        <v>0</v>
      </c>
      <c r="E28" s="95"/>
    </row>
    <row r="29" spans="1:5" ht="15.75">
      <c r="A29" s="18">
        <v>26</v>
      </c>
      <c r="B29" s="92">
        <f>Schnellster!B27</f>
        <v>0</v>
      </c>
      <c r="C29" s="93">
        <f>Schnellster!D27</f>
        <v>0</v>
      </c>
      <c r="D29" s="94">
        <f>Schnellster!I27</f>
        <v>0</v>
      </c>
      <c r="E29" s="95"/>
    </row>
    <row r="30" spans="1:5" ht="15.75">
      <c r="A30" s="18">
        <v>27</v>
      </c>
      <c r="B30" s="92">
        <f>Schnellster!B28</f>
        <v>0</v>
      </c>
      <c r="C30" s="93">
        <f>Schnellster!D28</f>
        <v>0</v>
      </c>
      <c r="D30" s="94">
        <f>Schnellster!I28</f>
        <v>0</v>
      </c>
      <c r="E30" s="95"/>
    </row>
    <row r="31" spans="1:5" ht="15.75">
      <c r="A31" s="18">
        <v>28</v>
      </c>
      <c r="B31" s="92">
        <f>Schnellster!B29</f>
        <v>0</v>
      </c>
      <c r="C31" s="93">
        <f>Schnellster!D29</f>
        <v>0</v>
      </c>
      <c r="D31" s="94">
        <f>Schnellster!I29</f>
        <v>0</v>
      </c>
      <c r="E31" s="95"/>
    </row>
    <row r="32" spans="1:5" ht="15.75">
      <c r="A32" s="18">
        <v>29</v>
      </c>
      <c r="B32" s="92">
        <f>Schnellster!B30</f>
        <v>0</v>
      </c>
      <c r="C32" s="93">
        <f>Schnellster!D30</f>
        <v>0</v>
      </c>
      <c r="D32" s="94">
        <f>Schnellster!I30</f>
        <v>0</v>
      </c>
      <c r="E32" s="95"/>
    </row>
    <row r="33" spans="1:5" ht="15.75">
      <c r="A33" s="18">
        <v>30</v>
      </c>
      <c r="B33" s="92">
        <f>Schnellster!B31</f>
        <v>0</v>
      </c>
      <c r="C33" s="93">
        <f>Schnellster!D31</f>
        <v>0</v>
      </c>
      <c r="D33" s="94">
        <f>Schnellster!I31</f>
        <v>0</v>
      </c>
      <c r="E33" s="95"/>
    </row>
    <row r="34" spans="1:5" ht="15.75">
      <c r="A34" s="18">
        <v>31</v>
      </c>
      <c r="B34" s="92">
        <f>Schnellster!B32</f>
        <v>0</v>
      </c>
      <c r="C34" s="93">
        <f>Schnellster!D32</f>
        <v>0</v>
      </c>
      <c r="D34" s="94">
        <f>Schnellster!I32</f>
        <v>0</v>
      </c>
      <c r="E34" s="95"/>
    </row>
    <row r="35" spans="1:5" ht="15.75">
      <c r="A35" s="18">
        <v>32</v>
      </c>
      <c r="B35" s="92">
        <f>Schnellster!B33</f>
        <v>0</v>
      </c>
      <c r="C35" s="93">
        <f>Schnellster!D33</f>
        <v>0</v>
      </c>
      <c r="D35" s="94">
        <f>Schnellster!I33</f>
        <v>0</v>
      </c>
      <c r="E35" s="95"/>
    </row>
    <row r="36" spans="1:5" ht="15.75">
      <c r="A36" s="18">
        <v>33</v>
      </c>
      <c r="B36" s="92">
        <f>Schnellster!B34</f>
        <v>0</v>
      </c>
      <c r="C36" s="93">
        <f>Schnellster!D34</f>
        <v>0</v>
      </c>
      <c r="D36" s="94">
        <f>Schnellster!I34</f>
        <v>0</v>
      </c>
      <c r="E36" s="95"/>
    </row>
    <row r="37" spans="1:5" ht="15.75">
      <c r="A37" s="18">
        <v>34</v>
      </c>
      <c r="B37" s="92">
        <f>Schnellster!B35</f>
        <v>0</v>
      </c>
      <c r="C37" s="93">
        <f>Schnellster!D35</f>
        <v>0</v>
      </c>
      <c r="D37" s="94">
        <f>Schnellster!I35</f>
        <v>0</v>
      </c>
      <c r="E37" s="95"/>
    </row>
    <row r="38" spans="1:5" ht="15.75">
      <c r="A38" s="18">
        <v>35</v>
      </c>
      <c r="B38" s="92">
        <f>Schnellster!B36</f>
        <v>0</v>
      </c>
      <c r="C38" s="93">
        <f>Schnellster!D36</f>
        <v>0</v>
      </c>
      <c r="D38" s="94">
        <f>Schnellster!I36</f>
        <v>0</v>
      </c>
      <c r="E38" s="95"/>
    </row>
    <row r="39" spans="1:5" ht="15.75">
      <c r="A39" s="18">
        <v>36</v>
      </c>
      <c r="B39" s="92">
        <f>Schnellster!B37</f>
        <v>0</v>
      </c>
      <c r="C39" s="93">
        <f>Schnellster!D37</f>
        <v>0</v>
      </c>
      <c r="D39" s="94">
        <f>Schnellster!I37</f>
        <v>0</v>
      </c>
      <c r="E39" s="95"/>
    </row>
    <row r="40" spans="1:5" ht="15.75">
      <c r="A40" s="18">
        <v>37</v>
      </c>
      <c r="B40" s="92">
        <f>Schnellster!B38</f>
        <v>0</v>
      </c>
      <c r="C40" s="93">
        <f>Schnellster!D38</f>
        <v>0</v>
      </c>
      <c r="D40" s="94">
        <f>Schnellster!I38</f>
        <v>0</v>
      </c>
      <c r="E40" s="95"/>
    </row>
    <row r="41" spans="1:5" ht="15.75">
      <c r="A41" s="18">
        <v>38</v>
      </c>
      <c r="B41" s="92">
        <f>Schnellster!B39</f>
        <v>0</v>
      </c>
      <c r="C41" s="93">
        <f>Schnellster!D39</f>
        <v>0</v>
      </c>
      <c r="D41" s="94">
        <f>Schnellster!I39</f>
        <v>0</v>
      </c>
      <c r="E41" s="95"/>
    </row>
    <row r="42" spans="1:5" ht="15.75">
      <c r="A42" s="18">
        <v>39</v>
      </c>
      <c r="B42" s="92">
        <f>Schnellster!B40</f>
        <v>0</v>
      </c>
      <c r="C42" s="93">
        <f>Schnellster!D40</f>
        <v>0</v>
      </c>
      <c r="D42" s="94">
        <f>Schnellster!I40</f>
        <v>0</v>
      </c>
      <c r="E42" s="95"/>
    </row>
    <row r="43" spans="1:5" ht="15.75">
      <c r="A43" s="18">
        <v>40</v>
      </c>
      <c r="B43" s="92">
        <f>Schnellster!B41</f>
        <v>0</v>
      </c>
      <c r="C43" s="93">
        <f>Schnellster!D41</f>
        <v>0</v>
      </c>
      <c r="D43" s="94">
        <f>Schnellster!I41</f>
        <v>0</v>
      </c>
      <c r="E43" s="95"/>
    </row>
    <row r="44" spans="1:5" ht="15.75">
      <c r="A44" s="18">
        <v>41</v>
      </c>
      <c r="B44" s="92">
        <f>Schnellster!B42</f>
        <v>0</v>
      </c>
      <c r="C44" s="93">
        <f>Schnellster!D42</f>
        <v>0</v>
      </c>
      <c r="D44" s="94">
        <f>Schnellster!I42</f>
        <v>0</v>
      </c>
      <c r="E44" s="95"/>
    </row>
    <row r="45" spans="1:5" ht="15.75">
      <c r="A45" s="18">
        <v>42</v>
      </c>
      <c r="B45" s="92">
        <f>Schnellster!B43</f>
        <v>0</v>
      </c>
      <c r="C45" s="93">
        <f>Schnellster!D43</f>
        <v>0</v>
      </c>
      <c r="D45" s="94">
        <f>Schnellster!I43</f>
        <v>0</v>
      </c>
      <c r="E45" s="95"/>
    </row>
    <row r="46" spans="1:5" ht="15.75">
      <c r="A46" s="18">
        <v>43</v>
      </c>
      <c r="B46" s="92">
        <f>Schnellster!B44</f>
        <v>0</v>
      </c>
      <c r="C46" s="93">
        <f>Schnellster!D44</f>
        <v>0</v>
      </c>
      <c r="D46" s="94">
        <f>Schnellster!I44</f>
        <v>0</v>
      </c>
      <c r="E46" s="95"/>
    </row>
    <row r="47" spans="1:5" ht="15.75">
      <c r="A47" s="18">
        <v>44</v>
      </c>
      <c r="B47" s="92">
        <f>Schnellster!B45</f>
        <v>0</v>
      </c>
      <c r="C47" s="93">
        <f>Schnellster!D45</f>
        <v>0</v>
      </c>
      <c r="D47" s="94">
        <f>Schnellster!I45</f>
        <v>0</v>
      </c>
      <c r="E47" s="95"/>
    </row>
    <row r="48" spans="1:5" ht="15.75">
      <c r="A48" s="18">
        <v>45</v>
      </c>
      <c r="B48" s="92">
        <f>Schnellster!B46</f>
        <v>0</v>
      </c>
      <c r="C48" s="93">
        <f>Schnellster!D46</f>
        <v>0</v>
      </c>
      <c r="D48" s="94">
        <f>Schnellster!I46</f>
        <v>0</v>
      </c>
      <c r="E48" s="95"/>
    </row>
    <row r="49" spans="1:5" ht="15.75">
      <c r="A49" s="18">
        <v>46</v>
      </c>
      <c r="B49" s="92">
        <f>Schnellster!B47</f>
        <v>0</v>
      </c>
      <c r="C49" s="93">
        <f>Schnellster!D47</f>
        <v>0</v>
      </c>
      <c r="D49" s="94">
        <f>Schnellster!I47</f>
        <v>0</v>
      </c>
      <c r="E49" s="95"/>
    </row>
    <row r="50" spans="1:5" ht="15.75">
      <c r="A50" s="18">
        <v>47</v>
      </c>
      <c r="B50" s="92">
        <f>Schnellster!B48</f>
        <v>0</v>
      </c>
      <c r="C50" s="93">
        <f>Schnellster!D48</f>
        <v>0</v>
      </c>
      <c r="D50" s="94">
        <f>Schnellster!I48</f>
        <v>0</v>
      </c>
      <c r="E50" s="95"/>
    </row>
    <row r="51" spans="1:5" ht="15.75">
      <c r="A51" s="18">
        <v>48</v>
      </c>
      <c r="B51" s="92">
        <f>Schnellster!B49</f>
        <v>0</v>
      </c>
      <c r="C51" s="93">
        <f>Schnellster!D49</f>
        <v>0</v>
      </c>
      <c r="D51" s="94">
        <f>Schnellster!I49</f>
        <v>0</v>
      </c>
      <c r="E51" s="95"/>
    </row>
    <row r="52" spans="1:5" ht="15.75">
      <c r="A52" s="18">
        <v>49</v>
      </c>
      <c r="B52" s="92">
        <f>Schnellster!B50</f>
        <v>0</v>
      </c>
      <c r="C52" s="93">
        <f>Schnellster!D50</f>
        <v>0</v>
      </c>
      <c r="D52" s="94">
        <f>Schnellster!I50</f>
        <v>0</v>
      </c>
      <c r="E52" s="95"/>
    </row>
    <row r="53" spans="1:5" ht="15.75">
      <c r="A53" s="18">
        <v>50</v>
      </c>
      <c r="B53" s="92">
        <f>Schnellster!B51</f>
        <v>0</v>
      </c>
      <c r="C53" s="93">
        <f>Schnellster!D51</f>
        <v>0</v>
      </c>
      <c r="D53" s="94">
        <f>Schnellster!I51</f>
        <v>0</v>
      </c>
      <c r="E53" s="95"/>
    </row>
    <row r="54" spans="1:5" ht="15.75">
      <c r="A54" s="18">
        <v>51</v>
      </c>
      <c r="B54" s="92">
        <f>Schnellster!B52</f>
        <v>0</v>
      </c>
      <c r="C54" s="93">
        <f>Schnellster!D52</f>
        <v>0</v>
      </c>
      <c r="D54" s="94">
        <f>Schnellster!I52</f>
        <v>0</v>
      </c>
      <c r="E54" s="95"/>
    </row>
    <row r="55" spans="1:5" ht="15.75">
      <c r="A55" s="18">
        <v>52</v>
      </c>
      <c r="B55" s="92">
        <f>Schnellster!B53</f>
        <v>0</v>
      </c>
      <c r="C55" s="93">
        <f>Schnellster!D53</f>
        <v>0</v>
      </c>
      <c r="D55" s="94">
        <f>Schnellster!I53</f>
        <v>0</v>
      </c>
      <c r="E55" s="95"/>
    </row>
    <row r="56" spans="1:5" ht="15.75">
      <c r="A56" s="18">
        <v>53</v>
      </c>
      <c r="B56" s="92">
        <f>Schnellster!B54</f>
        <v>0</v>
      </c>
      <c r="C56" s="93">
        <f>Schnellster!D54</f>
        <v>0</v>
      </c>
      <c r="D56" s="94">
        <f>Schnellster!I54</f>
        <v>0</v>
      </c>
      <c r="E56" s="95"/>
    </row>
    <row r="57" spans="1:5" ht="15.75">
      <c r="A57" s="18">
        <v>54</v>
      </c>
      <c r="B57" s="92">
        <f>Schnellster!B55</f>
        <v>0</v>
      </c>
      <c r="C57" s="93">
        <f>Schnellster!D55</f>
        <v>0</v>
      </c>
      <c r="D57" s="94">
        <f>Schnellster!I55</f>
        <v>0</v>
      </c>
      <c r="E57" s="95"/>
    </row>
    <row r="58" spans="1:5" ht="15.75">
      <c r="A58" s="18">
        <v>55</v>
      </c>
      <c r="B58" s="92">
        <f>Schnellster!B56</f>
        <v>0</v>
      </c>
      <c r="C58" s="93">
        <f>Schnellster!D56</f>
        <v>0</v>
      </c>
      <c r="D58" s="94">
        <f>Schnellster!I56</f>
        <v>0</v>
      </c>
      <c r="E58" s="95"/>
    </row>
    <row r="59" spans="1:5" ht="15.75">
      <c r="A59" s="18">
        <v>56</v>
      </c>
      <c r="B59" s="92">
        <f>Schnellster!B57</f>
        <v>0</v>
      </c>
      <c r="C59" s="93">
        <f>Schnellster!D57</f>
        <v>0</v>
      </c>
      <c r="D59" s="94">
        <f>Schnellster!I57</f>
        <v>0</v>
      </c>
      <c r="E59" s="95"/>
    </row>
    <row r="60" spans="1:5" ht="15.75">
      <c r="A60" s="18">
        <v>57</v>
      </c>
      <c r="B60" s="92">
        <f>Schnellster!B58</f>
        <v>0</v>
      </c>
      <c r="C60" s="93">
        <f>Schnellster!D58</f>
        <v>0</v>
      </c>
      <c r="D60" s="94">
        <f>Schnellster!I58</f>
        <v>0</v>
      </c>
      <c r="E60" s="95"/>
    </row>
    <row r="61" spans="1:5" ht="15.75">
      <c r="A61" s="18">
        <v>58</v>
      </c>
      <c r="B61" s="92">
        <f>Schnellster!B59</f>
        <v>0</v>
      </c>
      <c r="C61" s="93">
        <f>Schnellster!D59</f>
        <v>0</v>
      </c>
      <c r="D61" s="94">
        <f>Schnellster!I59</f>
        <v>0</v>
      </c>
      <c r="E61" s="95"/>
    </row>
    <row r="62" spans="1:5" ht="15.75">
      <c r="A62" s="18">
        <v>59</v>
      </c>
      <c r="B62" s="92">
        <f>Schnellster!B60</f>
        <v>0</v>
      </c>
      <c r="C62" s="93">
        <f>Schnellster!D60</f>
        <v>0</v>
      </c>
      <c r="D62" s="94">
        <f>Schnellster!I60</f>
        <v>0</v>
      </c>
      <c r="E62" s="95"/>
    </row>
    <row r="63" spans="1:5" ht="15.75">
      <c r="A63" s="18">
        <v>60</v>
      </c>
      <c r="B63" s="92">
        <f>Schnellster!B61</f>
        <v>0</v>
      </c>
      <c r="C63" s="93">
        <f>Schnellster!D61</f>
        <v>0</v>
      </c>
      <c r="D63" s="94">
        <f>Schnellster!I61</f>
        <v>0</v>
      </c>
      <c r="E63" s="95"/>
    </row>
    <row r="64" spans="1:5" ht="15.75">
      <c r="A64" s="18">
        <v>61</v>
      </c>
      <c r="B64" s="92">
        <f>Schnellster!B62</f>
        <v>0</v>
      </c>
      <c r="C64" s="93">
        <f>Schnellster!D62</f>
        <v>0</v>
      </c>
      <c r="D64" s="94">
        <f>Schnellster!I62</f>
        <v>0</v>
      </c>
      <c r="E64" s="95"/>
    </row>
    <row r="65" spans="1:5" ht="15.75">
      <c r="A65" s="18">
        <v>62</v>
      </c>
      <c r="B65" s="92">
        <f>Schnellster!B63</f>
        <v>0</v>
      </c>
      <c r="C65" s="93">
        <f>Schnellster!D63</f>
        <v>0</v>
      </c>
      <c r="D65" s="94">
        <f>Schnellster!I63</f>
        <v>0</v>
      </c>
      <c r="E65" s="95"/>
    </row>
    <row r="66" spans="1:5" ht="15.75">
      <c r="A66" s="18">
        <v>63</v>
      </c>
      <c r="B66" s="92">
        <f>Schnellster!B64</f>
        <v>0</v>
      </c>
      <c r="C66" s="93">
        <f>Schnellster!D64</f>
        <v>0</v>
      </c>
      <c r="D66" s="94">
        <f>Schnellster!I64</f>
        <v>0</v>
      </c>
      <c r="E66" s="95"/>
    </row>
    <row r="67" spans="1:5" ht="15.75">
      <c r="A67" s="18">
        <v>64</v>
      </c>
      <c r="B67" s="92">
        <f>Schnellster!B65</f>
        <v>0</v>
      </c>
      <c r="C67" s="93">
        <f>Schnellster!D65</f>
        <v>0</v>
      </c>
      <c r="D67" s="94">
        <f>Schnellster!I65</f>
        <v>0</v>
      </c>
      <c r="E67" s="95"/>
    </row>
    <row r="68" spans="1:5" ht="15.75">
      <c r="A68" s="18">
        <v>65</v>
      </c>
      <c r="B68" s="92">
        <f>Schnellster!B66</f>
        <v>0</v>
      </c>
      <c r="C68" s="93">
        <f>Schnellster!D66</f>
        <v>0</v>
      </c>
      <c r="D68" s="94">
        <f>Schnellster!I66</f>
        <v>0</v>
      </c>
      <c r="E68" s="95"/>
    </row>
    <row r="69" spans="1:5" ht="15.75">
      <c r="A69" s="18">
        <v>66</v>
      </c>
      <c r="B69" s="92">
        <f>Schnellster!B67</f>
        <v>0</v>
      </c>
      <c r="C69" s="93">
        <f>Schnellster!D67</f>
        <v>0</v>
      </c>
      <c r="D69" s="94">
        <f>Schnellster!I67</f>
        <v>0</v>
      </c>
      <c r="E69" s="95"/>
    </row>
    <row r="70" spans="1:5" ht="15.75">
      <c r="A70" s="18">
        <v>67</v>
      </c>
      <c r="B70" s="92">
        <f>Schnellster!B68</f>
        <v>0</v>
      </c>
      <c r="C70" s="93">
        <f>Schnellster!D68</f>
        <v>0</v>
      </c>
      <c r="D70" s="94">
        <f>Schnellster!I68</f>
        <v>0</v>
      </c>
      <c r="E70" s="95"/>
    </row>
    <row r="71" spans="1:5" ht="15.75">
      <c r="A71" s="18">
        <v>68</v>
      </c>
      <c r="B71" s="92">
        <f>Schnellster!B69</f>
        <v>0</v>
      </c>
      <c r="C71" s="93">
        <f>Schnellster!D69</f>
        <v>0</v>
      </c>
      <c r="D71" s="94">
        <f>Schnellster!I69</f>
        <v>0</v>
      </c>
      <c r="E71" s="95"/>
    </row>
    <row r="72" spans="1:5" ht="15.75">
      <c r="A72" s="18">
        <v>69</v>
      </c>
      <c r="B72" s="92">
        <f>Schnellster!B70</f>
        <v>0</v>
      </c>
      <c r="C72" s="93">
        <f>Schnellster!D70</f>
        <v>0</v>
      </c>
      <c r="D72" s="94">
        <f>Schnellster!I70</f>
        <v>0</v>
      </c>
      <c r="E72" s="95"/>
    </row>
    <row r="73" spans="1:5" ht="15.75">
      <c r="A73" s="18">
        <v>70</v>
      </c>
      <c r="B73" s="92">
        <f>Schnellster!B71</f>
        <v>0</v>
      </c>
      <c r="C73" s="93">
        <f>Schnellster!D71</f>
        <v>0</v>
      </c>
      <c r="D73" s="94">
        <f>Schnellster!I71</f>
        <v>0</v>
      </c>
      <c r="E73" s="95"/>
    </row>
    <row r="74" spans="1:5" ht="15.75">
      <c r="A74" s="18">
        <v>71</v>
      </c>
      <c r="B74" s="92">
        <f>Schnellster!B72</f>
        <v>0</v>
      </c>
      <c r="C74" s="93">
        <f>Schnellster!D72</f>
        <v>0</v>
      </c>
      <c r="D74" s="94">
        <f>Schnellster!I72</f>
        <v>0</v>
      </c>
      <c r="E74" s="95"/>
    </row>
    <row r="75" spans="1:5" ht="15.75">
      <c r="A75" s="18">
        <v>72</v>
      </c>
      <c r="B75" s="92">
        <f>Schnellster!B73</f>
        <v>0</v>
      </c>
      <c r="C75" s="93">
        <f>Schnellster!D73</f>
        <v>0</v>
      </c>
      <c r="D75" s="94">
        <f>Schnellster!I73</f>
        <v>0</v>
      </c>
      <c r="E75" s="95"/>
    </row>
    <row r="76" spans="1:5" ht="15.75">
      <c r="A76" s="18">
        <v>73</v>
      </c>
      <c r="B76" s="92">
        <f>Schnellster!B74</f>
        <v>0</v>
      </c>
      <c r="C76" s="93">
        <f>Schnellster!D74</f>
        <v>0</v>
      </c>
      <c r="D76" s="94">
        <f>Schnellster!I74</f>
        <v>0</v>
      </c>
      <c r="E76" s="95"/>
    </row>
    <row r="77" spans="1:5" ht="15.75">
      <c r="A77" s="18">
        <v>74</v>
      </c>
      <c r="B77" s="92">
        <f>Schnellster!B75</f>
        <v>0</v>
      </c>
      <c r="C77" s="93">
        <f>Schnellster!D75</f>
        <v>0</v>
      </c>
      <c r="D77" s="94">
        <f>Schnellster!I75</f>
        <v>0</v>
      </c>
      <c r="E77" s="95"/>
    </row>
    <row r="78" spans="1:5" ht="15.75">
      <c r="A78" s="18">
        <v>75</v>
      </c>
      <c r="B78" s="92">
        <f>Schnellster!B76</f>
        <v>0</v>
      </c>
      <c r="C78" s="93">
        <f>Schnellster!D76</f>
        <v>0</v>
      </c>
      <c r="D78" s="94">
        <f>Schnellster!I76</f>
        <v>0</v>
      </c>
      <c r="E78" s="95"/>
    </row>
    <row r="79" spans="1:5" ht="15.75">
      <c r="A79" s="18">
        <v>76</v>
      </c>
      <c r="B79" s="92">
        <f>Schnellster!B77</f>
        <v>0</v>
      </c>
      <c r="C79" s="93">
        <f>Schnellster!D77</f>
        <v>0</v>
      </c>
      <c r="D79" s="94">
        <f>Schnellster!I77</f>
        <v>0</v>
      </c>
      <c r="E79" s="95"/>
    </row>
    <row r="80" spans="1:5" ht="15.75">
      <c r="A80" s="18">
        <v>77</v>
      </c>
      <c r="B80" s="92">
        <f>Schnellster!B78</f>
        <v>0</v>
      </c>
      <c r="C80" s="93">
        <f>Schnellster!D78</f>
        <v>0</v>
      </c>
      <c r="D80" s="94">
        <f>Schnellster!I78</f>
        <v>0</v>
      </c>
      <c r="E80" s="95"/>
    </row>
    <row r="81" spans="1:5" ht="15.75">
      <c r="A81" s="18">
        <v>78</v>
      </c>
      <c r="B81" s="92">
        <f>Schnellster!B79</f>
        <v>0</v>
      </c>
      <c r="C81" s="93">
        <f>Schnellster!D79</f>
        <v>0</v>
      </c>
      <c r="D81" s="94">
        <f>Schnellster!I79</f>
        <v>0</v>
      </c>
      <c r="E81" s="95"/>
    </row>
    <row r="82" spans="1:5" ht="15.75">
      <c r="A82" s="18">
        <v>79</v>
      </c>
      <c r="B82" s="92">
        <f>Schnellster!B80</f>
        <v>0</v>
      </c>
      <c r="C82" s="93">
        <f>Schnellster!D80</f>
        <v>0</v>
      </c>
      <c r="D82" s="94">
        <f>Schnellster!I80</f>
        <v>0</v>
      </c>
      <c r="E82" s="95"/>
    </row>
    <row r="83" spans="1:5" ht="15.75">
      <c r="A83" s="18">
        <v>80</v>
      </c>
      <c r="B83" s="92">
        <f>Schnellster!B81</f>
        <v>0</v>
      </c>
      <c r="C83" s="93">
        <f>Schnellster!D81</f>
        <v>0</v>
      </c>
      <c r="D83" s="94">
        <f>Schnellster!I81</f>
        <v>0</v>
      </c>
      <c r="E83" s="95"/>
    </row>
    <row r="84" spans="1:5" ht="15.75">
      <c r="A84" s="18">
        <v>81</v>
      </c>
      <c r="B84" s="92">
        <f>Schnellster!B82</f>
        <v>0</v>
      </c>
      <c r="C84" s="93">
        <f>Schnellster!D82</f>
        <v>0</v>
      </c>
      <c r="D84" s="94">
        <f>Schnellster!I82</f>
        <v>0</v>
      </c>
      <c r="E84" s="95"/>
    </row>
    <row r="85" spans="1:5" ht="15.75">
      <c r="A85" s="18">
        <v>82</v>
      </c>
      <c r="B85" s="92">
        <f>Schnellster!B83</f>
        <v>0</v>
      </c>
      <c r="C85" s="93">
        <f>Schnellster!D83</f>
        <v>0</v>
      </c>
      <c r="D85" s="94">
        <f>Schnellster!I83</f>
        <v>0</v>
      </c>
      <c r="E85" s="95"/>
    </row>
    <row r="86" spans="1:5" ht="15.75">
      <c r="A86" s="18">
        <v>83</v>
      </c>
      <c r="B86" s="92">
        <f>Schnellster!B84</f>
        <v>0</v>
      </c>
      <c r="C86" s="93">
        <f>Schnellster!D84</f>
        <v>0</v>
      </c>
      <c r="D86" s="94">
        <f>Schnellster!I84</f>
        <v>0</v>
      </c>
      <c r="E86" s="95"/>
    </row>
    <row r="87" spans="1:5" ht="15.75">
      <c r="A87" s="18">
        <v>84</v>
      </c>
      <c r="B87" s="92">
        <f>Schnellster!B85</f>
        <v>0</v>
      </c>
      <c r="C87" s="93">
        <f>Schnellster!D85</f>
        <v>0</v>
      </c>
      <c r="D87" s="94">
        <f>Schnellster!I85</f>
        <v>0</v>
      </c>
      <c r="E87" s="95"/>
    </row>
    <row r="88" spans="1:5" ht="15.75">
      <c r="A88" s="18">
        <v>85</v>
      </c>
      <c r="B88" s="92">
        <f>Schnellster!B86</f>
        <v>0</v>
      </c>
      <c r="C88" s="93">
        <f>Schnellster!D86</f>
        <v>0</v>
      </c>
      <c r="D88" s="94">
        <f>Schnellster!I86</f>
        <v>0</v>
      </c>
      <c r="E88" s="95"/>
    </row>
    <row r="89" spans="1:5" ht="15.75">
      <c r="A89" s="18">
        <v>86</v>
      </c>
      <c r="B89" s="92">
        <f>Schnellster!B87</f>
        <v>0</v>
      </c>
      <c r="C89" s="93">
        <f>Schnellster!D87</f>
        <v>0</v>
      </c>
      <c r="D89" s="94">
        <f>Schnellster!I87</f>
        <v>0</v>
      </c>
      <c r="E89" s="95"/>
    </row>
    <row r="90" spans="1:5" ht="15.75">
      <c r="A90" s="18">
        <v>87</v>
      </c>
      <c r="B90" s="92">
        <f>Schnellster!B88</f>
        <v>0</v>
      </c>
      <c r="C90" s="93">
        <f>Schnellster!D88</f>
        <v>0</v>
      </c>
      <c r="D90" s="94">
        <f>Schnellster!I88</f>
        <v>0</v>
      </c>
      <c r="E90" s="95"/>
    </row>
    <row r="91" spans="1:5" ht="15.75">
      <c r="A91" s="18">
        <v>88</v>
      </c>
      <c r="B91" s="92">
        <f>Schnellster!B89</f>
        <v>0</v>
      </c>
      <c r="C91" s="93">
        <f>Schnellster!D89</f>
        <v>0</v>
      </c>
      <c r="D91" s="94">
        <f>Schnellster!I89</f>
        <v>0</v>
      </c>
      <c r="E91" s="95"/>
    </row>
    <row r="92" spans="1:5" ht="15.75">
      <c r="A92" s="18">
        <v>89</v>
      </c>
      <c r="B92" s="92">
        <f>Schnellster!B90</f>
        <v>0</v>
      </c>
      <c r="C92" s="93">
        <f>Schnellster!D90</f>
        <v>0</v>
      </c>
      <c r="D92" s="94">
        <f>Schnellster!I90</f>
        <v>0</v>
      </c>
      <c r="E92" s="95"/>
    </row>
    <row r="93" spans="1:5" ht="15.75">
      <c r="A93" s="18">
        <v>90</v>
      </c>
      <c r="B93" s="92">
        <f>Schnellster!B91</f>
        <v>0</v>
      </c>
      <c r="C93" s="93">
        <f>Schnellster!D91</f>
        <v>0</v>
      </c>
      <c r="D93" s="94">
        <f>Schnellster!I91</f>
        <v>0</v>
      </c>
      <c r="E93" s="95"/>
    </row>
    <row r="94" spans="1:5" ht="15.75">
      <c r="A94" s="18">
        <v>91</v>
      </c>
      <c r="B94" s="92">
        <f>Schnellster!B92</f>
        <v>0</v>
      </c>
      <c r="C94" s="93">
        <f>Schnellster!D92</f>
        <v>0</v>
      </c>
      <c r="D94" s="94">
        <f>Schnellster!I92</f>
        <v>0</v>
      </c>
      <c r="E94" s="95"/>
    </row>
    <row r="95" spans="1:5" ht="15.75">
      <c r="A95" s="18">
        <v>92</v>
      </c>
      <c r="B95" s="92">
        <f>Schnellster!B93</f>
        <v>0</v>
      </c>
      <c r="C95" s="93">
        <f>Schnellster!D93</f>
        <v>0</v>
      </c>
      <c r="D95" s="94">
        <f>Schnellster!I93</f>
        <v>0</v>
      </c>
      <c r="E95" s="95"/>
    </row>
    <row r="96" spans="1:5" ht="15.75">
      <c r="A96" s="18">
        <v>93</v>
      </c>
      <c r="B96" s="92">
        <f>Schnellster!B94</f>
        <v>0</v>
      </c>
      <c r="C96" s="93">
        <f>Schnellster!D94</f>
        <v>0</v>
      </c>
      <c r="D96" s="94">
        <f>Schnellster!I94</f>
        <v>0</v>
      </c>
      <c r="E96" s="95"/>
    </row>
    <row r="97" spans="1:5" ht="15.75">
      <c r="A97" s="18">
        <v>94</v>
      </c>
      <c r="B97" s="92">
        <f>Schnellster!B95</f>
        <v>0</v>
      </c>
      <c r="C97" s="93">
        <f>Schnellster!D95</f>
        <v>0</v>
      </c>
      <c r="D97" s="94">
        <f>Schnellster!I95</f>
        <v>0</v>
      </c>
      <c r="E97" s="95"/>
    </row>
    <row r="98" spans="1:5" ht="15.75">
      <c r="A98" s="18">
        <v>95</v>
      </c>
      <c r="B98" s="92">
        <f>Schnellster!B96</f>
        <v>0</v>
      </c>
      <c r="C98" s="93">
        <f>Schnellster!D96</f>
        <v>0</v>
      </c>
      <c r="D98" s="94">
        <f>Schnellster!I96</f>
        <v>0</v>
      </c>
      <c r="E98" s="95"/>
    </row>
    <row r="99" spans="1:5" ht="15.75">
      <c r="A99" s="18">
        <v>96</v>
      </c>
      <c r="B99" s="92">
        <f>Schnellster!B97</f>
        <v>0</v>
      </c>
      <c r="C99" s="93">
        <f>Schnellster!D97</f>
        <v>0</v>
      </c>
      <c r="D99" s="94">
        <f>Schnellster!I97</f>
        <v>0</v>
      </c>
      <c r="E99" s="95"/>
    </row>
    <row r="100" spans="1:5" ht="15.75">
      <c r="A100" s="18">
        <v>97</v>
      </c>
      <c r="B100" s="92">
        <f>Schnellster!B98</f>
        <v>0</v>
      </c>
      <c r="C100" s="93">
        <f>Schnellster!D98</f>
        <v>0</v>
      </c>
      <c r="D100" s="94">
        <f>Schnellster!I98</f>
        <v>0</v>
      </c>
      <c r="E100" s="95"/>
    </row>
    <row r="101" spans="1:5" ht="15.75">
      <c r="A101" s="18">
        <v>98</v>
      </c>
      <c r="B101" s="92">
        <f>Schnellster!B99</f>
        <v>0</v>
      </c>
      <c r="C101" s="93">
        <f>Schnellster!D99</f>
        <v>0</v>
      </c>
      <c r="D101" s="94">
        <f>Schnellster!I99</f>
        <v>0</v>
      </c>
      <c r="E101" s="95"/>
    </row>
    <row r="102" spans="1:5" ht="15.75">
      <c r="A102" s="18">
        <v>99</v>
      </c>
      <c r="B102" s="92">
        <f>Schnellster!B100</f>
        <v>0</v>
      </c>
      <c r="C102" s="93">
        <f>Schnellster!D100</f>
        <v>0</v>
      </c>
      <c r="D102" s="94">
        <f>Schnellster!I100</f>
        <v>0</v>
      </c>
      <c r="E102" s="95"/>
    </row>
    <row r="103" spans="1:5" ht="15.75">
      <c r="A103" s="18">
        <v>100</v>
      </c>
      <c r="B103" s="92">
        <f>Schnellster!B101</f>
        <v>0</v>
      </c>
      <c r="C103" s="93">
        <f>Schnellster!D101</f>
        <v>0</v>
      </c>
      <c r="D103" s="94">
        <f>Schnellster!I101</f>
        <v>0</v>
      </c>
      <c r="E103" s="95"/>
    </row>
    <row r="104" spans="1:5" ht="15.75">
      <c r="A104" s="18">
        <v>101</v>
      </c>
      <c r="B104" s="92">
        <f>Schnellster!B102</f>
        <v>0</v>
      </c>
      <c r="C104" s="93">
        <f>Schnellster!D102</f>
        <v>0</v>
      </c>
      <c r="D104" s="94">
        <f>Schnellster!I102</f>
        <v>0</v>
      </c>
      <c r="E104" s="95"/>
    </row>
    <row r="105" spans="1:5" ht="15.75">
      <c r="A105" s="18">
        <v>102</v>
      </c>
      <c r="B105" s="92">
        <f>Schnellster!B103</f>
        <v>0</v>
      </c>
      <c r="C105" s="93">
        <f>Schnellster!D103</f>
        <v>0</v>
      </c>
      <c r="D105" s="94">
        <f>Schnellster!I103</f>
        <v>0</v>
      </c>
      <c r="E105" s="95"/>
    </row>
    <row r="106" spans="1:5" ht="15.75">
      <c r="A106" s="18">
        <v>103</v>
      </c>
      <c r="B106" s="92">
        <f>Schnellster!B104</f>
        <v>0</v>
      </c>
      <c r="C106" s="93">
        <f>Schnellster!D104</f>
        <v>0</v>
      </c>
      <c r="D106" s="94">
        <f>Schnellster!I104</f>
        <v>0</v>
      </c>
      <c r="E106" s="95"/>
    </row>
    <row r="107" spans="1:5" ht="15.75">
      <c r="A107" s="18">
        <v>104</v>
      </c>
      <c r="B107" s="92">
        <f>Schnellster!B105</f>
        <v>0</v>
      </c>
      <c r="C107" s="93">
        <f>Schnellster!D105</f>
        <v>0</v>
      </c>
      <c r="D107" s="94">
        <f>Schnellster!I105</f>
        <v>0</v>
      </c>
      <c r="E107" s="95"/>
    </row>
    <row r="108" spans="1:5" ht="15.75">
      <c r="A108" s="18">
        <v>105</v>
      </c>
      <c r="B108" s="92">
        <f>Schnellster!B106</f>
        <v>0</v>
      </c>
      <c r="C108" s="93">
        <f>Schnellster!D106</f>
        <v>0</v>
      </c>
      <c r="D108" s="94">
        <f>Schnellster!I106</f>
        <v>0</v>
      </c>
      <c r="E108" s="95"/>
    </row>
    <row r="109" spans="1:5" ht="15.75">
      <c r="A109" s="18">
        <v>106</v>
      </c>
      <c r="B109" s="92">
        <f>Schnellster!B107</f>
        <v>0</v>
      </c>
      <c r="C109" s="93">
        <f>Schnellster!D107</f>
        <v>0</v>
      </c>
      <c r="D109" s="94">
        <f>Schnellster!I107</f>
        <v>0</v>
      </c>
      <c r="E109" s="95"/>
    </row>
    <row r="110" spans="1:5" ht="15.75">
      <c r="A110" s="18">
        <v>107</v>
      </c>
      <c r="B110" s="92">
        <f>Schnellster!B108</f>
        <v>0</v>
      </c>
      <c r="C110" s="93">
        <f>Schnellster!D108</f>
        <v>0</v>
      </c>
      <c r="D110" s="94">
        <f>Schnellster!I108</f>
        <v>0</v>
      </c>
      <c r="E110" s="95"/>
    </row>
    <row r="111" spans="1:5" ht="15.75">
      <c r="A111" s="18">
        <v>108</v>
      </c>
      <c r="B111" s="92">
        <f>Schnellster!B109</f>
        <v>0</v>
      </c>
      <c r="C111" s="93">
        <f>Schnellster!D109</f>
        <v>0</v>
      </c>
      <c r="D111" s="94">
        <f>Schnellster!I109</f>
        <v>0</v>
      </c>
      <c r="E111" s="95"/>
    </row>
    <row r="112" spans="1:5" ht="15.75">
      <c r="A112" s="18">
        <v>109</v>
      </c>
      <c r="B112" s="92">
        <f>Schnellster!B110</f>
        <v>0</v>
      </c>
      <c r="C112" s="93">
        <f>Schnellster!D110</f>
        <v>0</v>
      </c>
      <c r="D112" s="94">
        <f>Schnellster!I110</f>
        <v>0</v>
      </c>
      <c r="E112" s="95"/>
    </row>
    <row r="113" spans="1:5" ht="15.75">
      <c r="A113" s="18">
        <v>110</v>
      </c>
      <c r="B113" s="92">
        <f>Schnellster!B111</f>
        <v>0</v>
      </c>
      <c r="C113" s="93">
        <f>Schnellster!D111</f>
        <v>0</v>
      </c>
      <c r="D113" s="94">
        <f>Schnellster!I111</f>
        <v>0</v>
      </c>
      <c r="E113" s="95"/>
    </row>
    <row r="114" spans="1:5" ht="15.75">
      <c r="A114" s="18">
        <v>111</v>
      </c>
      <c r="B114" s="92">
        <f>Schnellster!B112</f>
        <v>0</v>
      </c>
      <c r="C114" s="93">
        <f>Schnellster!D112</f>
        <v>0</v>
      </c>
      <c r="D114" s="94">
        <f>Schnellster!I112</f>
        <v>0</v>
      </c>
      <c r="E114" s="95"/>
    </row>
    <row r="115" spans="1:5" ht="15.75">
      <c r="A115" s="18">
        <v>112</v>
      </c>
      <c r="B115" s="92">
        <f>Schnellster!B113</f>
        <v>0</v>
      </c>
      <c r="C115" s="93">
        <f>Schnellster!D113</f>
        <v>0</v>
      </c>
      <c r="D115" s="94">
        <f>Schnellster!I113</f>
        <v>0</v>
      </c>
      <c r="E115" s="95"/>
    </row>
    <row r="116" spans="1:5" ht="15.75">
      <c r="A116" s="18">
        <v>113</v>
      </c>
      <c r="B116" s="92">
        <f>Schnellster!B114</f>
        <v>0</v>
      </c>
      <c r="C116" s="93">
        <f>Schnellster!D114</f>
        <v>0</v>
      </c>
      <c r="D116" s="94">
        <f>Schnellster!I114</f>
        <v>0</v>
      </c>
      <c r="E116" s="95"/>
    </row>
    <row r="117" spans="1:5" ht="15.75">
      <c r="A117" s="18">
        <v>114</v>
      </c>
      <c r="B117" s="92">
        <f>Schnellster!B115</f>
        <v>0</v>
      </c>
      <c r="C117" s="93">
        <f>Schnellster!D115</f>
        <v>0</v>
      </c>
      <c r="D117" s="94">
        <f>Schnellster!I115</f>
        <v>0</v>
      </c>
      <c r="E117" s="95"/>
    </row>
    <row r="118" spans="1:5" ht="15.75">
      <c r="A118" s="18">
        <v>115</v>
      </c>
      <c r="B118" s="92">
        <f>Schnellster!B116</f>
        <v>0</v>
      </c>
      <c r="C118" s="93">
        <f>Schnellster!D116</f>
        <v>0</v>
      </c>
      <c r="D118" s="94">
        <f>Schnellster!I116</f>
        <v>0</v>
      </c>
      <c r="E118" s="95"/>
    </row>
    <row r="119" spans="1:5" ht="15.75">
      <c r="A119" s="18">
        <v>116</v>
      </c>
      <c r="B119" s="92">
        <f>Schnellster!B117</f>
        <v>0</v>
      </c>
      <c r="C119" s="93">
        <f>Schnellster!D117</f>
        <v>0</v>
      </c>
      <c r="D119" s="94">
        <f>Schnellster!I117</f>
        <v>0</v>
      </c>
      <c r="E119" s="95"/>
    </row>
    <row r="120" spans="1:5" ht="15.75">
      <c r="A120" s="18">
        <v>117</v>
      </c>
      <c r="B120" s="92">
        <f>Schnellster!B118</f>
        <v>0</v>
      </c>
      <c r="C120" s="93">
        <f>Schnellster!D118</f>
        <v>0</v>
      </c>
      <c r="D120" s="94">
        <f>Schnellster!I118</f>
        <v>0</v>
      </c>
      <c r="E120" s="95"/>
    </row>
    <row r="121" spans="1:5" ht="15.75">
      <c r="A121" s="18">
        <v>118</v>
      </c>
      <c r="B121" s="92">
        <f>Schnellster!B119</f>
        <v>0</v>
      </c>
      <c r="C121" s="93">
        <f>Schnellster!D119</f>
        <v>0</v>
      </c>
      <c r="D121" s="94">
        <f>Schnellster!I119</f>
        <v>0</v>
      </c>
      <c r="E121" s="95"/>
    </row>
    <row r="122" spans="1:5" ht="15.75">
      <c r="A122" s="18">
        <v>119</v>
      </c>
      <c r="B122" s="92">
        <f>Schnellster!B120</f>
        <v>0</v>
      </c>
      <c r="C122" s="93">
        <f>Schnellster!D120</f>
        <v>0</v>
      </c>
      <c r="D122" s="94">
        <f>Schnellster!I120</f>
        <v>0</v>
      </c>
      <c r="E122" s="95"/>
    </row>
    <row r="123" spans="1:5" ht="15.75">
      <c r="A123" s="18">
        <v>120</v>
      </c>
      <c r="B123" s="92">
        <f>Schnellster!B121</f>
        <v>0</v>
      </c>
      <c r="C123" s="93">
        <f>Schnellster!D121</f>
        <v>0</v>
      </c>
      <c r="D123" s="94">
        <f>Schnellster!I121</f>
        <v>0</v>
      </c>
      <c r="E123" s="95"/>
    </row>
    <row r="124" spans="1:5" ht="15.75">
      <c r="A124" s="18">
        <v>121</v>
      </c>
      <c r="B124" s="92">
        <f>Schnellster!B122</f>
        <v>0</v>
      </c>
      <c r="C124" s="93">
        <f>Schnellster!D122</f>
        <v>0</v>
      </c>
      <c r="D124" s="94">
        <f>Schnellster!I122</f>
        <v>0</v>
      </c>
      <c r="E124" s="95"/>
    </row>
    <row r="125" spans="1:5" ht="15.75">
      <c r="A125" s="18">
        <v>122</v>
      </c>
      <c r="B125" s="92">
        <f>Schnellster!B123</f>
        <v>0</v>
      </c>
      <c r="C125" s="93">
        <f>Schnellster!D123</f>
        <v>0</v>
      </c>
      <c r="D125" s="94">
        <f>Schnellster!I123</f>
        <v>0</v>
      </c>
      <c r="E125" s="95"/>
    </row>
    <row r="126" spans="1:5" ht="15.75">
      <c r="A126" s="18">
        <v>123</v>
      </c>
      <c r="B126" s="92">
        <f>Schnellster!B124</f>
        <v>0</v>
      </c>
      <c r="C126" s="93">
        <f>Schnellster!D124</f>
        <v>0</v>
      </c>
      <c r="D126" s="94">
        <f>Schnellster!I124</f>
        <v>0</v>
      </c>
      <c r="E126" s="95"/>
    </row>
    <row r="127" spans="1:5" ht="15.75">
      <c r="A127" s="18">
        <v>124</v>
      </c>
      <c r="B127" s="92">
        <f>Schnellster!B125</f>
        <v>0</v>
      </c>
      <c r="C127" s="93">
        <f>Schnellster!D125</f>
        <v>0</v>
      </c>
      <c r="D127" s="94">
        <f>Schnellster!I125</f>
        <v>0</v>
      </c>
      <c r="E127" s="95"/>
    </row>
    <row r="128" spans="1:5" ht="15.75">
      <c r="A128" s="18">
        <v>125</v>
      </c>
      <c r="B128" s="92">
        <f>Schnellster!B126</f>
        <v>0</v>
      </c>
      <c r="C128" s="93">
        <f>Schnellster!D126</f>
        <v>0</v>
      </c>
      <c r="D128" s="94">
        <f>Schnellster!I126</f>
        <v>0</v>
      </c>
      <c r="E128" s="95"/>
    </row>
    <row r="129" spans="1:5" ht="15.75">
      <c r="A129" s="18">
        <v>126</v>
      </c>
      <c r="B129" s="92">
        <f>Schnellster!B127</f>
        <v>0</v>
      </c>
      <c r="C129" s="93">
        <f>Schnellster!D127</f>
        <v>0</v>
      </c>
      <c r="D129" s="94">
        <f>Schnellster!I127</f>
        <v>0</v>
      </c>
      <c r="E129" s="95"/>
    </row>
    <row r="130" spans="1:5" ht="15.75">
      <c r="A130" s="18">
        <v>127</v>
      </c>
      <c r="B130" s="92">
        <f>Schnellster!B128</f>
        <v>0</v>
      </c>
      <c r="C130" s="93">
        <f>Schnellster!D128</f>
        <v>0</v>
      </c>
      <c r="D130" s="94">
        <f>Schnellster!I128</f>
        <v>0</v>
      </c>
      <c r="E130" s="95"/>
    </row>
    <row r="131" spans="1:5" ht="15.75">
      <c r="A131" s="18">
        <v>128</v>
      </c>
      <c r="B131" s="92">
        <f>Schnellster!B129</f>
        <v>0</v>
      </c>
      <c r="C131" s="93">
        <f>Schnellster!D129</f>
        <v>0</v>
      </c>
      <c r="D131" s="94">
        <f>Schnellster!I129</f>
        <v>0</v>
      </c>
      <c r="E131" s="95"/>
    </row>
    <row r="132" spans="1:5" ht="15.75">
      <c r="A132" s="18">
        <v>129</v>
      </c>
      <c r="B132" s="92">
        <f>Schnellster!B130</f>
        <v>0</v>
      </c>
      <c r="C132" s="93">
        <f>Schnellster!D130</f>
        <v>0</v>
      </c>
      <c r="D132" s="94">
        <f>Schnellster!I130</f>
        <v>0</v>
      </c>
      <c r="E132" s="95"/>
    </row>
    <row r="133" spans="1:5" ht="15.75">
      <c r="A133" s="18">
        <v>130</v>
      </c>
      <c r="B133" s="92">
        <f>Schnellster!B131</f>
        <v>0</v>
      </c>
      <c r="C133" s="93">
        <f>Schnellster!D131</f>
        <v>0</v>
      </c>
      <c r="D133" s="94">
        <f>Schnellster!I131</f>
        <v>0</v>
      </c>
      <c r="E133" s="95"/>
    </row>
    <row r="134" spans="1:5" ht="15.75">
      <c r="A134" s="18">
        <v>131</v>
      </c>
      <c r="B134" s="92">
        <f>Schnellster!B132</f>
        <v>0</v>
      </c>
      <c r="C134" s="93">
        <f>Schnellster!D132</f>
        <v>0</v>
      </c>
      <c r="D134" s="94">
        <f>Schnellster!I132</f>
        <v>0</v>
      </c>
      <c r="E134" s="95"/>
    </row>
    <row r="135" spans="1:5" ht="15.75">
      <c r="A135" s="18">
        <v>132</v>
      </c>
      <c r="B135" s="92">
        <f>Schnellster!B133</f>
        <v>0</v>
      </c>
      <c r="C135" s="93">
        <f>Schnellster!D133</f>
        <v>0</v>
      </c>
      <c r="D135" s="94">
        <f>Schnellster!I133</f>
        <v>0</v>
      </c>
      <c r="E135" s="95"/>
    </row>
    <row r="136" spans="1:5" ht="15.75">
      <c r="A136" s="18">
        <v>133</v>
      </c>
      <c r="B136" s="92">
        <f>Schnellster!B134</f>
        <v>0</v>
      </c>
      <c r="C136" s="93">
        <f>Schnellster!D134</f>
        <v>0</v>
      </c>
      <c r="D136" s="94">
        <f>Schnellster!I134</f>
        <v>0</v>
      </c>
      <c r="E136" s="95"/>
    </row>
    <row r="137" spans="1:5" ht="15.75">
      <c r="A137" s="18">
        <v>134</v>
      </c>
      <c r="B137" s="92">
        <f>Schnellster!B135</f>
        <v>0</v>
      </c>
      <c r="C137" s="93">
        <f>Schnellster!D135</f>
        <v>0</v>
      </c>
      <c r="D137" s="94">
        <f>Schnellster!I135</f>
        <v>0</v>
      </c>
      <c r="E137" s="95"/>
    </row>
    <row r="138" spans="1:5" ht="15.75">
      <c r="A138" s="18">
        <v>135</v>
      </c>
      <c r="B138" s="92">
        <f>Schnellster!B136</f>
        <v>0</v>
      </c>
      <c r="C138" s="93">
        <f>Schnellster!D136</f>
        <v>0</v>
      </c>
      <c r="D138" s="94">
        <f>Schnellster!I136</f>
        <v>0</v>
      </c>
      <c r="E138" s="95"/>
    </row>
    <row r="139" spans="1:5" ht="15.75">
      <c r="A139" s="18">
        <v>136</v>
      </c>
      <c r="B139" s="92">
        <f>Schnellster!B137</f>
        <v>0</v>
      </c>
      <c r="C139" s="93">
        <f>Schnellster!D137</f>
        <v>0</v>
      </c>
      <c r="D139" s="94">
        <f>Schnellster!I137</f>
        <v>0</v>
      </c>
      <c r="E139" s="95"/>
    </row>
    <row r="140" spans="1:5" ht="15.75">
      <c r="A140" s="18">
        <v>137</v>
      </c>
      <c r="B140" s="92">
        <f>Schnellster!B138</f>
        <v>0</v>
      </c>
      <c r="C140" s="93">
        <f>Schnellster!D138</f>
        <v>0</v>
      </c>
      <c r="D140" s="94">
        <f>Schnellster!I138</f>
        <v>0</v>
      </c>
      <c r="E140" s="95"/>
    </row>
    <row r="141" spans="1:5" ht="15.75">
      <c r="A141" s="18">
        <v>138</v>
      </c>
      <c r="B141" s="92">
        <f>Schnellster!B139</f>
        <v>0</v>
      </c>
      <c r="C141" s="93">
        <f>Schnellster!D139</f>
        <v>0</v>
      </c>
      <c r="D141" s="94">
        <f>Schnellster!I139</f>
        <v>0</v>
      </c>
      <c r="E141" s="95"/>
    </row>
    <row r="142" spans="1:5" ht="15.75">
      <c r="A142" s="18">
        <v>139</v>
      </c>
      <c r="B142" s="92">
        <f>Schnellster!B140</f>
        <v>0</v>
      </c>
      <c r="C142" s="93">
        <f>Schnellster!D140</f>
        <v>0</v>
      </c>
      <c r="D142" s="94">
        <f>Schnellster!I140</f>
        <v>0</v>
      </c>
      <c r="E142" s="95"/>
    </row>
    <row r="143" spans="1:5" ht="15.75">
      <c r="A143" s="18">
        <v>140</v>
      </c>
      <c r="B143" s="92">
        <f>Schnellster!B141</f>
        <v>0</v>
      </c>
      <c r="C143" s="93">
        <f>Schnellster!D141</f>
        <v>0</v>
      </c>
      <c r="D143" s="94">
        <f>Schnellster!I141</f>
        <v>0</v>
      </c>
      <c r="E143" s="95"/>
    </row>
    <row r="144" spans="1:5" ht="15.75">
      <c r="A144" s="18">
        <v>141</v>
      </c>
      <c r="B144" s="92">
        <f>Schnellster!B142</f>
        <v>0</v>
      </c>
      <c r="C144" s="93">
        <f>Schnellster!D142</f>
        <v>0</v>
      </c>
      <c r="D144" s="94">
        <f>Schnellster!I142</f>
        <v>0</v>
      </c>
      <c r="E144" s="95"/>
    </row>
    <row r="145" spans="1:5" ht="15.75">
      <c r="A145" s="18">
        <v>142</v>
      </c>
      <c r="B145" s="92">
        <f>Schnellster!B143</f>
        <v>0</v>
      </c>
      <c r="C145" s="93">
        <f>Schnellster!D143</f>
        <v>0</v>
      </c>
      <c r="D145" s="94">
        <f>Schnellster!I143</f>
        <v>0</v>
      </c>
      <c r="E145" s="95"/>
    </row>
    <row r="146" spans="1:5" ht="15.75">
      <c r="A146" s="18">
        <v>143</v>
      </c>
      <c r="B146" s="92">
        <f>Schnellster!B144</f>
        <v>0</v>
      </c>
      <c r="C146" s="93">
        <f>Schnellster!D144</f>
        <v>0</v>
      </c>
      <c r="D146" s="94">
        <f>Schnellster!I144</f>
        <v>0</v>
      </c>
      <c r="E146" s="95"/>
    </row>
    <row r="147" spans="1:5" ht="15.75">
      <c r="A147" s="18">
        <v>144</v>
      </c>
      <c r="B147" s="92">
        <f>Schnellster!B145</f>
        <v>0</v>
      </c>
      <c r="C147" s="93">
        <f>Schnellster!D145</f>
        <v>0</v>
      </c>
      <c r="D147" s="94">
        <f>Schnellster!I145</f>
        <v>0</v>
      </c>
      <c r="E147" s="95"/>
    </row>
    <row r="148" spans="1:5" ht="15.75">
      <c r="A148" s="18">
        <v>145</v>
      </c>
      <c r="B148" s="92">
        <f>Schnellster!B146</f>
        <v>0</v>
      </c>
      <c r="C148" s="93">
        <f>Schnellster!D146</f>
        <v>0</v>
      </c>
      <c r="D148" s="94">
        <f>Schnellster!I146</f>
        <v>0</v>
      </c>
      <c r="E148" s="95"/>
    </row>
    <row r="149" spans="1:5" ht="15.75">
      <c r="A149" s="18">
        <v>146</v>
      </c>
      <c r="B149" s="92">
        <f>Schnellster!B147</f>
        <v>0</v>
      </c>
      <c r="C149" s="93">
        <f>Schnellster!D147</f>
        <v>0</v>
      </c>
      <c r="D149" s="94">
        <f>Schnellster!I147</f>
        <v>0</v>
      </c>
      <c r="E149" s="95"/>
    </row>
    <row r="150" spans="1:5" ht="15.75">
      <c r="A150" s="18">
        <v>147</v>
      </c>
      <c r="B150" s="92">
        <f>Schnellster!B148</f>
        <v>0</v>
      </c>
      <c r="C150" s="93">
        <f>Schnellster!D148</f>
        <v>0</v>
      </c>
      <c r="D150" s="94">
        <f>Schnellster!I148</f>
        <v>0</v>
      </c>
      <c r="E150" s="95"/>
    </row>
    <row r="151" spans="1:5" ht="15.75">
      <c r="A151" s="18">
        <v>148</v>
      </c>
      <c r="B151" s="92">
        <f>Schnellster!B149</f>
        <v>0</v>
      </c>
      <c r="C151" s="93">
        <f>Schnellster!D149</f>
        <v>0</v>
      </c>
      <c r="D151" s="94">
        <f>Schnellster!I149</f>
        <v>0</v>
      </c>
      <c r="E151" s="95"/>
    </row>
    <row r="152" spans="1:5" ht="15.75">
      <c r="A152" s="18">
        <v>149</v>
      </c>
      <c r="B152" s="92">
        <f>Schnellster!B150</f>
        <v>0</v>
      </c>
      <c r="C152" s="93">
        <f>Schnellster!D150</f>
        <v>0</v>
      </c>
      <c r="D152" s="94">
        <f>Schnellster!I150</f>
        <v>0</v>
      </c>
      <c r="E152" s="95"/>
    </row>
    <row r="153" spans="1:5" ht="15.75">
      <c r="A153" s="18">
        <v>150</v>
      </c>
      <c r="B153" s="92">
        <f>Schnellster!B151</f>
        <v>0</v>
      </c>
      <c r="C153" s="93">
        <f>Schnellster!D151</f>
        <v>0</v>
      </c>
      <c r="D153" s="94">
        <f>Schnellster!I151</f>
        <v>0</v>
      </c>
      <c r="E153" s="95"/>
    </row>
    <row r="154" spans="1:5" ht="15.75">
      <c r="A154" s="18">
        <v>151</v>
      </c>
      <c r="B154" s="92">
        <f>Schnellster!B152</f>
        <v>0</v>
      </c>
      <c r="C154" s="93">
        <f>Schnellster!D152</f>
        <v>0</v>
      </c>
      <c r="D154" s="94">
        <f>Schnellster!I152</f>
        <v>0</v>
      </c>
      <c r="E154" s="95"/>
    </row>
    <row r="155" spans="1:5" ht="15.75">
      <c r="A155" s="18">
        <v>152</v>
      </c>
      <c r="B155" s="92">
        <f>Schnellster!B153</f>
        <v>0</v>
      </c>
      <c r="C155" s="93">
        <f>Schnellster!D153</f>
        <v>0</v>
      </c>
      <c r="D155" s="94">
        <f>Schnellster!I153</f>
        <v>0</v>
      </c>
      <c r="E155" s="95"/>
    </row>
    <row r="156" spans="1:5" ht="15.75">
      <c r="A156" s="18">
        <v>153</v>
      </c>
      <c r="B156" s="92">
        <f>Schnellster!B154</f>
        <v>0</v>
      </c>
      <c r="C156" s="93">
        <f>Schnellster!D154</f>
        <v>0</v>
      </c>
      <c r="D156" s="94">
        <f>Schnellster!I154</f>
        <v>0</v>
      </c>
      <c r="E156" s="95"/>
    </row>
    <row r="157" spans="1:5" ht="15.75">
      <c r="A157" s="18">
        <v>154</v>
      </c>
      <c r="B157" s="92">
        <f>Schnellster!B155</f>
        <v>0</v>
      </c>
      <c r="C157" s="93">
        <f>Schnellster!D155</f>
        <v>0</v>
      </c>
      <c r="D157" s="94">
        <f>Schnellster!I155</f>
        <v>0</v>
      </c>
      <c r="E157" s="95"/>
    </row>
    <row r="158" spans="1:5" ht="15.75">
      <c r="A158" s="18">
        <v>155</v>
      </c>
      <c r="B158" s="92">
        <f>Schnellster!B156</f>
        <v>0</v>
      </c>
      <c r="C158" s="93">
        <f>Schnellster!D156</f>
        <v>0</v>
      </c>
      <c r="D158" s="94">
        <f>Schnellster!I156</f>
        <v>0</v>
      </c>
      <c r="E158" s="95"/>
    </row>
    <row r="159" spans="1:5" ht="15.75">
      <c r="A159" s="18">
        <v>156</v>
      </c>
      <c r="B159" s="92">
        <f>Schnellster!B157</f>
        <v>0</v>
      </c>
      <c r="C159" s="93">
        <f>Schnellster!D157</f>
        <v>0</v>
      </c>
      <c r="D159" s="94">
        <f>Schnellster!I157</f>
        <v>0</v>
      </c>
      <c r="E159" s="95"/>
    </row>
    <row r="160" spans="1:5" ht="15.75">
      <c r="A160" s="18">
        <v>157</v>
      </c>
      <c r="B160" s="92">
        <f>Schnellster!B158</f>
        <v>0</v>
      </c>
      <c r="C160" s="93">
        <f>Schnellster!D158</f>
        <v>0</v>
      </c>
      <c r="D160" s="94">
        <f>Schnellster!I158</f>
        <v>0</v>
      </c>
      <c r="E160" s="95"/>
    </row>
    <row r="161" spans="1:5" ht="15.75">
      <c r="A161" s="18">
        <v>158</v>
      </c>
      <c r="B161" s="92">
        <f>Schnellster!B159</f>
        <v>0</v>
      </c>
      <c r="C161" s="93">
        <f>Schnellster!D159</f>
        <v>0</v>
      </c>
      <c r="D161" s="94">
        <f>Schnellster!I159</f>
        <v>0</v>
      </c>
      <c r="E161" s="95"/>
    </row>
    <row r="162" spans="1:5" ht="15.75">
      <c r="A162" s="18">
        <v>159</v>
      </c>
      <c r="B162" s="92">
        <f>Schnellster!B160</f>
        <v>0</v>
      </c>
      <c r="C162" s="93">
        <f>Schnellster!D160</f>
        <v>0</v>
      </c>
      <c r="D162" s="94">
        <f>Schnellster!I160</f>
        <v>0</v>
      </c>
      <c r="E162" s="95"/>
    </row>
    <row r="163" spans="1:5" ht="15.75">
      <c r="A163" s="18">
        <v>160</v>
      </c>
      <c r="B163" s="92">
        <f>Schnellster!B161</f>
        <v>0</v>
      </c>
      <c r="C163" s="93">
        <f>Schnellster!D161</f>
        <v>0</v>
      </c>
      <c r="D163" s="94">
        <f>Schnellster!I161</f>
        <v>0</v>
      </c>
      <c r="E163" s="95"/>
    </row>
    <row r="164" spans="1:5" ht="15.75">
      <c r="A164" s="18">
        <v>161</v>
      </c>
      <c r="B164" s="92">
        <f>Schnellster!B162</f>
        <v>0</v>
      </c>
      <c r="C164" s="93">
        <f>Schnellster!D162</f>
        <v>0</v>
      </c>
      <c r="D164" s="94">
        <f>Schnellster!I162</f>
        <v>0</v>
      </c>
      <c r="E164" s="95"/>
    </row>
    <row r="165" spans="1:5" ht="15.75">
      <c r="A165" s="18">
        <v>162</v>
      </c>
      <c r="B165" s="92">
        <f>Schnellster!B163</f>
        <v>0</v>
      </c>
      <c r="C165" s="93">
        <f>Schnellster!D163</f>
        <v>0</v>
      </c>
      <c r="D165" s="94">
        <f>Schnellster!I163</f>
        <v>0</v>
      </c>
      <c r="E165" s="95"/>
    </row>
    <row r="166" spans="1:5" ht="15.75">
      <c r="A166" s="18">
        <v>163</v>
      </c>
      <c r="B166" s="92">
        <f>Schnellster!B164</f>
        <v>0</v>
      </c>
      <c r="C166" s="93">
        <f>Schnellster!D164</f>
        <v>0</v>
      </c>
      <c r="D166" s="94">
        <f>Schnellster!I164</f>
        <v>0</v>
      </c>
      <c r="E166" s="95"/>
    </row>
    <row r="167" spans="1:5" ht="15.75">
      <c r="A167" s="18">
        <v>164</v>
      </c>
      <c r="B167" s="92">
        <f>Schnellster!B165</f>
        <v>0</v>
      </c>
      <c r="C167" s="93">
        <f>Schnellster!D165</f>
        <v>0</v>
      </c>
      <c r="D167" s="94">
        <f>Schnellster!I165</f>
        <v>0</v>
      </c>
      <c r="E167" s="95"/>
    </row>
    <row r="168" spans="1:5" ht="15.75">
      <c r="A168" s="18">
        <v>165</v>
      </c>
      <c r="B168" s="92">
        <f>Schnellster!B166</f>
        <v>0</v>
      </c>
      <c r="C168" s="93">
        <f>Schnellster!D166</f>
        <v>0</v>
      </c>
      <c r="D168" s="94">
        <f>Schnellster!I166</f>
        <v>0</v>
      </c>
      <c r="E168" s="95"/>
    </row>
    <row r="169" spans="1:5" ht="15.75">
      <c r="A169" s="18">
        <v>166</v>
      </c>
      <c r="B169" s="92">
        <f>Schnellster!B167</f>
        <v>0</v>
      </c>
      <c r="C169" s="93">
        <f>Schnellster!D167</f>
        <v>0</v>
      </c>
      <c r="D169" s="94">
        <f>Schnellster!I167</f>
        <v>0</v>
      </c>
      <c r="E169" s="95"/>
    </row>
    <row r="170" spans="1:5" ht="15.75">
      <c r="A170" s="18">
        <v>167</v>
      </c>
      <c r="B170" s="92">
        <f>Schnellster!B168</f>
        <v>0</v>
      </c>
      <c r="C170" s="93">
        <f>Schnellster!D168</f>
        <v>0</v>
      </c>
      <c r="D170" s="94">
        <f>Schnellster!I168</f>
        <v>0</v>
      </c>
      <c r="E170" s="95"/>
    </row>
    <row r="171" spans="1:5" ht="15.75">
      <c r="A171" s="18">
        <v>168</v>
      </c>
      <c r="B171" s="92">
        <f>Schnellster!B169</f>
        <v>0</v>
      </c>
      <c r="C171" s="93">
        <f>Schnellster!D169</f>
        <v>0</v>
      </c>
      <c r="D171" s="94">
        <f>Schnellster!I169</f>
        <v>0</v>
      </c>
      <c r="E171" s="95"/>
    </row>
    <row r="172" spans="1:5" ht="15.75">
      <c r="A172" s="18">
        <v>169</v>
      </c>
      <c r="B172" s="92">
        <f>Schnellster!B170</f>
        <v>0</v>
      </c>
      <c r="C172" s="93">
        <f>Schnellster!D170</f>
        <v>0</v>
      </c>
      <c r="D172" s="94">
        <f>Schnellster!I170</f>
        <v>0</v>
      </c>
      <c r="E172" s="95"/>
    </row>
    <row r="173" spans="1:5" ht="15.75">
      <c r="A173" s="18">
        <v>170</v>
      </c>
      <c r="B173" s="92">
        <f>Schnellster!B171</f>
        <v>0</v>
      </c>
      <c r="C173" s="93">
        <f>Schnellster!D171</f>
        <v>0</v>
      </c>
      <c r="D173" s="94">
        <f>Schnellster!I171</f>
        <v>0</v>
      </c>
      <c r="E173" s="95"/>
    </row>
    <row r="174" spans="1:5" ht="15.75">
      <c r="A174" s="18">
        <v>171</v>
      </c>
      <c r="B174" s="92">
        <f>Schnellster!B172</f>
        <v>0</v>
      </c>
      <c r="C174" s="93">
        <f>Schnellster!D172</f>
        <v>0</v>
      </c>
      <c r="D174" s="94">
        <f>Schnellster!I172</f>
        <v>0</v>
      </c>
      <c r="E174" s="95"/>
    </row>
    <row r="175" spans="1:5" ht="15.75">
      <c r="A175" s="18">
        <v>172</v>
      </c>
      <c r="B175" s="92">
        <f>Schnellster!B173</f>
        <v>0</v>
      </c>
      <c r="C175" s="93">
        <f>Schnellster!D173</f>
        <v>0</v>
      </c>
      <c r="D175" s="94">
        <f>Schnellster!I173</f>
        <v>0</v>
      </c>
      <c r="E175" s="95"/>
    </row>
    <row r="176" spans="1:5" ht="15.75">
      <c r="A176" s="18">
        <v>173</v>
      </c>
      <c r="B176" s="92">
        <f>Schnellster!B174</f>
        <v>0</v>
      </c>
      <c r="C176" s="93">
        <f>Schnellster!D174</f>
        <v>0</v>
      </c>
      <c r="D176" s="94">
        <f>Schnellster!I174</f>
        <v>0</v>
      </c>
      <c r="E176" s="95"/>
    </row>
    <row r="177" spans="1:5" ht="15.75">
      <c r="A177" s="18">
        <v>174</v>
      </c>
      <c r="B177" s="92">
        <f>Schnellster!B175</f>
        <v>0</v>
      </c>
      <c r="C177" s="93">
        <f>Schnellster!D175</f>
        <v>0</v>
      </c>
      <c r="D177" s="94">
        <f>Schnellster!I175</f>
        <v>0</v>
      </c>
      <c r="E177" s="95"/>
    </row>
    <row r="178" spans="1:5" ht="15.75">
      <c r="A178" s="18">
        <v>175</v>
      </c>
      <c r="B178" s="92">
        <f>Schnellster!B176</f>
        <v>0</v>
      </c>
      <c r="C178" s="93">
        <f>Schnellster!D176</f>
        <v>0</v>
      </c>
      <c r="D178" s="94">
        <f>Schnellster!I176</f>
        <v>0</v>
      </c>
      <c r="E178" s="95"/>
    </row>
    <row r="179" spans="1:5" ht="15.75">
      <c r="A179" s="18">
        <v>176</v>
      </c>
      <c r="B179" s="92">
        <f>Schnellster!B177</f>
        <v>0</v>
      </c>
      <c r="C179" s="93">
        <f>Schnellster!D177</f>
        <v>0</v>
      </c>
      <c r="D179" s="94">
        <f>Schnellster!I177</f>
        <v>0</v>
      </c>
      <c r="E179" s="95"/>
    </row>
    <row r="180" spans="1:5" ht="15.75">
      <c r="A180" s="18">
        <v>177</v>
      </c>
      <c r="B180" s="92">
        <f>Schnellster!B178</f>
        <v>0</v>
      </c>
      <c r="C180" s="93">
        <f>Schnellster!D178</f>
        <v>0</v>
      </c>
      <c r="D180" s="94">
        <f>Schnellster!I178</f>
        <v>0</v>
      </c>
      <c r="E180" s="95"/>
    </row>
    <row r="181" spans="1:5" ht="15.75">
      <c r="A181" s="18">
        <v>178</v>
      </c>
      <c r="B181" s="92">
        <f>Schnellster!B179</f>
        <v>0</v>
      </c>
      <c r="C181" s="93">
        <f>Schnellster!D179</f>
        <v>0</v>
      </c>
      <c r="D181" s="94">
        <f>Schnellster!I179</f>
        <v>0</v>
      </c>
      <c r="E181" s="95"/>
    </row>
    <row r="182" spans="1:5" ht="15.75">
      <c r="A182" s="18">
        <v>179</v>
      </c>
      <c r="B182" s="92">
        <f>Schnellster!B180</f>
        <v>0</v>
      </c>
      <c r="C182" s="93">
        <f>Schnellster!D180</f>
        <v>0</v>
      </c>
      <c r="D182" s="94">
        <f>Schnellster!I180</f>
        <v>0</v>
      </c>
      <c r="E182" s="95"/>
    </row>
    <row r="183" spans="1:5" ht="15.75">
      <c r="A183" s="18">
        <v>180</v>
      </c>
      <c r="B183" s="92">
        <f>Schnellster!B181</f>
        <v>0</v>
      </c>
      <c r="C183" s="93">
        <f>Schnellster!D181</f>
        <v>0</v>
      </c>
      <c r="D183" s="94">
        <f>Schnellster!I181</f>
        <v>0</v>
      </c>
      <c r="E183" s="95"/>
    </row>
    <row r="184" spans="1:5" ht="15.75">
      <c r="A184" s="18">
        <v>181</v>
      </c>
      <c r="B184" s="92">
        <f>Schnellster!B182</f>
        <v>0</v>
      </c>
      <c r="C184" s="93">
        <f>Schnellster!D182</f>
        <v>0</v>
      </c>
      <c r="D184" s="94">
        <f>Schnellster!I182</f>
        <v>0</v>
      </c>
      <c r="E184" s="95"/>
    </row>
    <row r="185" spans="1:5" ht="15.75">
      <c r="A185" s="18">
        <v>182</v>
      </c>
      <c r="B185" s="92">
        <f>Schnellster!B183</f>
        <v>0</v>
      </c>
      <c r="C185" s="93">
        <f>Schnellster!D183</f>
        <v>0</v>
      </c>
      <c r="D185" s="94">
        <f>Schnellster!I183</f>
        <v>0</v>
      </c>
      <c r="E185" s="95"/>
    </row>
    <row r="186" spans="1:5" ht="15.75">
      <c r="A186" s="18">
        <v>183</v>
      </c>
      <c r="B186" s="92">
        <f>Schnellster!B184</f>
        <v>0</v>
      </c>
      <c r="C186" s="93">
        <f>Schnellster!D184</f>
        <v>0</v>
      </c>
      <c r="D186" s="94">
        <f>Schnellster!I184</f>
        <v>0</v>
      </c>
      <c r="E186" s="95"/>
    </row>
    <row r="187" spans="1:5" ht="15.75">
      <c r="A187" s="18">
        <v>184</v>
      </c>
      <c r="B187" s="92">
        <f>Schnellster!B185</f>
        <v>0</v>
      </c>
      <c r="C187" s="93">
        <f>Schnellster!D185</f>
        <v>0</v>
      </c>
      <c r="D187" s="94">
        <f>Schnellster!I185</f>
        <v>0</v>
      </c>
      <c r="E187" s="95"/>
    </row>
    <row r="188" spans="1:5" ht="15.75">
      <c r="A188" s="18">
        <v>185</v>
      </c>
      <c r="B188" s="92">
        <f>Schnellster!B186</f>
        <v>0</v>
      </c>
      <c r="C188" s="93">
        <f>Schnellster!D186</f>
        <v>0</v>
      </c>
      <c r="D188" s="94">
        <f>Schnellster!I186</f>
        <v>0</v>
      </c>
      <c r="E188" s="95"/>
    </row>
    <row r="189" spans="1:5" ht="15.75">
      <c r="A189" s="18">
        <v>186</v>
      </c>
      <c r="B189" s="92">
        <f>Schnellster!B187</f>
        <v>0</v>
      </c>
      <c r="C189" s="93">
        <f>Schnellster!D187</f>
        <v>0</v>
      </c>
      <c r="D189" s="94">
        <f>Schnellster!I187</f>
        <v>0</v>
      </c>
      <c r="E189" s="95"/>
    </row>
    <row r="190" spans="1:5" ht="15.75">
      <c r="A190" s="18">
        <v>187</v>
      </c>
      <c r="B190" s="92">
        <f>Schnellster!B188</f>
        <v>0</v>
      </c>
      <c r="C190" s="93">
        <f>Schnellster!D188</f>
        <v>0</v>
      </c>
      <c r="D190" s="94">
        <f>Schnellster!I188</f>
        <v>0</v>
      </c>
      <c r="E190" s="95"/>
    </row>
    <row r="191" spans="1:5" ht="15.75">
      <c r="A191" s="18">
        <v>188</v>
      </c>
      <c r="B191" s="92">
        <f>Schnellster!B189</f>
        <v>0</v>
      </c>
      <c r="C191" s="93">
        <f>Schnellster!D189</f>
        <v>0</v>
      </c>
      <c r="D191" s="94">
        <f>Schnellster!I189</f>
        <v>0</v>
      </c>
      <c r="E191" s="95"/>
    </row>
    <row r="192" spans="1:5" ht="15.75">
      <c r="A192" s="18">
        <v>189</v>
      </c>
      <c r="B192" s="92">
        <f>Schnellster!B190</f>
        <v>0</v>
      </c>
      <c r="C192" s="93">
        <f>Schnellster!D190</f>
        <v>0</v>
      </c>
      <c r="D192" s="94">
        <f>Schnellster!I190</f>
        <v>0</v>
      </c>
      <c r="E192" s="95"/>
    </row>
    <row r="193" spans="1:5" ht="15.75">
      <c r="A193" s="18">
        <v>190</v>
      </c>
      <c r="B193" s="92">
        <f>Schnellster!B191</f>
        <v>0</v>
      </c>
      <c r="C193" s="93">
        <f>Schnellster!D191</f>
        <v>0</v>
      </c>
      <c r="D193" s="94">
        <f>Schnellster!I191</f>
        <v>0</v>
      </c>
      <c r="E193" s="95"/>
    </row>
    <row r="194" spans="1:5" ht="15.75">
      <c r="A194" s="18">
        <v>191</v>
      </c>
      <c r="B194" s="92">
        <f>Schnellster!B192</f>
        <v>0</v>
      </c>
      <c r="C194" s="93">
        <f>Schnellster!D192</f>
        <v>0</v>
      </c>
      <c r="D194" s="94">
        <f>Schnellster!I192</f>
        <v>0</v>
      </c>
      <c r="E194" s="95"/>
    </row>
    <row r="195" spans="1:5" ht="15.75">
      <c r="A195" s="18">
        <v>192</v>
      </c>
      <c r="B195" s="92">
        <f>Schnellster!B193</f>
        <v>0</v>
      </c>
      <c r="C195" s="93">
        <f>Schnellster!D193</f>
        <v>0</v>
      </c>
      <c r="D195" s="94">
        <f>Schnellster!I193</f>
        <v>0</v>
      </c>
      <c r="E195" s="95"/>
    </row>
    <row r="196" spans="1:5" ht="15.75">
      <c r="A196" s="18">
        <v>193</v>
      </c>
      <c r="B196" s="92">
        <f>Schnellster!B194</f>
        <v>0</v>
      </c>
      <c r="C196" s="93">
        <f>Schnellster!D194</f>
        <v>0</v>
      </c>
      <c r="D196" s="94">
        <f>Schnellster!I194</f>
        <v>0</v>
      </c>
      <c r="E196" s="95"/>
    </row>
    <row r="197" spans="1:5" ht="15.75">
      <c r="A197" s="18">
        <v>194</v>
      </c>
      <c r="B197" s="92">
        <f>Schnellster!B195</f>
        <v>0</v>
      </c>
      <c r="C197" s="93">
        <f>Schnellster!D195</f>
        <v>0</v>
      </c>
      <c r="D197" s="94">
        <f>Schnellster!I195</f>
        <v>0</v>
      </c>
      <c r="E197" s="95"/>
    </row>
    <row r="198" spans="1:5" ht="15.75">
      <c r="A198" s="18">
        <v>195</v>
      </c>
      <c r="B198" s="92">
        <f>Schnellster!B196</f>
        <v>0</v>
      </c>
      <c r="C198" s="93">
        <f>Schnellster!D196</f>
        <v>0</v>
      </c>
      <c r="D198" s="94">
        <f>Schnellster!I196</f>
        <v>0</v>
      </c>
      <c r="E198" s="95"/>
    </row>
    <row r="199" spans="1:5" ht="15.75">
      <c r="A199" s="18">
        <v>196</v>
      </c>
      <c r="B199" s="92">
        <f>Schnellster!B197</f>
        <v>0</v>
      </c>
      <c r="C199" s="93">
        <f>Schnellster!D197</f>
        <v>0</v>
      </c>
      <c r="D199" s="94">
        <f>Schnellster!I197</f>
        <v>0</v>
      </c>
      <c r="E199" s="95"/>
    </row>
    <row r="200" spans="1:5" ht="15.75">
      <c r="A200" s="18">
        <v>197</v>
      </c>
      <c r="B200" s="92">
        <f>Schnellster!B198</f>
        <v>0</v>
      </c>
      <c r="C200" s="93">
        <f>Schnellster!D198</f>
        <v>0</v>
      </c>
      <c r="D200" s="94">
        <f>Schnellster!I198</f>
        <v>0</v>
      </c>
      <c r="E200" s="95"/>
    </row>
    <row r="201" spans="1:5" ht="15.75">
      <c r="A201" s="18">
        <v>198</v>
      </c>
      <c r="B201" s="92">
        <f>Schnellster!B199</f>
        <v>0</v>
      </c>
      <c r="C201" s="93">
        <f>Schnellster!D199</f>
        <v>0</v>
      </c>
      <c r="D201" s="94">
        <f>Schnellster!I199</f>
        <v>0</v>
      </c>
      <c r="E201" s="95"/>
    </row>
    <row r="202" spans="1:5" ht="15.75">
      <c r="A202" s="18">
        <v>199</v>
      </c>
      <c r="B202" s="92">
        <f>Schnellster!B200</f>
        <v>0</v>
      </c>
      <c r="C202" s="93">
        <f>Schnellster!D200</f>
        <v>0</v>
      </c>
      <c r="D202" s="94">
        <f>Schnellster!I200</f>
        <v>0</v>
      </c>
      <c r="E202" s="95"/>
    </row>
    <row r="203" spans="1:5" ht="15.75">
      <c r="A203" s="18">
        <v>200</v>
      </c>
      <c r="B203" s="92">
        <f>Schnellster!B201</f>
        <v>0</v>
      </c>
      <c r="C203" s="93">
        <f>Schnellster!D201</f>
        <v>0</v>
      </c>
      <c r="D203" s="94">
        <f>Schnellster!I201</f>
        <v>0</v>
      </c>
      <c r="E203" s="95"/>
    </row>
    <row r="204" spans="1:5" ht="15.75">
      <c r="A204" s="18">
        <v>201</v>
      </c>
      <c r="B204" s="92">
        <f>Schnellster!B202</f>
        <v>0</v>
      </c>
      <c r="C204" s="93">
        <f>Schnellster!D202</f>
        <v>0</v>
      </c>
      <c r="D204" s="94">
        <f>Schnellster!I202</f>
        <v>0</v>
      </c>
      <c r="E204" s="95"/>
    </row>
    <row r="205" spans="1:5" ht="15.75">
      <c r="A205" s="18">
        <v>202</v>
      </c>
      <c r="B205" s="92">
        <f>Schnellster!B203</f>
        <v>0</v>
      </c>
      <c r="C205" s="93">
        <f>Schnellster!D203</f>
        <v>0</v>
      </c>
      <c r="D205" s="94">
        <f>Schnellster!I203</f>
        <v>0</v>
      </c>
      <c r="E205" s="95"/>
    </row>
    <row r="206" spans="1:5" ht="15.75">
      <c r="A206" s="18">
        <v>203</v>
      </c>
      <c r="B206" s="92">
        <f>Schnellster!B204</f>
        <v>0</v>
      </c>
      <c r="C206" s="93">
        <f>Schnellster!D204</f>
        <v>0</v>
      </c>
      <c r="D206" s="94">
        <f>Schnellster!I204</f>
        <v>0</v>
      </c>
      <c r="E206" s="95"/>
    </row>
    <row r="207" spans="1:5" ht="15.75">
      <c r="A207" s="18">
        <v>204</v>
      </c>
      <c r="B207" s="92">
        <f>Schnellster!B205</f>
        <v>0</v>
      </c>
      <c r="C207" s="93">
        <f>Schnellster!D205</f>
        <v>0</v>
      </c>
      <c r="D207" s="94">
        <f>Schnellster!I205</f>
        <v>0</v>
      </c>
      <c r="E207" s="95"/>
    </row>
    <row r="208" spans="1:5" ht="15.75">
      <c r="A208" s="18">
        <v>205</v>
      </c>
      <c r="B208" s="92">
        <f>Schnellster!B206</f>
        <v>0</v>
      </c>
      <c r="C208" s="93">
        <f>Schnellster!D206</f>
        <v>0</v>
      </c>
      <c r="D208" s="94">
        <f>Schnellster!I206</f>
        <v>0</v>
      </c>
      <c r="E208" s="95"/>
    </row>
    <row r="209" spans="1:5" ht="15.75">
      <c r="A209" s="18">
        <v>206</v>
      </c>
      <c r="B209" s="92">
        <f>Schnellster!B207</f>
        <v>0</v>
      </c>
      <c r="C209" s="93">
        <f>Schnellster!D207</f>
        <v>0</v>
      </c>
      <c r="D209" s="94">
        <f>Schnellster!I207</f>
        <v>0</v>
      </c>
      <c r="E209" s="95"/>
    </row>
    <row r="210" spans="1:5" ht="15.75">
      <c r="A210" s="18">
        <v>207</v>
      </c>
      <c r="B210" s="92">
        <f>Schnellster!B208</f>
        <v>0</v>
      </c>
      <c r="C210" s="93">
        <f>Schnellster!D208</f>
        <v>0</v>
      </c>
      <c r="D210" s="94">
        <f>Schnellster!I208</f>
        <v>0</v>
      </c>
      <c r="E210" s="95"/>
    </row>
    <row r="211" spans="1:5" ht="15.75">
      <c r="A211" s="18">
        <v>208</v>
      </c>
      <c r="B211" s="92">
        <f>Schnellster!B209</f>
        <v>0</v>
      </c>
      <c r="C211" s="93">
        <f>Schnellster!D209</f>
        <v>0</v>
      </c>
      <c r="D211" s="94">
        <f>Schnellster!I209</f>
        <v>0</v>
      </c>
      <c r="E211" s="95"/>
    </row>
    <row r="212" spans="1:5" ht="15.75">
      <c r="A212" s="18">
        <v>209</v>
      </c>
      <c r="B212" s="92">
        <f>Schnellster!B210</f>
        <v>0</v>
      </c>
      <c r="C212" s="93">
        <f>Schnellster!D210</f>
        <v>0</v>
      </c>
      <c r="D212" s="94">
        <f>Schnellster!I210</f>
        <v>0</v>
      </c>
      <c r="E212" s="95"/>
    </row>
    <row r="213" spans="1:5" ht="15.75">
      <c r="A213" s="18">
        <v>210</v>
      </c>
      <c r="B213" s="92">
        <f>Schnellster!B211</f>
        <v>0</v>
      </c>
      <c r="C213" s="93">
        <f>Schnellster!D211</f>
        <v>0</v>
      </c>
      <c r="D213" s="94">
        <f>Schnellster!I211</f>
        <v>0</v>
      </c>
      <c r="E213" s="95"/>
    </row>
    <row r="214" spans="1:5" ht="15.75">
      <c r="A214" s="18">
        <v>211</v>
      </c>
      <c r="B214" s="92">
        <f>Schnellster!B212</f>
        <v>0</v>
      </c>
      <c r="C214" s="93">
        <f>Schnellster!D212</f>
        <v>0</v>
      </c>
      <c r="D214" s="94">
        <f>Schnellster!I212</f>
        <v>0</v>
      </c>
      <c r="E214" s="95"/>
    </row>
    <row r="215" spans="1:5" ht="15.75">
      <c r="A215" s="18">
        <v>212</v>
      </c>
      <c r="B215" s="92">
        <f>Schnellster!B213</f>
        <v>0</v>
      </c>
      <c r="C215" s="93">
        <f>Schnellster!D213</f>
        <v>0</v>
      </c>
      <c r="D215" s="94">
        <f>Schnellster!I213</f>
        <v>0</v>
      </c>
      <c r="E215" s="95"/>
    </row>
    <row r="216" spans="1:5" ht="15.75">
      <c r="A216" s="18">
        <v>213</v>
      </c>
      <c r="B216" s="92">
        <f>Schnellster!B214</f>
        <v>0</v>
      </c>
      <c r="C216" s="93">
        <f>Schnellster!D214</f>
        <v>0</v>
      </c>
      <c r="D216" s="94">
        <f>Schnellster!I214</f>
        <v>0</v>
      </c>
      <c r="E216" s="95"/>
    </row>
    <row r="217" spans="1:5" ht="15.75">
      <c r="A217" s="18">
        <v>214</v>
      </c>
      <c r="B217" s="92">
        <f>Schnellster!B215</f>
        <v>0</v>
      </c>
      <c r="C217" s="93">
        <f>Schnellster!D215</f>
        <v>0</v>
      </c>
      <c r="D217" s="94">
        <f>Schnellster!I215</f>
        <v>0</v>
      </c>
      <c r="E217" s="95"/>
    </row>
    <row r="218" spans="1:5" ht="15.75">
      <c r="A218" s="18">
        <v>215</v>
      </c>
      <c r="B218" s="92">
        <f>Schnellster!B216</f>
        <v>0</v>
      </c>
      <c r="C218" s="93">
        <f>Schnellster!D216</f>
        <v>0</v>
      </c>
      <c r="D218" s="94">
        <f>Schnellster!I216</f>
        <v>0</v>
      </c>
      <c r="E218" s="95"/>
    </row>
    <row r="219" spans="1:5" ht="15.75">
      <c r="A219" s="18">
        <v>216</v>
      </c>
      <c r="B219" s="92">
        <f>Schnellster!B217</f>
        <v>0</v>
      </c>
      <c r="C219" s="93">
        <f>Schnellster!D217</f>
        <v>0</v>
      </c>
      <c r="D219" s="94">
        <f>Schnellster!I217</f>
        <v>0</v>
      </c>
      <c r="E219" s="95"/>
    </row>
    <row r="220" spans="1:5" ht="15.75">
      <c r="A220" s="18">
        <v>217</v>
      </c>
      <c r="B220" s="92">
        <f>Schnellster!B218</f>
        <v>0</v>
      </c>
      <c r="C220" s="93">
        <f>Schnellster!D218</f>
        <v>0</v>
      </c>
      <c r="D220" s="94">
        <f>Schnellster!I218</f>
        <v>0</v>
      </c>
      <c r="E220" s="95"/>
    </row>
    <row r="221" spans="1:5" ht="15.75">
      <c r="A221" s="18">
        <v>218</v>
      </c>
      <c r="B221" s="92">
        <f>Schnellster!B219</f>
        <v>0</v>
      </c>
      <c r="C221" s="93">
        <f>Schnellster!D219</f>
        <v>0</v>
      </c>
      <c r="D221" s="94">
        <f>Schnellster!I219</f>
        <v>0</v>
      </c>
      <c r="E221" s="95"/>
    </row>
    <row r="222" spans="1:5" ht="15.75">
      <c r="A222" s="18">
        <v>219</v>
      </c>
      <c r="B222" s="92">
        <f>Schnellster!B220</f>
        <v>0</v>
      </c>
      <c r="C222" s="93">
        <f>Schnellster!D220</f>
        <v>0</v>
      </c>
      <c r="D222" s="94">
        <f>Schnellster!I220</f>
        <v>0</v>
      </c>
      <c r="E222" s="95"/>
    </row>
    <row r="223" spans="1:5" ht="15.75">
      <c r="A223" s="18">
        <v>220</v>
      </c>
      <c r="B223" s="92">
        <f>Schnellster!B221</f>
        <v>0</v>
      </c>
      <c r="C223" s="93">
        <f>Schnellster!D221</f>
        <v>0</v>
      </c>
      <c r="D223" s="94">
        <f>Schnellster!I221</f>
        <v>0</v>
      </c>
      <c r="E223" s="95"/>
    </row>
    <row r="224" spans="1:5" ht="15.75">
      <c r="A224" s="18">
        <v>221</v>
      </c>
      <c r="B224" s="92">
        <f>Schnellster!B222</f>
        <v>0</v>
      </c>
      <c r="C224" s="93">
        <f>Schnellster!D222</f>
        <v>0</v>
      </c>
      <c r="D224" s="94">
        <f>Schnellster!I222</f>
        <v>0</v>
      </c>
      <c r="E224" s="95"/>
    </row>
    <row r="225" spans="1:5" ht="15.75">
      <c r="A225" s="18">
        <v>222</v>
      </c>
      <c r="B225" s="92">
        <f>Schnellster!B223</f>
        <v>0</v>
      </c>
      <c r="C225" s="93">
        <f>Schnellster!D223</f>
        <v>0</v>
      </c>
      <c r="D225" s="94">
        <f>Schnellster!I223</f>
        <v>0</v>
      </c>
      <c r="E225" s="95"/>
    </row>
    <row r="226" spans="1:5" ht="15.75">
      <c r="A226" s="18">
        <v>223</v>
      </c>
      <c r="B226" s="92">
        <f>Schnellster!B224</f>
        <v>0</v>
      </c>
      <c r="C226" s="93">
        <f>Schnellster!D224</f>
        <v>0</v>
      </c>
      <c r="D226" s="94">
        <f>Schnellster!I224</f>
        <v>0</v>
      </c>
      <c r="E226" s="95"/>
    </row>
    <row r="227" spans="1:5" ht="15.75">
      <c r="A227" s="18">
        <v>224</v>
      </c>
      <c r="B227" s="92">
        <f>Schnellster!B225</f>
        <v>0</v>
      </c>
      <c r="C227" s="93">
        <f>Schnellster!D225</f>
        <v>0</v>
      </c>
      <c r="D227" s="94">
        <f>Schnellster!I225</f>
        <v>0</v>
      </c>
      <c r="E227" s="95"/>
    </row>
    <row r="228" spans="1:5" ht="15.75">
      <c r="A228" s="18">
        <v>225</v>
      </c>
      <c r="B228" s="92">
        <f>Schnellster!B226</f>
        <v>0</v>
      </c>
      <c r="C228" s="93">
        <f>Schnellster!D226</f>
        <v>0</v>
      </c>
      <c r="D228" s="94">
        <f>Schnellster!I226</f>
        <v>0</v>
      </c>
      <c r="E228" s="95"/>
    </row>
    <row r="229" spans="1:5" ht="15.75">
      <c r="A229" s="18">
        <v>226</v>
      </c>
      <c r="B229" s="92">
        <f>Schnellster!B227</f>
        <v>0</v>
      </c>
      <c r="C229" s="93">
        <f>Schnellster!D227</f>
        <v>0</v>
      </c>
      <c r="D229" s="94">
        <f>Schnellster!I227</f>
        <v>0</v>
      </c>
      <c r="E229" s="95"/>
    </row>
    <row r="230" spans="1:5" ht="15.75">
      <c r="A230" s="18">
        <v>227</v>
      </c>
      <c r="B230" s="92">
        <f>Schnellster!B228</f>
        <v>0</v>
      </c>
      <c r="C230" s="93">
        <f>Schnellster!D228</f>
        <v>0</v>
      </c>
      <c r="D230" s="94">
        <f>Schnellster!I228</f>
        <v>0</v>
      </c>
      <c r="E230" s="95"/>
    </row>
    <row r="231" spans="1:5" ht="15.75">
      <c r="A231" s="18">
        <v>228</v>
      </c>
      <c r="B231" s="92">
        <f>Schnellster!B229</f>
        <v>0</v>
      </c>
      <c r="C231" s="93">
        <f>Schnellster!D229</f>
        <v>0</v>
      </c>
      <c r="D231" s="94">
        <f>Schnellster!I229</f>
        <v>0</v>
      </c>
      <c r="E231" s="95"/>
    </row>
    <row r="232" spans="1:5" ht="15.75">
      <c r="A232" s="18">
        <v>229</v>
      </c>
      <c r="B232" s="92">
        <f>Schnellster!B230</f>
        <v>0</v>
      </c>
      <c r="C232" s="93">
        <f>Schnellster!D230</f>
        <v>0</v>
      </c>
      <c r="D232" s="94">
        <f>Schnellster!I230</f>
        <v>0</v>
      </c>
      <c r="E232" s="95"/>
    </row>
    <row r="233" spans="1:5" ht="15.75">
      <c r="A233" s="18">
        <v>230</v>
      </c>
      <c r="B233" s="92">
        <f>Schnellster!B231</f>
        <v>0</v>
      </c>
      <c r="C233" s="93">
        <f>Schnellster!D231</f>
        <v>0</v>
      </c>
      <c r="D233" s="94">
        <f>Schnellster!I231</f>
        <v>0</v>
      </c>
      <c r="E233" s="95"/>
    </row>
    <row r="234" spans="1:5" ht="15.75">
      <c r="A234" s="18">
        <v>231</v>
      </c>
      <c r="B234" s="92">
        <f>Schnellster!B232</f>
        <v>0</v>
      </c>
      <c r="C234" s="93">
        <f>Schnellster!D232</f>
        <v>0</v>
      </c>
      <c r="D234" s="94">
        <f>Schnellster!I232</f>
        <v>0</v>
      </c>
      <c r="E234" s="95"/>
    </row>
    <row r="235" spans="1:5" ht="15.75">
      <c r="A235" s="18">
        <v>232</v>
      </c>
      <c r="B235" s="92">
        <f>Schnellster!B233</f>
        <v>0</v>
      </c>
      <c r="C235" s="93">
        <f>Schnellster!D233</f>
        <v>0</v>
      </c>
      <c r="D235" s="94">
        <f>Schnellster!I233</f>
        <v>0</v>
      </c>
      <c r="E235" s="95"/>
    </row>
    <row r="236" spans="1:5" ht="15.75">
      <c r="A236" s="18">
        <v>233</v>
      </c>
      <c r="B236" s="92">
        <f>Schnellster!B234</f>
        <v>0</v>
      </c>
      <c r="C236" s="93">
        <f>Schnellster!D234</f>
        <v>0</v>
      </c>
      <c r="D236" s="94">
        <f>Schnellster!I234</f>
        <v>0</v>
      </c>
      <c r="E236" s="95"/>
    </row>
    <row r="237" spans="1:5" ht="15.75">
      <c r="A237" s="18">
        <v>234</v>
      </c>
      <c r="B237" s="92">
        <f>Schnellster!B235</f>
        <v>0</v>
      </c>
      <c r="C237" s="93">
        <f>Schnellster!D235</f>
        <v>0</v>
      </c>
      <c r="D237" s="94">
        <f>Schnellster!I235</f>
        <v>0</v>
      </c>
      <c r="E237" s="95"/>
    </row>
    <row r="238" spans="1:5" ht="15.75">
      <c r="A238" s="18">
        <v>235</v>
      </c>
      <c r="B238" s="92">
        <f>Schnellster!B236</f>
        <v>0</v>
      </c>
      <c r="C238" s="93">
        <f>Schnellster!D236</f>
        <v>0</v>
      </c>
      <c r="D238" s="94">
        <f>Schnellster!I236</f>
        <v>0</v>
      </c>
      <c r="E238" s="95"/>
    </row>
    <row r="239" spans="1:5" ht="15.75">
      <c r="A239" s="18">
        <v>236</v>
      </c>
      <c r="B239" s="92">
        <f>Schnellster!B237</f>
        <v>0</v>
      </c>
      <c r="C239" s="93">
        <f>Schnellster!D237</f>
        <v>0</v>
      </c>
      <c r="D239" s="94">
        <f>Schnellster!I237</f>
        <v>0</v>
      </c>
      <c r="E239" s="95"/>
    </row>
    <row r="240" spans="1:5" ht="15.75">
      <c r="A240" s="18">
        <v>237</v>
      </c>
      <c r="B240" s="92">
        <f>Schnellster!B238</f>
        <v>0</v>
      </c>
      <c r="C240" s="93">
        <f>Schnellster!D238</f>
        <v>0</v>
      </c>
      <c r="D240" s="94">
        <f>Schnellster!I238</f>
        <v>0</v>
      </c>
      <c r="E240" s="95"/>
    </row>
    <row r="241" spans="1:5" ht="15.75">
      <c r="A241" s="18">
        <v>238</v>
      </c>
      <c r="B241" s="92">
        <f>Schnellster!B239</f>
        <v>0</v>
      </c>
      <c r="C241" s="93">
        <f>Schnellster!D239</f>
        <v>0</v>
      </c>
      <c r="D241" s="94">
        <f>Schnellster!I239</f>
        <v>0</v>
      </c>
      <c r="E241" s="95"/>
    </row>
    <row r="242" spans="1:5" ht="15.75">
      <c r="A242" s="18">
        <v>239</v>
      </c>
      <c r="B242" s="92">
        <f>Schnellster!B240</f>
        <v>0</v>
      </c>
      <c r="C242" s="93">
        <f>Schnellster!D240</f>
        <v>0</v>
      </c>
      <c r="D242" s="94">
        <f>Schnellster!I240</f>
        <v>0</v>
      </c>
      <c r="E242" s="95"/>
    </row>
    <row r="243" spans="1:5" ht="15.75">
      <c r="A243" s="18">
        <v>240</v>
      </c>
      <c r="B243" s="92">
        <f>Schnellster!B241</f>
        <v>0</v>
      </c>
      <c r="C243" s="93">
        <f>Schnellster!D241</f>
        <v>0</v>
      </c>
      <c r="D243" s="94">
        <f>Schnellster!I241</f>
        <v>0</v>
      </c>
      <c r="E243" s="95"/>
    </row>
    <row r="244" spans="1:5" ht="15.75">
      <c r="A244" s="18">
        <v>241</v>
      </c>
      <c r="B244" s="92">
        <f>Schnellster!B242</f>
        <v>0</v>
      </c>
      <c r="C244" s="93">
        <f>Schnellster!D242</f>
        <v>0</v>
      </c>
      <c r="D244" s="94">
        <f>Schnellster!I242</f>
        <v>0</v>
      </c>
      <c r="E244" s="95"/>
    </row>
    <row r="245" spans="1:5" ht="15.75">
      <c r="A245" s="18">
        <v>242</v>
      </c>
      <c r="B245" s="92">
        <f>Schnellster!B243</f>
        <v>0</v>
      </c>
      <c r="C245" s="93">
        <f>Schnellster!D243</f>
        <v>0</v>
      </c>
      <c r="D245" s="94">
        <f>Schnellster!I243</f>
        <v>0</v>
      </c>
      <c r="E245" s="95"/>
    </row>
    <row r="246" spans="1:5" ht="15.75">
      <c r="A246" s="18">
        <v>243</v>
      </c>
      <c r="B246" s="92">
        <f>Schnellster!B244</f>
        <v>0</v>
      </c>
      <c r="C246" s="93">
        <f>Schnellster!D244</f>
        <v>0</v>
      </c>
      <c r="D246" s="94">
        <f>Schnellster!I244</f>
        <v>0</v>
      </c>
      <c r="E246" s="95"/>
    </row>
    <row r="247" spans="1:5" ht="15.75">
      <c r="A247" s="18">
        <v>244</v>
      </c>
      <c r="B247" s="92">
        <f>Schnellster!B245</f>
        <v>0</v>
      </c>
      <c r="C247" s="93">
        <f>Schnellster!D245</f>
        <v>0</v>
      </c>
      <c r="D247" s="94">
        <f>Schnellster!I245</f>
        <v>0</v>
      </c>
      <c r="E247" s="95"/>
    </row>
    <row r="248" spans="1:5" ht="15.75">
      <c r="A248" s="18">
        <v>245</v>
      </c>
      <c r="B248" s="92">
        <f>Schnellster!B246</f>
        <v>0</v>
      </c>
      <c r="C248" s="93">
        <f>Schnellster!D246</f>
        <v>0</v>
      </c>
      <c r="D248" s="94">
        <f>Schnellster!I246</f>
        <v>0</v>
      </c>
      <c r="E248" s="95"/>
    </row>
    <row r="249" spans="1:5" ht="15.75">
      <c r="A249" s="18">
        <v>246</v>
      </c>
      <c r="B249" s="92">
        <f>Schnellster!B247</f>
        <v>0</v>
      </c>
      <c r="C249" s="93">
        <f>Schnellster!D247</f>
        <v>0</v>
      </c>
      <c r="D249" s="94">
        <f>Schnellster!I247</f>
        <v>0</v>
      </c>
      <c r="E249" s="95"/>
    </row>
    <row r="250" spans="1:5" ht="15.75">
      <c r="A250" s="18">
        <v>247</v>
      </c>
      <c r="B250" s="92">
        <f>Schnellster!B248</f>
        <v>0</v>
      </c>
      <c r="C250" s="93">
        <f>Schnellster!D248</f>
        <v>0</v>
      </c>
      <c r="D250" s="94">
        <f>Schnellster!I248</f>
        <v>0</v>
      </c>
      <c r="E250" s="95"/>
    </row>
    <row r="251" spans="1:5" ht="15.75">
      <c r="A251" s="18">
        <v>248</v>
      </c>
      <c r="B251" s="92">
        <f>Schnellster!B249</f>
        <v>0</v>
      </c>
      <c r="C251" s="93">
        <f>Schnellster!D249</f>
        <v>0</v>
      </c>
      <c r="D251" s="94">
        <f>Schnellster!I249</f>
        <v>0</v>
      </c>
      <c r="E251" s="95"/>
    </row>
    <row r="252" spans="1:5" ht="15.75">
      <c r="A252" s="18">
        <v>249</v>
      </c>
      <c r="B252" s="92">
        <f>Schnellster!B250</f>
        <v>0</v>
      </c>
      <c r="C252" s="93">
        <f>Schnellster!D250</f>
        <v>0</v>
      </c>
      <c r="D252" s="94">
        <f>Schnellster!I250</f>
        <v>0</v>
      </c>
      <c r="E252" s="95"/>
    </row>
    <row r="253" spans="1:5" ht="15.75">
      <c r="A253" s="18">
        <v>250</v>
      </c>
      <c r="B253" s="92">
        <f>Schnellster!B251</f>
        <v>0</v>
      </c>
      <c r="C253" s="93">
        <f>Schnellster!D251</f>
        <v>0</v>
      </c>
      <c r="D253" s="94">
        <f>Schnellster!I251</f>
        <v>0</v>
      </c>
      <c r="E253" s="95"/>
    </row>
    <row r="254" spans="1:5" ht="15.75">
      <c r="A254" s="18">
        <v>251</v>
      </c>
      <c r="B254" s="92">
        <f>Schnellster!B252</f>
        <v>0</v>
      </c>
      <c r="C254" s="93">
        <f>Schnellster!D252</f>
        <v>0</v>
      </c>
      <c r="D254" s="94">
        <f>Schnellster!I252</f>
        <v>0</v>
      </c>
      <c r="E254" s="95"/>
    </row>
    <row r="255" spans="1:5" ht="15.75">
      <c r="A255" s="18">
        <v>252</v>
      </c>
      <c r="B255" s="92">
        <f>Schnellster!B253</f>
        <v>0</v>
      </c>
      <c r="C255" s="93">
        <f>Schnellster!D253</f>
        <v>0</v>
      </c>
      <c r="D255" s="94">
        <f>Schnellster!I253</f>
        <v>0</v>
      </c>
      <c r="E255" s="95"/>
    </row>
    <row r="256" spans="1:5" ht="15.75">
      <c r="A256" s="18">
        <v>253</v>
      </c>
      <c r="B256" s="92">
        <f>Schnellster!B254</f>
        <v>0</v>
      </c>
      <c r="C256" s="93">
        <f>Schnellster!D254</f>
        <v>0</v>
      </c>
      <c r="D256" s="94">
        <f>Schnellster!I254</f>
        <v>0</v>
      </c>
      <c r="E256" s="95"/>
    </row>
    <row r="257" spans="1:5" ht="15.75">
      <c r="A257" s="18">
        <v>254</v>
      </c>
      <c r="B257" s="92">
        <f>Schnellster!B255</f>
        <v>0</v>
      </c>
      <c r="C257" s="93">
        <f>Schnellster!D255</f>
        <v>0</v>
      </c>
      <c r="D257" s="94">
        <f>Schnellster!I255</f>
        <v>0</v>
      </c>
      <c r="E257" s="95"/>
    </row>
    <row r="258" spans="1:5" ht="15.75">
      <c r="A258" s="18">
        <v>255</v>
      </c>
      <c r="B258" s="92">
        <f>Schnellster!B256</f>
        <v>0</v>
      </c>
      <c r="C258" s="93">
        <f>Schnellster!D256</f>
        <v>0</v>
      </c>
      <c r="D258" s="94">
        <f>Schnellster!I256</f>
        <v>0</v>
      </c>
      <c r="E258" s="95"/>
    </row>
    <row r="259" spans="1:5" ht="15.75">
      <c r="A259" s="18">
        <v>256</v>
      </c>
      <c r="B259" s="92">
        <f>Schnellster!B257</f>
        <v>0</v>
      </c>
      <c r="C259" s="93">
        <f>Schnellster!D257</f>
        <v>0</v>
      </c>
      <c r="D259" s="94">
        <f>Schnellster!I257</f>
        <v>0</v>
      </c>
      <c r="E259" s="95"/>
    </row>
    <row r="260" spans="1:5" ht="15.75">
      <c r="A260" s="18">
        <v>257</v>
      </c>
      <c r="B260" s="92">
        <f>Schnellster!B258</f>
        <v>0</v>
      </c>
      <c r="C260" s="93">
        <f>Schnellster!D258</f>
        <v>0</v>
      </c>
      <c r="D260" s="94">
        <f>Schnellster!I258</f>
        <v>0</v>
      </c>
      <c r="E260" s="95"/>
    </row>
    <row r="261" spans="1:5" ht="15.75">
      <c r="A261" s="18">
        <v>258</v>
      </c>
      <c r="B261" s="92">
        <f>Schnellster!B259</f>
        <v>0</v>
      </c>
      <c r="C261" s="93">
        <f>Schnellster!D259</f>
        <v>0</v>
      </c>
      <c r="D261" s="94">
        <f>Schnellster!I259</f>
        <v>0</v>
      </c>
      <c r="E261" s="95"/>
    </row>
    <row r="262" spans="1:5" ht="15.75">
      <c r="A262" s="18">
        <v>259</v>
      </c>
      <c r="B262" s="92">
        <f>Schnellster!B260</f>
        <v>0</v>
      </c>
      <c r="C262" s="93">
        <f>Schnellster!D260</f>
        <v>0</v>
      </c>
      <c r="D262" s="94">
        <f>Schnellster!I260</f>
        <v>0</v>
      </c>
      <c r="E262" s="95"/>
    </row>
    <row r="263" spans="1:5" ht="15.75">
      <c r="A263" s="18">
        <v>260</v>
      </c>
      <c r="B263" s="92">
        <f>Schnellster!B261</f>
        <v>0</v>
      </c>
      <c r="C263" s="93">
        <f>Schnellster!D261</f>
        <v>0</v>
      </c>
      <c r="D263" s="94">
        <f>Schnellster!I261</f>
        <v>0</v>
      </c>
      <c r="E263" s="95"/>
    </row>
    <row r="264" spans="1:5" ht="15.75">
      <c r="A264" s="18">
        <v>261</v>
      </c>
      <c r="B264" s="92">
        <f>Schnellster!B262</f>
        <v>0</v>
      </c>
      <c r="C264" s="93">
        <f>Schnellster!D262</f>
        <v>0</v>
      </c>
      <c r="D264" s="94">
        <f>Schnellster!I262</f>
        <v>0</v>
      </c>
      <c r="E264" s="95"/>
    </row>
    <row r="265" spans="1:5" ht="15.75">
      <c r="A265" s="18">
        <v>262</v>
      </c>
      <c r="B265" s="92">
        <f>Schnellster!B263</f>
        <v>0</v>
      </c>
      <c r="C265" s="93">
        <f>Schnellster!D263</f>
        <v>0</v>
      </c>
      <c r="D265" s="94">
        <f>Schnellster!I263</f>
        <v>0</v>
      </c>
      <c r="E265" s="95"/>
    </row>
    <row r="266" spans="1:5" ht="15.75">
      <c r="A266" s="18">
        <v>263</v>
      </c>
      <c r="B266" s="92">
        <f>Schnellster!B264</f>
        <v>0</v>
      </c>
      <c r="C266" s="93">
        <f>Schnellster!D264</f>
        <v>0</v>
      </c>
      <c r="D266" s="94">
        <f>Schnellster!I264</f>
        <v>0</v>
      </c>
      <c r="E266" s="95"/>
    </row>
    <row r="267" spans="1:5" ht="15.75">
      <c r="A267" s="18">
        <v>264</v>
      </c>
      <c r="B267" s="92">
        <f>Schnellster!B265</f>
        <v>0</v>
      </c>
      <c r="C267" s="93">
        <f>Schnellster!D265</f>
        <v>0</v>
      </c>
      <c r="D267" s="94">
        <f>Schnellster!I265</f>
        <v>0</v>
      </c>
      <c r="E267" s="95"/>
    </row>
    <row r="268" spans="1:5" ht="15.75">
      <c r="A268" s="18">
        <v>265</v>
      </c>
      <c r="B268" s="92">
        <f>Schnellster!B266</f>
        <v>0</v>
      </c>
      <c r="C268" s="93">
        <f>Schnellster!D266</f>
        <v>0</v>
      </c>
      <c r="D268" s="94">
        <f>Schnellster!I266</f>
        <v>0</v>
      </c>
      <c r="E268" s="95"/>
    </row>
    <row r="269" spans="1:5" ht="15.75">
      <c r="A269" s="18">
        <v>266</v>
      </c>
      <c r="B269" s="92">
        <f>Schnellster!B267</f>
        <v>0</v>
      </c>
      <c r="C269" s="93">
        <f>Schnellster!D267</f>
        <v>0</v>
      </c>
      <c r="D269" s="94">
        <f>Schnellster!I267</f>
        <v>0</v>
      </c>
      <c r="E269" s="95"/>
    </row>
    <row r="270" spans="1:5" ht="15.75">
      <c r="A270" s="18">
        <v>267</v>
      </c>
      <c r="B270" s="92">
        <f>Schnellster!B268</f>
        <v>0</v>
      </c>
      <c r="C270" s="93">
        <f>Schnellster!D268</f>
        <v>0</v>
      </c>
      <c r="D270" s="94">
        <f>Schnellster!I268</f>
        <v>0</v>
      </c>
      <c r="E270" s="95"/>
    </row>
    <row r="271" spans="1:5" ht="15.75">
      <c r="A271" s="18">
        <v>268</v>
      </c>
      <c r="B271" s="92">
        <f>Schnellster!B269</f>
        <v>0</v>
      </c>
      <c r="C271" s="93">
        <f>Schnellster!D269</f>
        <v>0</v>
      </c>
      <c r="D271" s="94">
        <f>Schnellster!I269</f>
        <v>0</v>
      </c>
      <c r="E271" s="95"/>
    </row>
    <row r="272" spans="1:5" ht="15.75">
      <c r="A272" s="18">
        <v>269</v>
      </c>
      <c r="B272" s="92">
        <f>Schnellster!B270</f>
        <v>0</v>
      </c>
      <c r="C272" s="93">
        <f>Schnellster!D270</f>
        <v>0</v>
      </c>
      <c r="D272" s="94">
        <f>Schnellster!I270</f>
        <v>0</v>
      </c>
      <c r="E272" s="95"/>
    </row>
    <row r="273" spans="1:5" ht="15.75">
      <c r="A273" s="18">
        <v>270</v>
      </c>
      <c r="B273" s="92">
        <f>Schnellster!B271</f>
        <v>0</v>
      </c>
      <c r="C273" s="93">
        <f>Schnellster!D271</f>
        <v>0</v>
      </c>
      <c r="D273" s="94">
        <f>Schnellster!I271</f>
        <v>0</v>
      </c>
      <c r="E273" s="95"/>
    </row>
    <row r="274" spans="1:5" ht="15.75">
      <c r="A274" s="18">
        <v>271</v>
      </c>
      <c r="B274" s="92">
        <f>Schnellster!B272</f>
        <v>0</v>
      </c>
      <c r="C274" s="93">
        <f>Schnellster!D272</f>
        <v>0</v>
      </c>
      <c r="D274" s="94">
        <f>Schnellster!I272</f>
        <v>0</v>
      </c>
      <c r="E274" s="95"/>
    </row>
    <row r="275" spans="1:5" ht="15.75">
      <c r="A275" s="18">
        <v>272</v>
      </c>
      <c r="B275" s="92">
        <f>Schnellster!B273</f>
        <v>0</v>
      </c>
      <c r="C275" s="93">
        <f>Schnellster!D273</f>
        <v>0</v>
      </c>
      <c r="D275" s="94">
        <f>Schnellster!I273</f>
        <v>0</v>
      </c>
      <c r="E275" s="95"/>
    </row>
    <row r="276" spans="1:5" ht="15.75">
      <c r="A276" s="18">
        <v>273</v>
      </c>
      <c r="B276" s="92">
        <f>Schnellster!B274</f>
        <v>0</v>
      </c>
      <c r="C276" s="93">
        <f>Schnellster!D274</f>
        <v>0</v>
      </c>
      <c r="D276" s="94">
        <f>Schnellster!I274</f>
        <v>0</v>
      </c>
      <c r="E276" s="95"/>
    </row>
    <row r="277" spans="1:5" ht="15.75">
      <c r="A277" s="18">
        <v>274</v>
      </c>
      <c r="B277" s="92">
        <f>Schnellster!B275</f>
        <v>0</v>
      </c>
      <c r="C277" s="93">
        <f>Schnellster!D275</f>
        <v>0</v>
      </c>
      <c r="D277" s="94">
        <f>Schnellster!I275</f>
        <v>0</v>
      </c>
      <c r="E277" s="95"/>
    </row>
    <row r="278" spans="1:5" ht="15.75">
      <c r="A278" s="18">
        <v>275</v>
      </c>
      <c r="B278" s="92">
        <f>Schnellster!B276</f>
        <v>0</v>
      </c>
      <c r="C278" s="93">
        <f>Schnellster!D276</f>
        <v>0</v>
      </c>
      <c r="D278" s="94">
        <f>Schnellster!I276</f>
        <v>0</v>
      </c>
      <c r="E278" s="95"/>
    </row>
    <row r="279" spans="1:5" ht="15.75">
      <c r="A279" s="18">
        <v>276</v>
      </c>
      <c r="B279" s="92">
        <f>Schnellster!B277</f>
        <v>0</v>
      </c>
      <c r="C279" s="93">
        <f>Schnellster!D277</f>
        <v>0</v>
      </c>
      <c r="D279" s="94">
        <f>Schnellster!I277</f>
        <v>0</v>
      </c>
      <c r="E279" s="95"/>
    </row>
    <row r="280" spans="1:5" ht="15.75">
      <c r="A280" s="18">
        <v>277</v>
      </c>
      <c r="B280" s="92">
        <f>Schnellster!B278</f>
        <v>0</v>
      </c>
      <c r="C280" s="93">
        <f>Schnellster!D278</f>
        <v>0</v>
      </c>
      <c r="D280" s="94">
        <f>Schnellster!I278</f>
        <v>0</v>
      </c>
      <c r="E280" s="95"/>
    </row>
    <row r="281" spans="1:5" ht="15.75">
      <c r="A281" s="18">
        <v>278</v>
      </c>
      <c r="B281" s="92">
        <f>Schnellster!B279</f>
        <v>0</v>
      </c>
      <c r="C281" s="93">
        <f>Schnellster!D279</f>
        <v>0</v>
      </c>
      <c r="D281" s="94">
        <f>Schnellster!I279</f>
        <v>0</v>
      </c>
      <c r="E281" s="95"/>
    </row>
    <row r="282" spans="1:5" ht="15.75">
      <c r="A282" s="18">
        <v>279</v>
      </c>
      <c r="B282" s="92">
        <f>Schnellster!B280</f>
        <v>0</v>
      </c>
      <c r="C282" s="93">
        <f>Schnellster!D280</f>
        <v>0</v>
      </c>
      <c r="D282" s="94">
        <f>Schnellster!I280</f>
        <v>0</v>
      </c>
      <c r="E282" s="95"/>
    </row>
    <row r="283" spans="1:5" ht="15.75">
      <c r="A283" s="18">
        <v>280</v>
      </c>
      <c r="B283" s="92">
        <f>Schnellster!B281</f>
        <v>0</v>
      </c>
      <c r="C283" s="93">
        <f>Schnellster!D281</f>
        <v>0</v>
      </c>
      <c r="D283" s="94">
        <f>Schnellster!I281</f>
        <v>0</v>
      </c>
      <c r="E283" s="95"/>
    </row>
    <row r="284" spans="1:5" ht="15.75">
      <c r="A284" s="18">
        <v>281</v>
      </c>
      <c r="B284" s="92">
        <f>Schnellster!B282</f>
        <v>0</v>
      </c>
      <c r="C284" s="93">
        <f>Schnellster!D282</f>
        <v>0</v>
      </c>
      <c r="D284" s="94">
        <f>Schnellster!I282</f>
        <v>0</v>
      </c>
      <c r="E284" s="95"/>
    </row>
    <row r="285" spans="1:5" ht="15.75">
      <c r="A285" s="18">
        <v>282</v>
      </c>
      <c r="B285" s="92">
        <f>Schnellster!B283</f>
        <v>0</v>
      </c>
      <c r="C285" s="93">
        <f>Schnellster!D283</f>
        <v>0</v>
      </c>
      <c r="D285" s="94">
        <f>Schnellster!I283</f>
        <v>0</v>
      </c>
      <c r="E285" s="95"/>
    </row>
    <row r="286" spans="1:5" ht="15.75">
      <c r="A286" s="18">
        <v>283</v>
      </c>
      <c r="B286" s="92">
        <f>Schnellster!B284</f>
        <v>0</v>
      </c>
      <c r="C286" s="93">
        <f>Schnellster!D284</f>
        <v>0</v>
      </c>
      <c r="D286" s="94">
        <f>Schnellster!I284</f>
        <v>0</v>
      </c>
      <c r="E286" s="95"/>
    </row>
    <row r="287" spans="1:5" ht="15.75">
      <c r="A287" s="18">
        <v>284</v>
      </c>
      <c r="B287" s="92">
        <f>Schnellster!B285</f>
        <v>0</v>
      </c>
      <c r="C287" s="93">
        <f>Schnellster!D285</f>
        <v>0</v>
      </c>
      <c r="D287" s="94">
        <f>Schnellster!I285</f>
        <v>0</v>
      </c>
      <c r="E287" s="95"/>
    </row>
    <row r="288" spans="1:5" ht="15.75">
      <c r="A288" s="18">
        <v>285</v>
      </c>
      <c r="B288" s="92">
        <f>Schnellster!B286</f>
        <v>0</v>
      </c>
      <c r="C288" s="93">
        <f>Schnellster!D286</f>
        <v>0</v>
      </c>
      <c r="D288" s="94">
        <f>Schnellster!I286</f>
        <v>0</v>
      </c>
      <c r="E288" s="95"/>
    </row>
    <row r="289" spans="1:5" ht="15.75">
      <c r="A289" s="18">
        <v>286</v>
      </c>
      <c r="B289" s="92">
        <f>Schnellster!B287</f>
        <v>0</v>
      </c>
      <c r="C289" s="93">
        <f>Schnellster!D287</f>
        <v>0</v>
      </c>
      <c r="D289" s="94">
        <f>Schnellster!I287</f>
        <v>0</v>
      </c>
      <c r="E289" s="95"/>
    </row>
    <row r="290" spans="1:5" ht="15.75">
      <c r="A290" s="18">
        <v>287</v>
      </c>
      <c r="B290" s="92">
        <f>Schnellster!B288</f>
        <v>0</v>
      </c>
      <c r="C290" s="93">
        <f>Schnellster!D288</f>
        <v>0</v>
      </c>
      <c r="D290" s="94">
        <f>Schnellster!I288</f>
        <v>0</v>
      </c>
      <c r="E290" s="95"/>
    </row>
    <row r="291" spans="1:5" ht="15.75">
      <c r="A291" s="18">
        <v>288</v>
      </c>
      <c r="B291" s="92">
        <f>Schnellster!B289</f>
        <v>0</v>
      </c>
      <c r="C291" s="93">
        <f>Schnellster!D289</f>
        <v>0</v>
      </c>
      <c r="D291" s="94">
        <f>Schnellster!I289</f>
        <v>0</v>
      </c>
      <c r="E291" s="95"/>
    </row>
    <row r="292" spans="1:5" ht="15.75">
      <c r="A292" s="18">
        <v>289</v>
      </c>
      <c r="B292" s="92">
        <f>Schnellster!B290</f>
        <v>0</v>
      </c>
      <c r="C292" s="93">
        <f>Schnellster!D290</f>
        <v>0</v>
      </c>
      <c r="D292" s="94">
        <f>Schnellster!I290</f>
        <v>0</v>
      </c>
      <c r="E292" s="95"/>
    </row>
    <row r="293" spans="1:5" ht="15.75">
      <c r="A293" s="18">
        <v>290</v>
      </c>
      <c r="B293" s="92">
        <f>Schnellster!B291</f>
        <v>0</v>
      </c>
      <c r="C293" s="93">
        <f>Schnellster!D291</f>
        <v>0</v>
      </c>
      <c r="D293" s="94">
        <f>Schnellster!I291</f>
        <v>0</v>
      </c>
      <c r="E293" s="95"/>
    </row>
    <row r="294" spans="1:5" ht="15.75">
      <c r="A294" s="18">
        <v>291</v>
      </c>
      <c r="B294" s="92">
        <f>Schnellster!B292</f>
        <v>0</v>
      </c>
      <c r="C294" s="93">
        <f>Schnellster!D292</f>
        <v>0</v>
      </c>
      <c r="D294" s="94">
        <f>Schnellster!I292</f>
        <v>0</v>
      </c>
      <c r="E294" s="95"/>
    </row>
    <row r="295" spans="1:5" ht="15.75">
      <c r="A295" s="18">
        <v>292</v>
      </c>
      <c r="B295" s="92">
        <f>Schnellster!B293</f>
        <v>0</v>
      </c>
      <c r="C295" s="93">
        <f>Schnellster!D293</f>
        <v>0</v>
      </c>
      <c r="D295" s="94">
        <f>Schnellster!I293</f>
        <v>0</v>
      </c>
      <c r="E295" s="95"/>
    </row>
    <row r="296" spans="1:5" ht="15.75">
      <c r="A296" s="18">
        <v>293</v>
      </c>
      <c r="B296" s="92">
        <f>Schnellster!B294</f>
        <v>0</v>
      </c>
      <c r="C296" s="93">
        <f>Schnellster!D294</f>
        <v>0</v>
      </c>
      <c r="D296" s="94">
        <f>Schnellster!I294</f>
        <v>0</v>
      </c>
      <c r="E296" s="95"/>
    </row>
    <row r="297" spans="1:5" ht="15.75">
      <c r="A297" s="18">
        <v>294</v>
      </c>
      <c r="B297" s="92">
        <f>Schnellster!B295</f>
        <v>0</v>
      </c>
      <c r="C297" s="93">
        <f>Schnellster!D295</f>
        <v>0</v>
      </c>
      <c r="D297" s="94">
        <f>Schnellster!I295</f>
        <v>0</v>
      </c>
      <c r="E297" s="95"/>
    </row>
    <row r="298" spans="1:5" ht="15.75">
      <c r="A298" s="18">
        <v>295</v>
      </c>
      <c r="B298" s="92">
        <f>Schnellster!B296</f>
        <v>0</v>
      </c>
      <c r="C298" s="93">
        <f>Schnellster!D296</f>
        <v>0</v>
      </c>
      <c r="D298" s="94">
        <f>Schnellster!I296</f>
        <v>0</v>
      </c>
      <c r="E298" s="95"/>
    </row>
    <row r="299" spans="1:5" ht="15.75">
      <c r="A299" s="18">
        <v>296</v>
      </c>
      <c r="B299" s="92">
        <f>Schnellster!B297</f>
        <v>0</v>
      </c>
      <c r="C299" s="93">
        <f>Schnellster!D297</f>
        <v>0</v>
      </c>
      <c r="D299" s="94">
        <f>Schnellster!I297</f>
        <v>0</v>
      </c>
      <c r="E299" s="95"/>
    </row>
    <row r="300" spans="1:5" ht="15.75">
      <c r="A300" s="18">
        <v>297</v>
      </c>
      <c r="B300" s="92">
        <f>Schnellster!B298</f>
        <v>0</v>
      </c>
      <c r="C300" s="93">
        <f>Schnellster!D298</f>
        <v>0</v>
      </c>
      <c r="D300" s="94">
        <f>Schnellster!I298</f>
        <v>0</v>
      </c>
      <c r="E300" s="95"/>
    </row>
    <row r="301" spans="1:5" ht="15.75">
      <c r="A301" s="18">
        <v>298</v>
      </c>
      <c r="B301" s="92">
        <f>Schnellster!B299</f>
        <v>0</v>
      </c>
      <c r="C301" s="93">
        <f>Schnellster!D299</f>
        <v>0</v>
      </c>
      <c r="D301" s="94">
        <f>Schnellster!I299</f>
        <v>0</v>
      </c>
      <c r="E301" s="95"/>
    </row>
    <row r="302" spans="1:5" ht="15.75">
      <c r="A302" s="18">
        <v>299</v>
      </c>
      <c r="B302" s="92">
        <f>Schnellster!B300</f>
        <v>0</v>
      </c>
      <c r="C302" s="93">
        <f>Schnellster!D300</f>
        <v>0</v>
      </c>
      <c r="D302" s="94">
        <f>Schnellster!I300</f>
        <v>0</v>
      </c>
      <c r="E302" s="95"/>
    </row>
    <row r="303" spans="1:5" ht="15.75">
      <c r="A303" s="18">
        <v>300</v>
      </c>
      <c r="B303" s="92">
        <f>Schnellster!B301</f>
        <v>0</v>
      </c>
      <c r="C303" s="93">
        <f>Schnellster!D301</f>
        <v>0</v>
      </c>
      <c r="D303" s="94">
        <f>Schnellster!I301</f>
        <v>0</v>
      </c>
      <c r="E303" s="95"/>
    </row>
    <row r="304" spans="1:5">
      <c r="A304" s="26"/>
      <c r="B304" s="39"/>
      <c r="C304" s="90"/>
      <c r="D304" s="19"/>
      <c r="E304" s="30"/>
    </row>
    <row r="305" spans="1:5">
      <c r="A305" s="26"/>
      <c r="B305" s="39"/>
      <c r="C305" s="90"/>
      <c r="D305" s="19"/>
      <c r="E305" s="30"/>
    </row>
    <row r="306" spans="1:5">
      <c r="A306" s="26"/>
      <c r="B306" s="39"/>
      <c r="C306" s="90"/>
      <c r="D306" s="19"/>
      <c r="E306" s="30"/>
    </row>
    <row r="307" spans="1:5">
      <c r="A307" s="26"/>
      <c r="B307" s="39"/>
      <c r="C307" s="90"/>
      <c r="D307" s="19"/>
      <c r="E307" s="30"/>
    </row>
    <row r="308" spans="1:5">
      <c r="A308" s="26"/>
      <c r="B308" s="39"/>
      <c r="C308" s="90"/>
      <c r="D308" s="19"/>
      <c r="E308" s="30"/>
    </row>
    <row r="309" spans="1:5">
      <c r="A309" s="26"/>
      <c r="B309" s="39"/>
      <c r="C309" s="90"/>
      <c r="D309" s="19"/>
      <c r="E309" s="30"/>
    </row>
    <row r="310" spans="1:5">
      <c r="A310" s="26"/>
      <c r="B310" s="39"/>
      <c r="C310" s="90"/>
      <c r="D310" s="19"/>
      <c r="E310" s="30"/>
    </row>
    <row r="311" spans="1:5">
      <c r="A311" s="26"/>
      <c r="B311" s="39"/>
      <c r="C311" s="90"/>
      <c r="D311" s="19"/>
      <c r="E311" s="30"/>
    </row>
    <row r="312" spans="1:5">
      <c r="A312" s="26"/>
      <c r="B312" s="39"/>
      <c r="C312" s="90"/>
      <c r="D312" s="19"/>
      <c r="E312" s="30"/>
    </row>
    <row r="313" spans="1:5">
      <c r="A313" s="26"/>
      <c r="B313" s="39"/>
      <c r="C313" s="90"/>
      <c r="D313" s="19"/>
      <c r="E313" s="30"/>
    </row>
    <row r="314" spans="1:5">
      <c r="A314" s="26"/>
      <c r="B314" s="39"/>
      <c r="C314" s="90"/>
      <c r="D314" s="19"/>
      <c r="E314" s="30"/>
    </row>
    <row r="315" spans="1:5">
      <c r="A315" s="26"/>
      <c r="B315" s="39"/>
      <c r="C315" s="90"/>
      <c r="D315" s="19"/>
      <c r="E315" s="30"/>
    </row>
    <row r="316" spans="1:5">
      <c r="A316" s="26"/>
      <c r="B316" s="39"/>
      <c r="C316" s="90"/>
      <c r="D316" s="19"/>
      <c r="E316" s="30"/>
    </row>
    <row r="317" spans="1:5">
      <c r="A317" s="26"/>
      <c r="B317" s="39"/>
      <c r="C317" s="90"/>
      <c r="D317" s="19"/>
      <c r="E317" s="30"/>
    </row>
    <row r="318" spans="1:5">
      <c r="A318" s="26"/>
      <c r="B318" s="39"/>
      <c r="C318" s="90"/>
      <c r="D318" s="19"/>
      <c r="E318" s="30"/>
    </row>
    <row r="319" spans="1:5">
      <c r="A319" s="26"/>
      <c r="B319" s="39"/>
      <c r="C319" s="90"/>
      <c r="D319" s="19"/>
      <c r="E319" s="30"/>
    </row>
    <row r="320" spans="1:5">
      <c r="A320" s="26"/>
      <c r="B320" s="39"/>
      <c r="C320" s="90"/>
      <c r="D320" s="19"/>
      <c r="E320" s="30"/>
    </row>
    <row r="321" spans="1:5">
      <c r="A321" s="26"/>
      <c r="B321" s="39"/>
      <c r="C321" s="90"/>
      <c r="D321" s="19"/>
      <c r="E321" s="30"/>
    </row>
    <row r="322" spans="1:5">
      <c r="A322" s="26"/>
      <c r="B322" s="39"/>
      <c r="C322" s="90"/>
      <c r="D322" s="19"/>
      <c r="E322" s="30"/>
    </row>
    <row r="323" spans="1:5">
      <c r="A323" s="26"/>
      <c r="B323" s="39"/>
      <c r="C323" s="90"/>
      <c r="D323" s="19"/>
      <c r="E323" s="30"/>
    </row>
    <row r="324" spans="1:5">
      <c r="A324" s="26"/>
      <c r="B324" s="39"/>
      <c r="C324" s="90"/>
      <c r="D324" s="19"/>
      <c r="E324" s="30"/>
    </row>
  </sheetData>
  <sortState ref="B4:H300">
    <sortCondition descending="1" ref="C4"/>
  </sortState>
  <customSheetViews>
    <customSheetView guid="{78B3A349-4A6A-4124-974B-C4B81C7019CD}" scale="75" showRuler="0">
      <selection sqref="A1:G1"/>
      <pageMargins left="0.78740157480314965" right="0.78740157480314965" top="1.5748031496062993" bottom="0.98425196850393704" header="0.51181102362204722" footer="0.51181102362204722"/>
      <printOptions horizontalCentered="1" verticalCentered="1"/>
      <pageSetup paperSize="9" orientation="landscape" horizontalDpi="300" verticalDpi="300" r:id="rId1"/>
      <headerFooter alignWithMargins="0">
        <oddHeader>&amp;L&amp;8Universität Rostock
Fakultät für Maschinbau
Schiffstechnik
Institut für Maritime Systeme und Strömungstechnik&amp;C&amp;"Arial,Fett"&amp;14Papierschiffwettbewerb 2004
Auswertung Kategorie höchste Tragfähigkeit&amp;Rwww.paperboat.de</oddHeader>
        <oddFooter>Seite &amp;P von &amp;N</oddFooter>
      </headerFooter>
    </customSheetView>
    <customSheetView guid="{F48999E8-45B5-4A7E-B3AF-FA7A59AA8144}" scale="75" showRuler="0">
      <selection sqref="A1:G1"/>
      <pageMargins left="0.78740157480314965" right="0.78740157480314965" top="1.5748031496062993" bottom="0.98425196850393704" header="0.51181102362204722" footer="0.51181102362204722"/>
      <printOptions horizontalCentered="1" verticalCentered="1"/>
      <pageSetup paperSize="9" orientation="landscape" horizontalDpi="300" verticalDpi="300" r:id="rId2"/>
      <headerFooter alignWithMargins="0">
        <oddHeader>&amp;L&amp;8Universität Rostock
Fakultät für Maschinbau
Schiffstechnik
Institut für Maritime Systeme und Strömungstechnik&amp;C&amp;"Arial,Fett"&amp;14Papierschiffwettbewerb 2004
Auswertung Kategorie höchste Tragfähigkeit&amp;Rwww.paperboat.de</oddHeader>
        <oddFooter>Seite &amp;P von &amp;N</oddFooter>
      </headerFooter>
    </customSheetView>
  </customSheetViews>
  <mergeCells count="1">
    <mergeCell ref="A1:D1"/>
  </mergeCells>
  <phoneticPr fontId="0" type="noConversion"/>
  <printOptions horizontalCentered="1" verticalCentered="1"/>
  <pageMargins left="0.78740157480314965" right="0.78740157480314965" top="1.5748031496062993" bottom="0.98425196850393704" header="0.51181102362204722" footer="0.51181102362204722"/>
  <pageSetup paperSize="9" orientation="landscape" horizontalDpi="300" verticalDpi="300" r:id="rId3"/>
  <headerFooter alignWithMargins="0">
    <oddHeader>&amp;L&amp;8Universität Rostock
Fakultät für Maschinbau
Schiffstechnik
Institut für Maritime Systeme und Strömungstechnik&amp;C&amp;"Arial,Fett"&amp;14Papierschiffwettbewerb 2004
Auswertung Kategorie höchste Tragfähigkeit&amp;Rwww.paperboat.de</oddHeader>
    <oddFooter>Seite &amp;P von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4:F68"/>
  <sheetViews>
    <sheetView zoomScaleNormal="100" workbookViewId="0">
      <selection activeCell="E18" sqref="E18"/>
    </sheetView>
  </sheetViews>
  <sheetFormatPr baseColWidth="10" defaultColWidth="11.42578125" defaultRowHeight="12.75"/>
  <cols>
    <col min="1" max="1" width="6.85546875" style="15" customWidth="1"/>
    <col min="2" max="2" width="18.28515625" style="15" customWidth="1"/>
    <col min="3" max="3" width="13.28515625" style="96" customWidth="1"/>
    <col min="4" max="4" width="23.28515625" style="15" customWidth="1"/>
    <col min="5" max="5" width="19.85546875" style="15" customWidth="1"/>
    <col min="6" max="6" width="11.42578125" style="15"/>
    <col min="7" max="16384" width="11.42578125" style="13"/>
  </cols>
  <sheetData>
    <row r="4" spans="1:6" s="32" customFormat="1" ht="23.25">
      <c r="A4" s="130" t="s">
        <v>59</v>
      </c>
      <c r="B4" s="131"/>
      <c r="C4" s="131"/>
      <c r="D4" s="131"/>
      <c r="E4" s="131"/>
      <c r="F4" s="131"/>
    </row>
    <row r="5" spans="1:6" s="11" customFormat="1" ht="18">
      <c r="A5" s="22"/>
      <c r="B5" s="15"/>
      <c r="C5" s="96"/>
      <c r="D5" s="15"/>
      <c r="E5" s="15"/>
      <c r="F5" s="15"/>
    </row>
    <row r="6" spans="1:6" s="11" customFormat="1" ht="18">
      <c r="A6" s="22"/>
      <c r="B6" s="15"/>
      <c r="C6" s="96"/>
      <c r="D6" s="15"/>
      <c r="E6" s="15"/>
      <c r="F6" s="15"/>
    </row>
    <row r="7" spans="1:6" s="11" customFormat="1" ht="18">
      <c r="A7" s="22"/>
      <c r="B7" s="15"/>
      <c r="C7" s="96"/>
      <c r="D7" s="15"/>
      <c r="E7" s="15"/>
      <c r="F7" s="15"/>
    </row>
    <row r="8" spans="1:6" ht="15.75">
      <c r="A8" s="12" t="s">
        <v>29</v>
      </c>
      <c r="B8" s="12" t="s">
        <v>30</v>
      </c>
      <c r="C8" s="97" t="s">
        <v>57</v>
      </c>
      <c r="D8" s="12" t="s">
        <v>16</v>
      </c>
      <c r="E8" s="12" t="s">
        <v>17</v>
      </c>
      <c r="F8" s="12" t="s">
        <v>31</v>
      </c>
    </row>
    <row r="9" spans="1:6" ht="15.75">
      <c r="A9" s="18">
        <v>1</v>
      </c>
      <c r="B9" s="23">
        <f>Ausw_Web!B4</f>
        <v>0</v>
      </c>
      <c r="C9" s="98">
        <f>Ausw_Web!C4</f>
        <v>0</v>
      </c>
      <c r="D9" s="14">
        <f>Ausw_Web!D4</f>
        <v>0</v>
      </c>
      <c r="E9" s="14">
        <f>Ausw_Web!E4</f>
        <v>0</v>
      </c>
      <c r="F9" s="24" t="s">
        <v>39</v>
      </c>
    </row>
    <row r="10" spans="1:6" ht="15.75">
      <c r="A10" s="18">
        <v>2</v>
      </c>
      <c r="B10" s="23">
        <f>Ausw_Web!B5</f>
        <v>0</v>
      </c>
      <c r="C10" s="98">
        <f>Ausw_Web!C5</f>
        <v>0</v>
      </c>
      <c r="D10" s="14">
        <f>Ausw_Web!D5</f>
        <v>0</v>
      </c>
      <c r="E10" s="14">
        <f>Ausw_Web!E5</f>
        <v>0</v>
      </c>
      <c r="F10" s="24" t="s">
        <v>40</v>
      </c>
    </row>
    <row r="11" spans="1:6" ht="15.75">
      <c r="A11" s="18">
        <v>3</v>
      </c>
      <c r="B11" s="23">
        <f>Ausw_Web!B6</f>
        <v>0</v>
      </c>
      <c r="C11" s="98">
        <f>Ausw_Web!C6</f>
        <v>0</v>
      </c>
      <c r="D11" s="14">
        <f>Ausw_Web!D6</f>
        <v>0</v>
      </c>
      <c r="E11" s="14">
        <f>Ausw_Web!E6</f>
        <v>0</v>
      </c>
      <c r="F11" s="24" t="s">
        <v>32</v>
      </c>
    </row>
    <row r="12" spans="1:6" ht="15.75">
      <c r="A12" s="18">
        <v>4</v>
      </c>
      <c r="B12" s="23">
        <f>Ausw_Web!B7</f>
        <v>0</v>
      </c>
      <c r="C12" s="98">
        <f>Ausw_Web!C7</f>
        <v>0</v>
      </c>
      <c r="D12" s="14">
        <f>Ausw_Web!D7</f>
        <v>0</v>
      </c>
      <c r="E12" s="14">
        <f>Ausw_Web!E7</f>
        <v>0</v>
      </c>
      <c r="F12" s="24" t="s">
        <v>33</v>
      </c>
    </row>
    <row r="13" spans="1:6" ht="32.25" customHeight="1">
      <c r="A13" s="18">
        <v>5</v>
      </c>
      <c r="B13" s="23">
        <f>Ausw_Web!B8</f>
        <v>0</v>
      </c>
      <c r="C13" s="98">
        <f>Ausw_Web!C8</f>
        <v>0</v>
      </c>
      <c r="D13" s="14">
        <f>Ausw_Web!D8</f>
        <v>0</v>
      </c>
      <c r="E13" s="14">
        <f>Ausw_Web!E8</f>
        <v>0</v>
      </c>
      <c r="F13" s="24" t="s">
        <v>33</v>
      </c>
    </row>
    <row r="14" spans="1:6" ht="15.75">
      <c r="A14" s="18">
        <v>6</v>
      </c>
      <c r="B14" s="23">
        <f>Ausw_Web!B9</f>
        <v>0</v>
      </c>
      <c r="C14" s="98">
        <f>Ausw_Web!C9</f>
        <v>0</v>
      </c>
      <c r="D14" s="14">
        <f>Ausw_Web!D9</f>
        <v>0</v>
      </c>
      <c r="E14" s="14">
        <f>Ausw_Web!E9</f>
        <v>0</v>
      </c>
      <c r="F14" s="24" t="s">
        <v>33</v>
      </c>
    </row>
    <row r="33" spans="1:6" s="11" customFormat="1" ht="23.25" customHeight="1">
      <c r="A33" s="130"/>
      <c r="B33" s="132"/>
      <c r="C33" s="132"/>
      <c r="D33" s="132"/>
      <c r="E33" s="132"/>
      <c r="F33" s="132"/>
    </row>
    <row r="34" spans="1:6" s="11" customFormat="1" ht="18">
      <c r="A34" s="22"/>
      <c r="B34" s="15"/>
      <c r="C34" s="96"/>
      <c r="D34" s="15"/>
      <c r="E34" s="15"/>
      <c r="F34" s="15"/>
    </row>
    <row r="35" spans="1:6" s="11" customFormat="1" ht="18">
      <c r="A35" s="22"/>
      <c r="B35" s="15"/>
      <c r="C35" s="96"/>
      <c r="D35" s="15"/>
      <c r="E35" s="15"/>
      <c r="F35" s="15"/>
    </row>
    <row r="36" spans="1:6" ht="15.75">
      <c r="A36" s="12"/>
      <c r="B36" s="12"/>
      <c r="C36" s="89"/>
      <c r="D36" s="12"/>
      <c r="E36" s="12"/>
      <c r="F36" s="12"/>
    </row>
    <row r="37" spans="1:6" ht="15.75">
      <c r="A37" s="18"/>
      <c r="B37" s="23"/>
      <c r="C37" s="99"/>
      <c r="D37" s="14"/>
      <c r="E37" s="14"/>
      <c r="F37" s="24"/>
    </row>
    <row r="38" spans="1:6" ht="15.75">
      <c r="A38" s="18"/>
      <c r="B38" s="23"/>
      <c r="C38" s="99"/>
      <c r="D38" s="14"/>
      <c r="E38" s="14"/>
      <c r="F38" s="24"/>
    </row>
    <row r="39" spans="1:6" ht="34.5" customHeight="1">
      <c r="A39" s="18"/>
      <c r="B39" s="23"/>
      <c r="C39" s="99"/>
      <c r="D39" s="14"/>
      <c r="E39" s="14"/>
      <c r="F39" s="24"/>
    </row>
    <row r="40" spans="1:6" ht="15.75">
      <c r="A40" s="18"/>
      <c r="B40" s="23"/>
      <c r="C40" s="99"/>
      <c r="D40" s="14"/>
      <c r="E40" s="14"/>
      <c r="F40" s="24"/>
    </row>
    <row r="41" spans="1:6" ht="15.75">
      <c r="A41" s="18"/>
      <c r="B41" s="23"/>
      <c r="C41" s="99"/>
      <c r="D41" s="14"/>
      <c r="E41" s="14"/>
      <c r="F41" s="24"/>
    </row>
    <row r="42" spans="1:6" ht="15.75">
      <c r="A42" s="18"/>
      <c r="B42" s="23"/>
      <c r="C42" s="99"/>
      <c r="D42" s="14"/>
      <c r="E42" s="14"/>
      <c r="F42" s="24"/>
    </row>
    <row r="60" spans="1:6" s="32" customFormat="1" ht="23.25">
      <c r="A60" s="130"/>
      <c r="B60" s="132"/>
      <c r="C60" s="132"/>
      <c r="D60" s="132"/>
      <c r="E60" s="132"/>
      <c r="F60" s="132"/>
    </row>
    <row r="61" spans="1:6" s="11" customFormat="1" ht="18">
      <c r="A61" s="22"/>
      <c r="B61" s="15"/>
      <c r="C61" s="96"/>
      <c r="D61" s="15"/>
      <c r="E61" s="15"/>
      <c r="F61" s="15"/>
    </row>
    <row r="62" spans="1:6" s="11" customFormat="1" ht="18">
      <c r="A62" s="12"/>
      <c r="B62" s="12"/>
      <c r="C62" s="89"/>
      <c r="D62" s="12"/>
      <c r="E62" s="12"/>
      <c r="F62" s="12"/>
    </row>
    <row r="63" spans="1:6" ht="32.25" customHeight="1">
      <c r="A63" s="18"/>
      <c r="B63" s="23"/>
      <c r="C63" s="99"/>
      <c r="D63" s="14"/>
      <c r="E63" s="14"/>
      <c r="F63" s="24"/>
    </row>
    <row r="64" spans="1:6" ht="15.75">
      <c r="A64" s="18"/>
      <c r="B64" s="23"/>
      <c r="C64" s="99"/>
      <c r="D64" s="14"/>
      <c r="E64" s="14"/>
      <c r="F64" s="24"/>
    </row>
    <row r="65" spans="1:6" ht="15.75">
      <c r="A65" s="18"/>
      <c r="B65" s="23"/>
      <c r="C65" s="99"/>
      <c r="D65" s="14"/>
      <c r="E65" s="14"/>
      <c r="F65" s="24"/>
    </row>
    <row r="66" spans="1:6" ht="15.75">
      <c r="A66" s="18"/>
      <c r="B66" s="23"/>
      <c r="C66" s="99"/>
      <c r="D66" s="14"/>
      <c r="E66" s="14"/>
      <c r="F66" s="24"/>
    </row>
    <row r="67" spans="1:6" ht="15.75">
      <c r="A67" s="18"/>
      <c r="B67" s="23"/>
      <c r="C67" s="99"/>
      <c r="D67" s="14"/>
      <c r="E67" s="14"/>
      <c r="F67" s="24"/>
    </row>
    <row r="68" spans="1:6" ht="15.75">
      <c r="A68" s="18"/>
      <c r="B68" s="23"/>
      <c r="C68" s="99"/>
      <c r="D68" s="14"/>
      <c r="E68" s="14"/>
      <c r="F68" s="24"/>
    </row>
  </sheetData>
  <customSheetViews>
    <customSheetView guid="{78B3A349-4A6A-4124-974B-C4B81C7019CD}" scale="75" showRuler="0" topLeftCell="A47">
      <selection activeCell="G23" sqref="G23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orientation="landscape" horizontalDpi="4294967293" r:id="rId1"/>
      <headerFooter alignWithMargins="0">
        <oddHeader>&amp;C&amp;"Arial,Fett"&amp;12Auswertung Papierschiffwettbewerb 2004&amp;"Arial,Standard"&amp;10
Universität Rostock Fakultät
Maschinenbau/Schiffstechnik
Institut für Maritime Systeme und Strömungstechnik</oddHeader>
        <oddFooter>&amp;C&amp;D  &amp;T  &amp;P/&amp;N</oddFooter>
      </headerFooter>
    </customSheetView>
    <customSheetView guid="{F48999E8-45B5-4A7E-B3AF-FA7A59AA8144}" scale="75" showRuler="0" topLeftCell="A47">
      <selection activeCell="G23" sqref="G23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orientation="landscape" horizontalDpi="4294967293" r:id="rId2"/>
      <headerFooter alignWithMargins="0">
        <oddHeader>&amp;C&amp;"Arial,Fett"&amp;12Auswertung Papierschiffwettbewerb 2004&amp;"Arial,Standard"&amp;10
Universität Rostock Fakultät
Maschinenbau/Schiffstechnik
Institut für Maritime Systeme und Strömungstechnik</oddHeader>
        <oddFooter>&amp;C&amp;D  &amp;T  &amp;P/&amp;N</oddFooter>
      </headerFooter>
    </customSheetView>
  </customSheetViews>
  <mergeCells count="3">
    <mergeCell ref="A4:F4"/>
    <mergeCell ref="A60:F60"/>
    <mergeCell ref="A33:F33"/>
  </mergeCells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horizontalDpi="4294967293" r:id="rId3"/>
  <headerFooter alignWithMargins="0">
    <oddHeader>&amp;C&amp;"Arial,Fett"&amp;12Auswertung Papierschiffwettbewerb 2007&amp;"Arial,Standard"&amp;10
Universität Rostock
 Lehrstuhl Schiffbau</oddHeader>
    <oddFooter>&amp;C&amp;D  &amp;T  &amp;P/&amp;N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 enableFormatConditionsCalculation="0">
    <tabColor indexed="44"/>
  </sheetPr>
  <dimension ref="A1:H53"/>
  <sheetViews>
    <sheetView zoomScale="50" workbookViewId="0">
      <selection activeCell="L32" sqref="L32"/>
    </sheetView>
  </sheetViews>
  <sheetFormatPr baseColWidth="10" defaultRowHeight="12.75"/>
  <sheetData>
    <row r="1" spans="1:8" ht="12.75" customHeight="1">
      <c r="A1" s="133" t="s">
        <v>34</v>
      </c>
      <c r="B1" s="133"/>
      <c r="C1" s="133"/>
      <c r="D1" s="133"/>
      <c r="E1" s="133"/>
      <c r="F1" s="133"/>
      <c r="G1" s="133"/>
      <c r="H1" s="133"/>
    </row>
    <row r="2" spans="1:8">
      <c r="A2" s="133"/>
      <c r="B2" s="133"/>
      <c r="C2" s="133"/>
      <c r="D2" s="133"/>
      <c r="E2" s="133"/>
      <c r="F2" s="133"/>
      <c r="G2" s="133"/>
      <c r="H2" s="133"/>
    </row>
    <row r="3" spans="1:8">
      <c r="A3" s="133"/>
      <c r="B3" s="133"/>
      <c r="C3" s="133"/>
      <c r="D3" s="133"/>
      <c r="E3" s="133"/>
      <c r="F3" s="133"/>
      <c r="G3" s="133"/>
      <c r="H3" s="133"/>
    </row>
    <row r="4" spans="1:8">
      <c r="A4" s="133"/>
      <c r="B4" s="133"/>
      <c r="C4" s="133"/>
      <c r="D4" s="133"/>
      <c r="E4" s="133"/>
      <c r="F4" s="133"/>
      <c r="G4" s="133"/>
      <c r="H4" s="133"/>
    </row>
    <row r="5" spans="1:8">
      <c r="A5" s="133"/>
      <c r="B5" s="133"/>
      <c r="C5" s="133"/>
      <c r="D5" s="133"/>
      <c r="E5" s="133"/>
      <c r="F5" s="133"/>
      <c r="G5" s="133"/>
      <c r="H5" s="133"/>
    </row>
    <row r="6" spans="1:8">
      <c r="A6" s="133"/>
      <c r="B6" s="133"/>
      <c r="C6" s="133"/>
      <c r="D6" s="133"/>
      <c r="E6" s="133"/>
      <c r="F6" s="133"/>
      <c r="G6" s="133"/>
      <c r="H6" s="133"/>
    </row>
    <row r="7" spans="1:8">
      <c r="A7" s="133"/>
      <c r="B7" s="133"/>
      <c r="C7" s="133"/>
      <c r="D7" s="133"/>
      <c r="E7" s="133"/>
      <c r="F7" s="133"/>
      <c r="G7" s="133"/>
      <c r="H7" s="133"/>
    </row>
    <row r="8" spans="1:8">
      <c r="A8" s="33"/>
    </row>
    <row r="9" spans="1:8">
      <c r="A9" s="141" t="s">
        <v>9</v>
      </c>
      <c r="B9" s="141"/>
      <c r="C9" s="141"/>
      <c r="D9" s="141"/>
      <c r="E9" s="141"/>
      <c r="F9" s="141"/>
      <c r="G9" s="141"/>
      <c r="H9" s="141"/>
    </row>
    <row r="10" spans="1:8">
      <c r="A10" s="141"/>
      <c r="B10" s="141"/>
      <c r="C10" s="141"/>
      <c r="D10" s="141"/>
      <c r="E10" s="141"/>
      <c r="F10" s="141"/>
      <c r="G10" s="141"/>
      <c r="H10" s="141"/>
    </row>
    <row r="11" spans="1:8">
      <c r="A11" s="141"/>
      <c r="B11" s="141"/>
      <c r="C11" s="141"/>
      <c r="D11" s="141"/>
      <c r="E11" s="141"/>
      <c r="F11" s="141"/>
      <c r="G11" s="141"/>
      <c r="H11" s="141"/>
    </row>
    <row r="12" spans="1:8" ht="12.75" customHeight="1">
      <c r="A12" s="136" t="s">
        <v>60</v>
      </c>
      <c r="B12" s="136"/>
      <c r="C12" s="136"/>
      <c r="D12" s="136"/>
      <c r="E12" s="136"/>
      <c r="F12" s="136"/>
      <c r="G12" s="136"/>
      <c r="H12" s="136"/>
    </row>
    <row r="13" spans="1:8" ht="12.75" customHeight="1">
      <c r="A13" s="136"/>
      <c r="B13" s="136"/>
      <c r="C13" s="136"/>
      <c r="D13" s="136"/>
      <c r="E13" s="136"/>
      <c r="F13" s="136"/>
      <c r="G13" s="136"/>
      <c r="H13" s="136"/>
    </row>
    <row r="14" spans="1:8" ht="12.75" customHeight="1">
      <c r="A14" s="136"/>
      <c r="B14" s="136"/>
      <c r="C14" s="136"/>
      <c r="D14" s="136"/>
      <c r="E14" s="136"/>
      <c r="F14" s="136"/>
      <c r="G14" s="136"/>
      <c r="H14" s="136"/>
    </row>
    <row r="15" spans="1:8" ht="12.75" customHeight="1">
      <c r="A15" s="136"/>
      <c r="B15" s="136"/>
      <c r="C15" s="136"/>
      <c r="D15" s="136"/>
      <c r="E15" s="136"/>
      <c r="F15" s="136"/>
      <c r="G15" s="136"/>
      <c r="H15" s="136"/>
    </row>
    <row r="16" spans="1:8" ht="12.75" customHeight="1">
      <c r="A16" s="136"/>
      <c r="B16" s="136"/>
      <c r="C16" s="136"/>
      <c r="D16" s="136"/>
      <c r="E16" s="136"/>
      <c r="F16" s="136"/>
      <c r="G16" s="136"/>
      <c r="H16" s="136"/>
    </row>
    <row r="17" spans="1:8" ht="12.75" customHeight="1">
      <c r="A17" s="136"/>
      <c r="B17" s="136"/>
      <c r="C17" s="136"/>
      <c r="D17" s="136"/>
      <c r="E17" s="136"/>
      <c r="F17" s="136"/>
      <c r="G17" s="136"/>
      <c r="H17" s="136"/>
    </row>
    <row r="18" spans="1:8">
      <c r="A18" s="136"/>
      <c r="B18" s="136"/>
      <c r="C18" s="136"/>
      <c r="D18" s="136"/>
      <c r="E18" s="136"/>
      <c r="F18" s="136"/>
      <c r="G18" s="136"/>
      <c r="H18" s="136"/>
    </row>
    <row r="19" spans="1:8" ht="25.5" customHeight="1">
      <c r="A19" s="136"/>
      <c r="B19" s="136"/>
      <c r="C19" s="136"/>
      <c r="D19" s="136"/>
      <c r="E19" s="136"/>
      <c r="F19" s="136"/>
      <c r="G19" s="136"/>
      <c r="H19" s="136"/>
    </row>
    <row r="20" spans="1:8" ht="18">
      <c r="A20" s="146" t="s">
        <v>37</v>
      </c>
      <c r="B20" s="145"/>
      <c r="C20" s="145"/>
      <c r="D20" s="145"/>
      <c r="E20" s="145"/>
      <c r="F20" s="145"/>
      <c r="G20" s="145"/>
      <c r="H20" s="145"/>
    </row>
    <row r="21" spans="1:8">
      <c r="A21" s="142">
        <f>Ausw_Web!B4</f>
        <v>0</v>
      </c>
      <c r="B21" s="143"/>
      <c r="C21" s="143"/>
      <c r="D21" s="143"/>
      <c r="E21" s="143"/>
      <c r="F21" s="143"/>
      <c r="G21" s="143"/>
      <c r="H21" s="143"/>
    </row>
    <row r="22" spans="1:8">
      <c r="A22" s="143"/>
      <c r="B22" s="143"/>
      <c r="C22" s="143"/>
      <c r="D22" s="143"/>
      <c r="E22" s="143"/>
      <c r="F22" s="143"/>
      <c r="G22" s="143"/>
      <c r="H22" s="143"/>
    </row>
    <row r="23" spans="1:8">
      <c r="A23" s="143"/>
      <c r="B23" s="143"/>
      <c r="C23" s="143"/>
      <c r="D23" s="143"/>
      <c r="E23" s="143"/>
      <c r="F23" s="143"/>
      <c r="G23" s="143"/>
      <c r="H23" s="143"/>
    </row>
    <row r="24" spans="1:8">
      <c r="A24" s="143"/>
      <c r="B24" s="143"/>
      <c r="C24" s="143"/>
      <c r="D24" s="143"/>
      <c r="E24" s="143"/>
      <c r="F24" s="143"/>
      <c r="G24" s="143"/>
      <c r="H24" s="143"/>
    </row>
    <row r="25" spans="1:8">
      <c r="A25" s="143"/>
      <c r="B25" s="143"/>
      <c r="C25" s="143"/>
      <c r="D25" s="143"/>
      <c r="E25" s="143"/>
      <c r="F25" s="143"/>
      <c r="G25" s="143"/>
      <c r="H25" s="143"/>
    </row>
    <row r="26" spans="1:8" ht="15.75" customHeight="1">
      <c r="A26" s="34"/>
      <c r="B26" s="34"/>
      <c r="C26" s="34"/>
      <c r="D26" s="34"/>
      <c r="E26" s="34"/>
      <c r="F26" s="34"/>
      <c r="G26" s="34"/>
      <c r="H26" s="34"/>
    </row>
    <row r="27" spans="1:8" ht="18">
      <c r="A27" s="144" t="s">
        <v>64</v>
      </c>
      <c r="B27" s="145"/>
      <c r="C27" s="145"/>
      <c r="D27" s="145"/>
      <c r="E27" s="145"/>
      <c r="F27" s="145"/>
      <c r="G27" s="145"/>
      <c r="H27" s="145"/>
    </row>
    <row r="28" spans="1:8" ht="12.75" customHeight="1">
      <c r="A28" s="147" t="str">
        <f>Ausw_Web!C4&amp;" Sekunden"</f>
        <v>0 Sekunden</v>
      </c>
      <c r="B28" s="147"/>
      <c r="C28" s="147"/>
      <c r="D28" s="147"/>
      <c r="E28" s="147"/>
      <c r="F28" s="147"/>
      <c r="G28" s="147"/>
      <c r="H28" s="147"/>
    </row>
    <row r="29" spans="1:8" ht="12.75" customHeight="1">
      <c r="A29" s="147"/>
      <c r="B29" s="147"/>
      <c r="C29" s="147"/>
      <c r="D29" s="147"/>
      <c r="E29" s="147"/>
      <c r="F29" s="147"/>
      <c r="G29" s="147"/>
      <c r="H29" s="147"/>
    </row>
    <row r="30" spans="1:8" ht="12.75" customHeight="1">
      <c r="A30" s="147"/>
      <c r="B30" s="147"/>
      <c r="C30" s="147"/>
      <c r="D30" s="147"/>
      <c r="E30" s="147"/>
      <c r="F30" s="147"/>
      <c r="G30" s="147"/>
      <c r="H30" s="147"/>
    </row>
    <row r="31" spans="1:8" ht="12.75" customHeight="1">
      <c r="A31" s="147"/>
      <c r="B31" s="147"/>
      <c r="C31" s="147"/>
      <c r="D31" s="147"/>
      <c r="E31" s="147"/>
      <c r="F31" s="147"/>
      <c r="G31" s="147"/>
      <c r="H31" s="147"/>
    </row>
    <row r="32" spans="1:8" ht="17.25" customHeight="1">
      <c r="A32" s="147"/>
      <c r="B32" s="147"/>
      <c r="C32" s="147"/>
      <c r="D32" s="147"/>
      <c r="E32" s="147"/>
      <c r="F32" s="147"/>
      <c r="G32" s="147"/>
      <c r="H32" s="147"/>
    </row>
    <row r="33" spans="1:8" ht="18">
      <c r="A33" s="146" t="s">
        <v>36</v>
      </c>
      <c r="B33" s="145"/>
      <c r="C33" s="145"/>
      <c r="D33" s="145"/>
      <c r="E33" s="145"/>
      <c r="F33" s="145"/>
      <c r="G33" s="145"/>
      <c r="H33" s="145"/>
    </row>
    <row r="34" spans="1:8" ht="12.75" customHeight="1">
      <c r="A34" s="137">
        <f>Ausw_Web!D4</f>
        <v>0</v>
      </c>
      <c r="B34" s="137"/>
      <c r="C34" s="137"/>
      <c r="D34" s="137"/>
      <c r="E34" s="137"/>
      <c r="F34" s="137"/>
      <c r="G34" s="137"/>
      <c r="H34" s="137"/>
    </row>
    <row r="35" spans="1:8" ht="12.75" customHeight="1">
      <c r="A35" s="137"/>
      <c r="B35" s="137"/>
      <c r="C35" s="137"/>
      <c r="D35" s="137"/>
      <c r="E35" s="137"/>
      <c r="F35" s="137"/>
      <c r="G35" s="137"/>
      <c r="H35" s="137"/>
    </row>
    <row r="36" spans="1:8" ht="12.75" customHeight="1">
      <c r="A36" s="137"/>
      <c r="B36" s="137"/>
      <c r="C36" s="137"/>
      <c r="D36" s="137"/>
      <c r="E36" s="137"/>
      <c r="F36" s="137"/>
      <c r="G36" s="137"/>
      <c r="H36" s="137"/>
    </row>
    <row r="37" spans="1:8" ht="12.75" customHeight="1">
      <c r="A37" s="137"/>
      <c r="B37" s="137"/>
      <c r="C37" s="137"/>
      <c r="D37" s="137"/>
      <c r="E37" s="137"/>
      <c r="F37" s="137"/>
      <c r="G37" s="137"/>
      <c r="H37" s="137"/>
    </row>
    <row r="38" spans="1:8">
      <c r="A38" s="137"/>
      <c r="B38" s="137"/>
      <c r="C38" s="137"/>
      <c r="D38" s="137"/>
      <c r="E38" s="137"/>
      <c r="F38" s="137"/>
      <c r="G38" s="137"/>
      <c r="H38" s="137"/>
    </row>
    <row r="39" spans="1:8">
      <c r="A39" s="137"/>
      <c r="B39" s="137"/>
      <c r="C39" s="137"/>
      <c r="D39" s="137"/>
      <c r="E39" s="137"/>
      <c r="F39" s="137"/>
      <c r="G39" s="137"/>
      <c r="H39" s="137"/>
    </row>
    <row r="40" spans="1:8">
      <c r="A40" s="137"/>
      <c r="B40" s="137"/>
      <c r="C40" s="137"/>
      <c r="D40" s="137"/>
      <c r="E40" s="137"/>
      <c r="F40" s="137"/>
      <c r="G40" s="137"/>
      <c r="H40" s="137"/>
    </row>
    <row r="41" spans="1:8">
      <c r="A41" s="137"/>
      <c r="B41" s="137"/>
      <c r="C41" s="137"/>
      <c r="D41" s="137"/>
      <c r="E41" s="137"/>
      <c r="F41" s="137"/>
      <c r="G41" s="137"/>
      <c r="H41" s="137"/>
    </row>
    <row r="42" spans="1:8">
      <c r="A42" s="137"/>
      <c r="B42" s="137"/>
      <c r="C42" s="137"/>
      <c r="D42" s="137"/>
      <c r="E42" s="137"/>
      <c r="F42" s="137"/>
      <c r="G42" s="137"/>
      <c r="H42" s="137"/>
    </row>
    <row r="43" spans="1:8">
      <c r="A43" s="137"/>
      <c r="B43" s="137"/>
      <c r="C43" s="137"/>
      <c r="D43" s="137"/>
      <c r="E43" s="137"/>
      <c r="F43" s="137"/>
      <c r="G43" s="137"/>
      <c r="H43" s="137"/>
    </row>
    <row r="44" spans="1:8">
      <c r="A44" s="33"/>
    </row>
    <row r="45" spans="1:8">
      <c r="A45" s="33"/>
    </row>
    <row r="46" spans="1:8" ht="15">
      <c r="A46" s="35"/>
      <c r="B46" s="25"/>
      <c r="C46" s="25"/>
    </row>
    <row r="47" spans="1:8" ht="15" customHeight="1">
      <c r="A47" s="148" t="s">
        <v>63</v>
      </c>
      <c r="B47" s="149"/>
      <c r="C47" s="149"/>
      <c r="F47" s="134" t="s">
        <v>35</v>
      </c>
      <c r="G47" s="135"/>
      <c r="H47" s="135"/>
    </row>
    <row r="48" spans="1:8">
      <c r="A48" s="33"/>
    </row>
    <row r="49" spans="1:8">
      <c r="A49" s="140" t="s">
        <v>62</v>
      </c>
      <c r="B49" s="140"/>
      <c r="C49" s="140"/>
      <c r="D49" s="140"/>
      <c r="E49" s="140"/>
      <c r="F49" s="140"/>
      <c r="G49" s="140"/>
      <c r="H49" s="140"/>
    </row>
    <row r="50" spans="1:8">
      <c r="A50" s="140"/>
      <c r="B50" s="140"/>
      <c r="C50" s="140"/>
      <c r="D50" s="140"/>
      <c r="E50" s="140"/>
      <c r="F50" s="140"/>
      <c r="G50" s="140"/>
      <c r="H50" s="140"/>
    </row>
    <row r="51" spans="1:8" ht="12.75" customHeight="1">
      <c r="A51" s="138" t="s">
        <v>61</v>
      </c>
      <c r="B51" s="139"/>
      <c r="C51" s="139"/>
      <c r="D51" s="139"/>
      <c r="E51" s="139"/>
      <c r="F51" s="139"/>
      <c r="G51" s="139"/>
      <c r="H51" s="139"/>
    </row>
    <row r="52" spans="1:8">
      <c r="A52" s="139"/>
      <c r="B52" s="139"/>
      <c r="C52" s="139"/>
      <c r="D52" s="139"/>
      <c r="E52" s="139"/>
      <c r="F52" s="139"/>
      <c r="G52" s="139"/>
      <c r="H52" s="139"/>
    </row>
    <row r="53" spans="1:8">
      <c r="A53" s="139"/>
      <c r="B53" s="139"/>
      <c r="C53" s="139"/>
      <c r="D53" s="139"/>
      <c r="E53" s="139"/>
      <c r="F53" s="139"/>
      <c r="G53" s="139"/>
      <c r="H53" s="139"/>
    </row>
  </sheetData>
  <customSheetViews>
    <customSheetView guid="{78B3A349-4A6A-4124-974B-C4B81C7019CD}" scale="50" showRuler="0">
      <selection activeCell="A28" sqref="A28:H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A28" sqref="A28:H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5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>
    <tabColor indexed="44"/>
  </sheetPr>
  <dimension ref="A1:H53"/>
  <sheetViews>
    <sheetView zoomScale="50" workbookViewId="0">
      <selection activeCell="L43" sqref="L43"/>
    </sheetView>
  </sheetViews>
  <sheetFormatPr baseColWidth="10" defaultRowHeight="12.75"/>
  <sheetData>
    <row r="1" spans="1:8" ht="12.75" customHeight="1">
      <c r="A1" s="133" t="s">
        <v>34</v>
      </c>
      <c r="B1" s="133"/>
      <c r="C1" s="133"/>
      <c r="D1" s="133"/>
      <c r="E1" s="133"/>
      <c r="F1" s="133"/>
      <c r="G1" s="133"/>
      <c r="H1" s="133"/>
    </row>
    <row r="2" spans="1:8">
      <c r="A2" s="133"/>
      <c r="B2" s="133"/>
      <c r="C2" s="133"/>
      <c r="D2" s="133"/>
      <c r="E2" s="133"/>
      <c r="F2" s="133"/>
      <c r="G2" s="133"/>
      <c r="H2" s="133"/>
    </row>
    <row r="3" spans="1:8">
      <c r="A3" s="133"/>
      <c r="B3" s="133"/>
      <c r="C3" s="133"/>
      <c r="D3" s="133"/>
      <c r="E3" s="133"/>
      <c r="F3" s="133"/>
      <c r="G3" s="133"/>
      <c r="H3" s="133"/>
    </row>
    <row r="4" spans="1:8">
      <c r="A4" s="133"/>
      <c r="B4" s="133"/>
      <c r="C4" s="133"/>
      <c r="D4" s="133"/>
      <c r="E4" s="133"/>
      <c r="F4" s="133"/>
      <c r="G4" s="133"/>
      <c r="H4" s="133"/>
    </row>
    <row r="5" spans="1:8">
      <c r="A5" s="133"/>
      <c r="B5" s="133"/>
      <c r="C5" s="133"/>
      <c r="D5" s="133"/>
      <c r="E5" s="133"/>
      <c r="F5" s="133"/>
      <c r="G5" s="133"/>
      <c r="H5" s="133"/>
    </row>
    <row r="6" spans="1:8">
      <c r="A6" s="133"/>
      <c r="B6" s="133"/>
      <c r="C6" s="133"/>
      <c r="D6" s="133"/>
      <c r="E6" s="133"/>
      <c r="F6" s="133"/>
      <c r="G6" s="133"/>
      <c r="H6" s="133"/>
    </row>
    <row r="7" spans="1:8">
      <c r="A7" s="133"/>
      <c r="B7" s="133"/>
      <c r="C7" s="133"/>
      <c r="D7" s="133"/>
      <c r="E7" s="133"/>
      <c r="F7" s="133"/>
      <c r="G7" s="133"/>
      <c r="H7" s="133"/>
    </row>
    <row r="8" spans="1:8">
      <c r="A8" s="33"/>
    </row>
    <row r="9" spans="1:8">
      <c r="A9" s="141" t="s">
        <v>10</v>
      </c>
      <c r="B9" s="141"/>
      <c r="C9" s="141"/>
      <c r="D9" s="141"/>
      <c r="E9" s="141"/>
      <c r="F9" s="141"/>
      <c r="G9" s="141"/>
      <c r="H9" s="141"/>
    </row>
    <row r="10" spans="1:8">
      <c r="A10" s="141"/>
      <c r="B10" s="141"/>
      <c r="C10" s="141"/>
      <c r="D10" s="141"/>
      <c r="E10" s="141"/>
      <c r="F10" s="141"/>
      <c r="G10" s="141"/>
      <c r="H10" s="141"/>
    </row>
    <row r="11" spans="1:8">
      <c r="A11" s="141"/>
      <c r="B11" s="141"/>
      <c r="C11" s="141"/>
      <c r="D11" s="141"/>
      <c r="E11" s="141"/>
      <c r="F11" s="141"/>
      <c r="G11" s="141"/>
      <c r="H11" s="141"/>
    </row>
    <row r="12" spans="1:8" ht="12.75" customHeight="1">
      <c r="A12" s="136" t="s">
        <v>60</v>
      </c>
      <c r="B12" s="136"/>
      <c r="C12" s="136"/>
      <c r="D12" s="136"/>
      <c r="E12" s="136"/>
      <c r="F12" s="136"/>
      <c r="G12" s="136"/>
      <c r="H12" s="136"/>
    </row>
    <row r="13" spans="1:8" ht="12.75" customHeight="1">
      <c r="A13" s="136"/>
      <c r="B13" s="136"/>
      <c r="C13" s="136"/>
      <c r="D13" s="136"/>
      <c r="E13" s="136"/>
      <c r="F13" s="136"/>
      <c r="G13" s="136"/>
      <c r="H13" s="136"/>
    </row>
    <row r="14" spans="1:8" ht="12.75" customHeight="1">
      <c r="A14" s="136"/>
      <c r="B14" s="136"/>
      <c r="C14" s="136"/>
      <c r="D14" s="136"/>
      <c r="E14" s="136"/>
      <c r="F14" s="136"/>
      <c r="G14" s="136"/>
      <c r="H14" s="136"/>
    </row>
    <row r="15" spans="1:8" ht="12.75" customHeight="1">
      <c r="A15" s="136"/>
      <c r="B15" s="136"/>
      <c r="C15" s="136"/>
      <c r="D15" s="136"/>
      <c r="E15" s="136"/>
      <c r="F15" s="136"/>
      <c r="G15" s="136"/>
      <c r="H15" s="136"/>
    </row>
    <row r="16" spans="1:8" ht="12.75" customHeight="1">
      <c r="A16" s="136"/>
      <c r="B16" s="136"/>
      <c r="C16" s="136"/>
      <c r="D16" s="136"/>
      <c r="E16" s="136"/>
      <c r="F16" s="136"/>
      <c r="G16" s="136"/>
      <c r="H16" s="136"/>
    </row>
    <row r="17" spans="1:8" ht="12.75" customHeight="1">
      <c r="A17" s="136"/>
      <c r="B17" s="136"/>
      <c r="C17" s="136"/>
      <c r="D17" s="136"/>
      <c r="E17" s="136"/>
      <c r="F17" s="136"/>
      <c r="G17" s="136"/>
      <c r="H17" s="136"/>
    </row>
    <row r="18" spans="1:8" ht="12.75" customHeight="1">
      <c r="A18" s="136"/>
      <c r="B18" s="136"/>
      <c r="C18" s="136"/>
      <c r="D18" s="136"/>
      <c r="E18" s="136"/>
      <c r="F18" s="136"/>
      <c r="G18" s="136"/>
      <c r="H18" s="136"/>
    </row>
    <row r="19" spans="1:8" ht="25.5" customHeight="1">
      <c r="A19" s="136"/>
      <c r="B19" s="136"/>
      <c r="C19" s="136"/>
      <c r="D19" s="136"/>
      <c r="E19" s="136"/>
      <c r="F19" s="136"/>
      <c r="G19" s="136"/>
      <c r="H19" s="136"/>
    </row>
    <row r="20" spans="1:8" ht="18">
      <c r="A20" s="146" t="s">
        <v>37</v>
      </c>
      <c r="B20" s="145"/>
      <c r="C20" s="145"/>
      <c r="D20" s="145"/>
      <c r="E20" s="145"/>
      <c r="F20" s="145"/>
      <c r="G20" s="145"/>
      <c r="H20" s="145"/>
    </row>
    <row r="21" spans="1:8">
      <c r="A21" s="142">
        <f>Ausw_Web!B5</f>
        <v>0</v>
      </c>
      <c r="B21" s="143"/>
      <c r="C21" s="143"/>
      <c r="D21" s="143"/>
      <c r="E21" s="143"/>
      <c r="F21" s="143"/>
      <c r="G21" s="143"/>
      <c r="H21" s="143"/>
    </row>
    <row r="22" spans="1:8">
      <c r="A22" s="143"/>
      <c r="B22" s="143"/>
      <c r="C22" s="143"/>
      <c r="D22" s="143"/>
      <c r="E22" s="143"/>
      <c r="F22" s="143"/>
      <c r="G22" s="143"/>
      <c r="H22" s="143"/>
    </row>
    <row r="23" spans="1:8">
      <c r="A23" s="143"/>
      <c r="B23" s="143"/>
      <c r="C23" s="143"/>
      <c r="D23" s="143"/>
      <c r="E23" s="143"/>
      <c r="F23" s="143"/>
      <c r="G23" s="143"/>
      <c r="H23" s="143"/>
    </row>
    <row r="24" spans="1:8">
      <c r="A24" s="143"/>
      <c r="B24" s="143"/>
      <c r="C24" s="143"/>
      <c r="D24" s="143"/>
      <c r="E24" s="143"/>
      <c r="F24" s="143"/>
      <c r="G24" s="143"/>
      <c r="H24" s="143"/>
    </row>
    <row r="25" spans="1:8">
      <c r="A25" s="143"/>
      <c r="B25" s="143"/>
      <c r="C25" s="143"/>
      <c r="D25" s="143"/>
      <c r="E25" s="143"/>
      <c r="F25" s="143"/>
      <c r="G25" s="143"/>
      <c r="H25" s="143"/>
    </row>
    <row r="26" spans="1:8" ht="15.75" customHeight="1">
      <c r="A26" s="34"/>
      <c r="B26" s="34"/>
      <c r="C26" s="34"/>
      <c r="D26" s="34"/>
      <c r="E26" s="34"/>
      <c r="F26" s="34"/>
      <c r="G26" s="34"/>
      <c r="H26" s="34"/>
    </row>
    <row r="27" spans="1:8" ht="18">
      <c r="A27" s="144" t="s">
        <v>64</v>
      </c>
      <c r="B27" s="145"/>
      <c r="C27" s="145"/>
      <c r="D27" s="145"/>
      <c r="E27" s="145"/>
      <c r="F27" s="145"/>
      <c r="G27" s="145"/>
      <c r="H27" s="145"/>
    </row>
    <row r="28" spans="1:8" ht="12.75" customHeight="1">
      <c r="A28" s="147" t="str">
        <f>Ausw_Web!C5&amp;" Sekunden"</f>
        <v>0 Sekunden</v>
      </c>
      <c r="B28" s="147"/>
      <c r="C28" s="147"/>
      <c r="D28" s="147"/>
      <c r="E28" s="147"/>
      <c r="F28" s="147"/>
      <c r="G28" s="147"/>
      <c r="H28" s="147"/>
    </row>
    <row r="29" spans="1:8" ht="12.75" customHeight="1">
      <c r="A29" s="147"/>
      <c r="B29" s="147"/>
      <c r="C29" s="147"/>
      <c r="D29" s="147"/>
      <c r="E29" s="147"/>
      <c r="F29" s="147"/>
      <c r="G29" s="147"/>
      <c r="H29" s="147"/>
    </row>
    <row r="30" spans="1:8" ht="12.75" customHeight="1">
      <c r="A30" s="147"/>
      <c r="B30" s="147"/>
      <c r="C30" s="147"/>
      <c r="D30" s="147"/>
      <c r="E30" s="147"/>
      <c r="F30" s="147"/>
      <c r="G30" s="147"/>
      <c r="H30" s="147"/>
    </row>
    <row r="31" spans="1:8" ht="12.75" customHeight="1">
      <c r="A31" s="147"/>
      <c r="B31" s="147"/>
      <c r="C31" s="147"/>
      <c r="D31" s="147"/>
      <c r="E31" s="147"/>
      <c r="F31" s="147"/>
      <c r="G31" s="147"/>
      <c r="H31" s="147"/>
    </row>
    <row r="32" spans="1:8" ht="17.25" customHeight="1">
      <c r="A32" s="147"/>
      <c r="B32" s="147"/>
      <c r="C32" s="147"/>
      <c r="D32" s="147"/>
      <c r="E32" s="147"/>
      <c r="F32" s="147"/>
      <c r="G32" s="147"/>
      <c r="H32" s="147"/>
    </row>
    <row r="33" spans="1:8" ht="18">
      <c r="A33" s="146" t="s">
        <v>36</v>
      </c>
      <c r="B33" s="145"/>
      <c r="C33" s="145"/>
      <c r="D33" s="145"/>
      <c r="E33" s="145"/>
      <c r="F33" s="145"/>
      <c r="G33" s="145"/>
      <c r="H33" s="145"/>
    </row>
    <row r="34" spans="1:8" ht="12.75" customHeight="1">
      <c r="A34" s="137">
        <f>Ausw_Web!D5</f>
        <v>0</v>
      </c>
      <c r="B34" s="137"/>
      <c r="C34" s="137"/>
      <c r="D34" s="137"/>
      <c r="E34" s="137"/>
      <c r="F34" s="137"/>
      <c r="G34" s="137"/>
      <c r="H34" s="137"/>
    </row>
    <row r="35" spans="1:8" ht="12.75" customHeight="1">
      <c r="A35" s="137"/>
      <c r="B35" s="137"/>
      <c r="C35" s="137"/>
      <c r="D35" s="137"/>
      <c r="E35" s="137"/>
      <c r="F35" s="137"/>
      <c r="G35" s="137"/>
      <c r="H35" s="137"/>
    </row>
    <row r="36" spans="1:8" ht="12.75" customHeight="1">
      <c r="A36" s="137"/>
      <c r="B36" s="137"/>
      <c r="C36" s="137"/>
      <c r="D36" s="137"/>
      <c r="E36" s="137"/>
      <c r="F36" s="137"/>
      <c r="G36" s="137"/>
      <c r="H36" s="137"/>
    </row>
    <row r="37" spans="1:8" ht="12.75" customHeight="1">
      <c r="A37" s="137"/>
      <c r="B37" s="137"/>
      <c r="C37" s="137"/>
      <c r="D37" s="137"/>
      <c r="E37" s="137"/>
      <c r="F37" s="137"/>
      <c r="G37" s="137"/>
      <c r="H37" s="137"/>
    </row>
    <row r="38" spans="1:8">
      <c r="A38" s="137"/>
      <c r="B38" s="137"/>
      <c r="C38" s="137"/>
      <c r="D38" s="137"/>
      <c r="E38" s="137"/>
      <c r="F38" s="137"/>
      <c r="G38" s="137"/>
      <c r="H38" s="137"/>
    </row>
    <row r="39" spans="1:8">
      <c r="A39" s="137"/>
      <c r="B39" s="137"/>
      <c r="C39" s="137"/>
      <c r="D39" s="137"/>
      <c r="E39" s="137"/>
      <c r="F39" s="137"/>
      <c r="G39" s="137"/>
      <c r="H39" s="137"/>
    </row>
    <row r="40" spans="1:8">
      <c r="A40" s="137"/>
      <c r="B40" s="137"/>
      <c r="C40" s="137"/>
      <c r="D40" s="137"/>
      <c r="E40" s="137"/>
      <c r="F40" s="137"/>
      <c r="G40" s="137"/>
      <c r="H40" s="137"/>
    </row>
    <row r="41" spans="1:8">
      <c r="A41" s="137"/>
      <c r="B41" s="137"/>
      <c r="C41" s="137"/>
      <c r="D41" s="137"/>
      <c r="E41" s="137"/>
      <c r="F41" s="137"/>
      <c r="G41" s="137"/>
      <c r="H41" s="137"/>
    </row>
    <row r="42" spans="1:8">
      <c r="A42" s="137"/>
      <c r="B42" s="137"/>
      <c r="C42" s="137"/>
      <c r="D42" s="137"/>
      <c r="E42" s="137"/>
      <c r="F42" s="137"/>
      <c r="G42" s="137"/>
      <c r="H42" s="137"/>
    </row>
    <row r="43" spans="1:8">
      <c r="A43" s="137"/>
      <c r="B43" s="137"/>
      <c r="C43" s="137"/>
      <c r="D43" s="137"/>
      <c r="E43" s="137"/>
      <c r="F43" s="137"/>
      <c r="G43" s="137"/>
      <c r="H43" s="137"/>
    </row>
    <row r="44" spans="1:8" s="87" customFormat="1">
      <c r="A44" s="33"/>
    </row>
    <row r="45" spans="1:8" s="87" customFormat="1">
      <c r="A45" s="33"/>
    </row>
    <row r="46" spans="1:8" s="87" customFormat="1" ht="15">
      <c r="A46" s="86"/>
      <c r="B46" s="25"/>
      <c r="C46" s="25"/>
    </row>
    <row r="47" spans="1:8" s="87" customFormat="1" ht="15" customHeight="1">
      <c r="A47" s="148" t="s">
        <v>63</v>
      </c>
      <c r="B47" s="149"/>
      <c r="C47" s="149"/>
      <c r="F47" s="134" t="s">
        <v>35</v>
      </c>
      <c r="G47" s="135"/>
      <c r="H47" s="135"/>
    </row>
    <row r="48" spans="1:8" s="87" customFormat="1">
      <c r="A48" s="33"/>
    </row>
    <row r="49" spans="1:8" s="87" customFormat="1" ht="12.75" customHeight="1">
      <c r="A49" s="140" t="s">
        <v>62</v>
      </c>
      <c r="B49" s="140"/>
      <c r="C49" s="140"/>
      <c r="D49" s="140"/>
      <c r="E49" s="140"/>
      <c r="F49" s="140"/>
      <c r="G49" s="140"/>
      <c r="H49" s="140"/>
    </row>
    <row r="50" spans="1:8" s="87" customFormat="1" ht="12.75" customHeight="1">
      <c r="A50" s="140"/>
      <c r="B50" s="140"/>
      <c r="C50" s="140"/>
      <c r="D50" s="140"/>
      <c r="E50" s="140"/>
      <c r="F50" s="140"/>
      <c r="G50" s="140"/>
      <c r="H50" s="140"/>
    </row>
    <row r="51" spans="1:8" s="87" customFormat="1" ht="12.75" customHeight="1">
      <c r="A51" s="138" t="s">
        <v>61</v>
      </c>
      <c r="B51" s="139"/>
      <c r="C51" s="139"/>
      <c r="D51" s="139"/>
      <c r="E51" s="139"/>
      <c r="F51" s="139"/>
      <c r="G51" s="139"/>
      <c r="H51" s="139"/>
    </row>
    <row r="52" spans="1:8" s="87" customFormat="1" ht="12.75" customHeight="1">
      <c r="A52" s="139"/>
      <c r="B52" s="139"/>
      <c r="C52" s="139"/>
      <c r="D52" s="139"/>
      <c r="E52" s="139"/>
      <c r="F52" s="139"/>
      <c r="G52" s="139"/>
      <c r="H52" s="139"/>
    </row>
    <row r="53" spans="1:8" s="87" customFormat="1" ht="12.75" customHeight="1">
      <c r="A53" s="139"/>
      <c r="B53" s="139"/>
      <c r="C53" s="139"/>
      <c r="D53" s="139"/>
      <c r="E53" s="139"/>
      <c r="F53" s="139"/>
      <c r="G53" s="139"/>
      <c r="H53" s="13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5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 enableFormatConditionsCalculation="0">
    <tabColor indexed="44"/>
  </sheetPr>
  <dimension ref="A1:H53"/>
  <sheetViews>
    <sheetView zoomScale="50" workbookViewId="0">
      <selection activeCell="K35" sqref="K35"/>
    </sheetView>
  </sheetViews>
  <sheetFormatPr baseColWidth="10" defaultRowHeight="12.75"/>
  <sheetData>
    <row r="1" spans="1:8" ht="12.75" customHeight="1">
      <c r="A1" s="133" t="s">
        <v>34</v>
      </c>
      <c r="B1" s="133"/>
      <c r="C1" s="133"/>
      <c r="D1" s="133"/>
      <c r="E1" s="133"/>
      <c r="F1" s="133"/>
      <c r="G1" s="133"/>
      <c r="H1" s="133"/>
    </row>
    <row r="2" spans="1:8">
      <c r="A2" s="133"/>
      <c r="B2" s="133"/>
      <c r="C2" s="133"/>
      <c r="D2" s="133"/>
      <c r="E2" s="133"/>
      <c r="F2" s="133"/>
      <c r="G2" s="133"/>
      <c r="H2" s="133"/>
    </row>
    <row r="3" spans="1:8">
      <c r="A3" s="133"/>
      <c r="B3" s="133"/>
      <c r="C3" s="133"/>
      <c r="D3" s="133"/>
      <c r="E3" s="133"/>
      <c r="F3" s="133"/>
      <c r="G3" s="133"/>
      <c r="H3" s="133"/>
    </row>
    <row r="4" spans="1:8">
      <c r="A4" s="133"/>
      <c r="B4" s="133"/>
      <c r="C4" s="133"/>
      <c r="D4" s="133"/>
      <c r="E4" s="133"/>
      <c r="F4" s="133"/>
      <c r="G4" s="133"/>
      <c r="H4" s="133"/>
    </row>
    <row r="5" spans="1:8">
      <c r="A5" s="133"/>
      <c r="B5" s="133"/>
      <c r="C5" s="133"/>
      <c r="D5" s="133"/>
      <c r="E5" s="133"/>
      <c r="F5" s="133"/>
      <c r="G5" s="133"/>
      <c r="H5" s="133"/>
    </row>
    <row r="6" spans="1:8">
      <c r="A6" s="133"/>
      <c r="B6" s="133"/>
      <c r="C6" s="133"/>
      <c r="D6" s="133"/>
      <c r="E6" s="133"/>
      <c r="F6" s="133"/>
      <c r="G6" s="133"/>
      <c r="H6" s="133"/>
    </row>
    <row r="7" spans="1:8">
      <c r="A7" s="133"/>
      <c r="B7" s="133"/>
      <c r="C7" s="133"/>
      <c r="D7" s="133"/>
      <c r="E7" s="133"/>
      <c r="F7" s="133"/>
      <c r="G7" s="133"/>
      <c r="H7" s="133"/>
    </row>
    <row r="8" spans="1:8">
      <c r="A8" s="33"/>
    </row>
    <row r="9" spans="1:8">
      <c r="A9" s="141" t="s">
        <v>11</v>
      </c>
      <c r="B9" s="141"/>
      <c r="C9" s="141"/>
      <c r="D9" s="141"/>
      <c r="E9" s="141"/>
      <c r="F9" s="141"/>
      <c r="G9" s="141"/>
      <c r="H9" s="141"/>
    </row>
    <row r="10" spans="1:8">
      <c r="A10" s="141"/>
      <c r="B10" s="141"/>
      <c r="C10" s="141"/>
      <c r="D10" s="141"/>
      <c r="E10" s="141"/>
      <c r="F10" s="141"/>
      <c r="G10" s="141"/>
      <c r="H10" s="141"/>
    </row>
    <row r="11" spans="1:8">
      <c r="A11" s="141"/>
      <c r="B11" s="141"/>
      <c r="C11" s="141"/>
      <c r="D11" s="141"/>
      <c r="E11" s="141"/>
      <c r="F11" s="141"/>
      <c r="G11" s="141"/>
      <c r="H11" s="141"/>
    </row>
    <row r="12" spans="1:8" ht="12.75" customHeight="1">
      <c r="A12" s="136" t="s">
        <v>60</v>
      </c>
      <c r="B12" s="136"/>
      <c r="C12" s="136"/>
      <c r="D12" s="136"/>
      <c r="E12" s="136"/>
      <c r="F12" s="136"/>
      <c r="G12" s="136"/>
      <c r="H12" s="136"/>
    </row>
    <row r="13" spans="1:8" ht="12.75" customHeight="1">
      <c r="A13" s="136"/>
      <c r="B13" s="136"/>
      <c r="C13" s="136"/>
      <c r="D13" s="136"/>
      <c r="E13" s="136"/>
      <c r="F13" s="136"/>
      <c r="G13" s="136"/>
      <c r="H13" s="136"/>
    </row>
    <row r="14" spans="1:8" ht="12.75" customHeight="1">
      <c r="A14" s="136"/>
      <c r="B14" s="136"/>
      <c r="C14" s="136"/>
      <c r="D14" s="136"/>
      <c r="E14" s="136"/>
      <c r="F14" s="136"/>
      <c r="G14" s="136"/>
      <c r="H14" s="136"/>
    </row>
    <row r="15" spans="1:8" ht="12.75" customHeight="1">
      <c r="A15" s="136"/>
      <c r="B15" s="136"/>
      <c r="C15" s="136"/>
      <c r="D15" s="136"/>
      <c r="E15" s="136"/>
      <c r="F15" s="136"/>
      <c r="G15" s="136"/>
      <c r="H15" s="136"/>
    </row>
    <row r="16" spans="1:8" ht="12.75" customHeight="1">
      <c r="A16" s="136"/>
      <c r="B16" s="136"/>
      <c r="C16" s="136"/>
      <c r="D16" s="136"/>
      <c r="E16" s="136"/>
      <c r="F16" s="136"/>
      <c r="G16" s="136"/>
      <c r="H16" s="136"/>
    </row>
    <row r="17" spans="1:8" ht="12.75" customHeight="1">
      <c r="A17" s="136"/>
      <c r="B17" s="136"/>
      <c r="C17" s="136"/>
      <c r="D17" s="136"/>
      <c r="E17" s="136"/>
      <c r="F17" s="136"/>
      <c r="G17" s="136"/>
      <c r="H17" s="136"/>
    </row>
    <row r="18" spans="1:8" ht="12.75" customHeight="1">
      <c r="A18" s="136"/>
      <c r="B18" s="136"/>
      <c r="C18" s="136"/>
      <c r="D18" s="136"/>
      <c r="E18" s="136"/>
      <c r="F18" s="136"/>
      <c r="G18" s="136"/>
      <c r="H18" s="136"/>
    </row>
    <row r="19" spans="1:8" ht="25.5" customHeight="1">
      <c r="A19" s="136"/>
      <c r="B19" s="136"/>
      <c r="C19" s="136"/>
      <c r="D19" s="136"/>
      <c r="E19" s="136"/>
      <c r="F19" s="136"/>
      <c r="G19" s="136"/>
      <c r="H19" s="136"/>
    </row>
    <row r="20" spans="1:8" ht="18">
      <c r="A20" s="146" t="s">
        <v>37</v>
      </c>
      <c r="B20" s="145"/>
      <c r="C20" s="145"/>
      <c r="D20" s="145"/>
      <c r="E20" s="145"/>
      <c r="F20" s="145"/>
      <c r="G20" s="145"/>
      <c r="H20" s="145"/>
    </row>
    <row r="21" spans="1:8">
      <c r="A21" s="142">
        <f>Ausw_Web!B6</f>
        <v>0</v>
      </c>
      <c r="B21" s="143"/>
      <c r="C21" s="143"/>
      <c r="D21" s="143"/>
      <c r="E21" s="143"/>
      <c r="F21" s="143"/>
      <c r="G21" s="143"/>
      <c r="H21" s="143"/>
    </row>
    <row r="22" spans="1:8">
      <c r="A22" s="143"/>
      <c r="B22" s="143"/>
      <c r="C22" s="143"/>
      <c r="D22" s="143"/>
      <c r="E22" s="143"/>
      <c r="F22" s="143"/>
      <c r="G22" s="143"/>
      <c r="H22" s="143"/>
    </row>
    <row r="23" spans="1:8">
      <c r="A23" s="143"/>
      <c r="B23" s="143"/>
      <c r="C23" s="143"/>
      <c r="D23" s="143"/>
      <c r="E23" s="143"/>
      <c r="F23" s="143"/>
      <c r="G23" s="143"/>
      <c r="H23" s="143"/>
    </row>
    <row r="24" spans="1:8">
      <c r="A24" s="143"/>
      <c r="B24" s="143"/>
      <c r="C24" s="143"/>
      <c r="D24" s="143"/>
      <c r="E24" s="143"/>
      <c r="F24" s="143"/>
      <c r="G24" s="143"/>
      <c r="H24" s="143"/>
    </row>
    <row r="25" spans="1:8">
      <c r="A25" s="143"/>
      <c r="B25" s="143"/>
      <c r="C25" s="143"/>
      <c r="D25" s="143"/>
      <c r="E25" s="143"/>
      <c r="F25" s="143"/>
      <c r="G25" s="143"/>
      <c r="H25" s="143"/>
    </row>
    <row r="26" spans="1:8" ht="15.75" customHeight="1">
      <c r="A26" s="34"/>
      <c r="B26" s="34"/>
      <c r="C26" s="34"/>
      <c r="D26" s="34"/>
      <c r="E26" s="34"/>
      <c r="F26" s="34"/>
      <c r="G26" s="34"/>
      <c r="H26" s="34"/>
    </row>
    <row r="27" spans="1:8" ht="18">
      <c r="A27" s="144" t="s">
        <v>64</v>
      </c>
      <c r="B27" s="145"/>
      <c r="C27" s="145"/>
      <c r="D27" s="145"/>
      <c r="E27" s="145"/>
      <c r="F27" s="145"/>
      <c r="G27" s="145"/>
      <c r="H27" s="145"/>
    </row>
    <row r="28" spans="1:8" ht="12.75" customHeight="1">
      <c r="A28" s="147" t="str">
        <f>Ausw_Web!C6&amp;" Sekunden"</f>
        <v>0 Sekunden</v>
      </c>
      <c r="B28" s="147"/>
      <c r="C28" s="147"/>
      <c r="D28" s="147"/>
      <c r="E28" s="147"/>
      <c r="F28" s="147"/>
      <c r="G28" s="147"/>
      <c r="H28" s="147"/>
    </row>
    <row r="29" spans="1:8" ht="12.75" customHeight="1">
      <c r="A29" s="147"/>
      <c r="B29" s="147"/>
      <c r="C29" s="147"/>
      <c r="D29" s="147"/>
      <c r="E29" s="147"/>
      <c r="F29" s="147"/>
      <c r="G29" s="147"/>
      <c r="H29" s="147"/>
    </row>
    <row r="30" spans="1:8" ht="12.75" customHeight="1">
      <c r="A30" s="147"/>
      <c r="B30" s="147"/>
      <c r="C30" s="147"/>
      <c r="D30" s="147"/>
      <c r="E30" s="147"/>
      <c r="F30" s="147"/>
      <c r="G30" s="147"/>
      <c r="H30" s="147"/>
    </row>
    <row r="31" spans="1:8" ht="12.75" customHeight="1">
      <c r="A31" s="147"/>
      <c r="B31" s="147"/>
      <c r="C31" s="147"/>
      <c r="D31" s="147"/>
      <c r="E31" s="147"/>
      <c r="F31" s="147"/>
      <c r="G31" s="147"/>
      <c r="H31" s="147"/>
    </row>
    <row r="32" spans="1:8" ht="17.25" customHeight="1">
      <c r="A32" s="147"/>
      <c r="B32" s="147"/>
      <c r="C32" s="147"/>
      <c r="D32" s="147"/>
      <c r="E32" s="147"/>
      <c r="F32" s="147"/>
      <c r="G32" s="147"/>
      <c r="H32" s="147"/>
    </row>
    <row r="33" spans="1:8" ht="18">
      <c r="A33" s="146" t="s">
        <v>36</v>
      </c>
      <c r="B33" s="145"/>
      <c r="C33" s="145"/>
      <c r="D33" s="145"/>
      <c r="E33" s="145"/>
      <c r="F33" s="145"/>
      <c r="G33" s="145"/>
      <c r="H33" s="145"/>
    </row>
    <row r="34" spans="1:8" ht="12.75" customHeight="1">
      <c r="A34" s="137">
        <f>Ausw_Web!D6</f>
        <v>0</v>
      </c>
      <c r="B34" s="137"/>
      <c r="C34" s="137"/>
      <c r="D34" s="137"/>
      <c r="E34" s="137"/>
      <c r="F34" s="137"/>
      <c r="G34" s="137"/>
      <c r="H34" s="137"/>
    </row>
    <row r="35" spans="1:8" ht="12.75" customHeight="1">
      <c r="A35" s="137"/>
      <c r="B35" s="137"/>
      <c r="C35" s="137"/>
      <c r="D35" s="137"/>
      <c r="E35" s="137"/>
      <c r="F35" s="137"/>
      <c r="G35" s="137"/>
      <c r="H35" s="137"/>
    </row>
    <row r="36" spans="1:8" ht="12.75" customHeight="1">
      <c r="A36" s="137"/>
      <c r="B36" s="137"/>
      <c r="C36" s="137"/>
      <c r="D36" s="137"/>
      <c r="E36" s="137"/>
      <c r="F36" s="137"/>
      <c r="G36" s="137"/>
      <c r="H36" s="137"/>
    </row>
    <row r="37" spans="1:8" ht="12.75" customHeight="1">
      <c r="A37" s="137"/>
      <c r="B37" s="137"/>
      <c r="C37" s="137"/>
      <c r="D37" s="137"/>
      <c r="E37" s="137"/>
      <c r="F37" s="137"/>
      <c r="G37" s="137"/>
      <c r="H37" s="137"/>
    </row>
    <row r="38" spans="1:8">
      <c r="A38" s="137"/>
      <c r="B38" s="137"/>
      <c r="C38" s="137"/>
      <c r="D38" s="137"/>
      <c r="E38" s="137"/>
      <c r="F38" s="137"/>
      <c r="G38" s="137"/>
      <c r="H38" s="137"/>
    </row>
    <row r="39" spans="1:8">
      <c r="A39" s="137"/>
      <c r="B39" s="137"/>
      <c r="C39" s="137"/>
      <c r="D39" s="137"/>
      <c r="E39" s="137"/>
      <c r="F39" s="137"/>
      <c r="G39" s="137"/>
      <c r="H39" s="137"/>
    </row>
    <row r="40" spans="1:8">
      <c r="A40" s="137"/>
      <c r="B40" s="137"/>
      <c r="C40" s="137"/>
      <c r="D40" s="137"/>
      <c r="E40" s="137"/>
      <c r="F40" s="137"/>
      <c r="G40" s="137"/>
      <c r="H40" s="137"/>
    </row>
    <row r="41" spans="1:8">
      <c r="A41" s="137"/>
      <c r="B41" s="137"/>
      <c r="C41" s="137"/>
      <c r="D41" s="137"/>
      <c r="E41" s="137"/>
      <c r="F41" s="137"/>
      <c r="G41" s="137"/>
      <c r="H41" s="137"/>
    </row>
    <row r="42" spans="1:8">
      <c r="A42" s="137"/>
      <c r="B42" s="137"/>
      <c r="C42" s="137"/>
      <c r="D42" s="137"/>
      <c r="E42" s="137"/>
      <c r="F42" s="137"/>
      <c r="G42" s="137"/>
      <c r="H42" s="137"/>
    </row>
    <row r="43" spans="1:8">
      <c r="A43" s="137"/>
      <c r="B43" s="137"/>
      <c r="C43" s="137"/>
      <c r="D43" s="137"/>
      <c r="E43" s="137"/>
      <c r="F43" s="137"/>
      <c r="G43" s="137"/>
      <c r="H43" s="137"/>
    </row>
    <row r="44" spans="1:8" s="87" customFormat="1">
      <c r="A44" s="33"/>
    </row>
    <row r="45" spans="1:8" s="87" customFormat="1">
      <c r="A45" s="33"/>
    </row>
    <row r="46" spans="1:8" s="87" customFormat="1" ht="15">
      <c r="A46" s="86"/>
      <c r="B46" s="25"/>
      <c r="C46" s="25"/>
    </row>
    <row r="47" spans="1:8" s="87" customFormat="1" ht="15" customHeight="1">
      <c r="A47" s="148" t="s">
        <v>63</v>
      </c>
      <c r="B47" s="149"/>
      <c r="C47" s="149"/>
      <c r="F47" s="134" t="s">
        <v>35</v>
      </c>
      <c r="G47" s="135"/>
      <c r="H47" s="135"/>
    </row>
    <row r="48" spans="1:8" s="87" customFormat="1">
      <c r="A48" s="33"/>
    </row>
    <row r="49" spans="1:8" s="87" customFormat="1" ht="12.75" customHeight="1">
      <c r="A49" s="140" t="s">
        <v>62</v>
      </c>
      <c r="B49" s="140"/>
      <c r="C49" s="140"/>
      <c r="D49" s="140"/>
      <c r="E49" s="140"/>
      <c r="F49" s="140"/>
      <c r="G49" s="140"/>
      <c r="H49" s="140"/>
    </row>
    <row r="50" spans="1:8" s="87" customFormat="1" ht="12.75" customHeight="1">
      <c r="A50" s="140"/>
      <c r="B50" s="140"/>
      <c r="C50" s="140"/>
      <c r="D50" s="140"/>
      <c r="E50" s="140"/>
      <c r="F50" s="140"/>
      <c r="G50" s="140"/>
      <c r="H50" s="140"/>
    </row>
    <row r="51" spans="1:8" s="87" customFormat="1" ht="12.75" customHeight="1">
      <c r="A51" s="138" t="s">
        <v>61</v>
      </c>
      <c r="B51" s="139"/>
      <c r="C51" s="139"/>
      <c r="D51" s="139"/>
      <c r="E51" s="139"/>
      <c r="F51" s="139"/>
      <c r="G51" s="139"/>
      <c r="H51" s="139"/>
    </row>
    <row r="52" spans="1:8" s="87" customFormat="1" ht="12.75" customHeight="1">
      <c r="A52" s="139"/>
      <c r="B52" s="139"/>
      <c r="C52" s="139"/>
      <c r="D52" s="139"/>
      <c r="E52" s="139"/>
      <c r="F52" s="139"/>
      <c r="G52" s="139"/>
      <c r="H52" s="139"/>
    </row>
    <row r="53" spans="1:8" s="87" customFormat="1" ht="12.75" customHeight="1">
      <c r="A53" s="139"/>
      <c r="B53" s="139"/>
      <c r="C53" s="139"/>
      <c r="D53" s="139"/>
      <c r="E53" s="139"/>
      <c r="F53" s="139"/>
      <c r="G53" s="139"/>
      <c r="H53" s="13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5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 enableFormatConditionsCalculation="0">
    <tabColor indexed="44"/>
  </sheetPr>
  <dimension ref="A1:H53"/>
  <sheetViews>
    <sheetView zoomScale="50" workbookViewId="0">
      <selection activeCell="M32" sqref="M32"/>
    </sheetView>
  </sheetViews>
  <sheetFormatPr baseColWidth="10" defaultRowHeight="12.75"/>
  <sheetData>
    <row r="1" spans="1:8" ht="12.75" customHeight="1">
      <c r="A1" s="133" t="s">
        <v>34</v>
      </c>
      <c r="B1" s="133"/>
      <c r="C1" s="133"/>
      <c r="D1" s="133"/>
      <c r="E1" s="133"/>
      <c r="F1" s="133"/>
      <c r="G1" s="133"/>
      <c r="H1" s="133"/>
    </row>
    <row r="2" spans="1:8">
      <c r="A2" s="133"/>
      <c r="B2" s="133"/>
      <c r="C2" s="133"/>
      <c r="D2" s="133"/>
      <c r="E2" s="133"/>
      <c r="F2" s="133"/>
      <c r="G2" s="133"/>
      <c r="H2" s="133"/>
    </row>
    <row r="3" spans="1:8">
      <c r="A3" s="133"/>
      <c r="B3" s="133"/>
      <c r="C3" s="133"/>
      <c r="D3" s="133"/>
      <c r="E3" s="133"/>
      <c r="F3" s="133"/>
      <c r="G3" s="133"/>
      <c r="H3" s="133"/>
    </row>
    <row r="4" spans="1:8">
      <c r="A4" s="133"/>
      <c r="B4" s="133"/>
      <c r="C4" s="133"/>
      <c r="D4" s="133"/>
      <c r="E4" s="133"/>
      <c r="F4" s="133"/>
      <c r="G4" s="133"/>
      <c r="H4" s="133"/>
    </row>
    <row r="5" spans="1:8">
      <c r="A5" s="133"/>
      <c r="B5" s="133"/>
      <c r="C5" s="133"/>
      <c r="D5" s="133"/>
      <c r="E5" s="133"/>
      <c r="F5" s="133"/>
      <c r="G5" s="133"/>
      <c r="H5" s="133"/>
    </row>
    <row r="6" spans="1:8">
      <c r="A6" s="133"/>
      <c r="B6" s="133"/>
      <c r="C6" s="133"/>
      <c r="D6" s="133"/>
      <c r="E6" s="133"/>
      <c r="F6" s="133"/>
      <c r="G6" s="133"/>
      <c r="H6" s="133"/>
    </row>
    <row r="7" spans="1:8">
      <c r="A7" s="133"/>
      <c r="B7" s="133"/>
      <c r="C7" s="133"/>
      <c r="D7" s="133"/>
      <c r="E7" s="133"/>
      <c r="F7" s="133"/>
      <c r="G7" s="133"/>
      <c r="H7" s="133"/>
    </row>
    <row r="8" spans="1:8">
      <c r="A8" s="33"/>
    </row>
    <row r="9" spans="1:8">
      <c r="A9" s="141" t="s">
        <v>12</v>
      </c>
      <c r="B9" s="141"/>
      <c r="C9" s="141"/>
      <c r="D9" s="141"/>
      <c r="E9" s="141"/>
      <c r="F9" s="141"/>
      <c r="G9" s="141"/>
      <c r="H9" s="141"/>
    </row>
    <row r="10" spans="1:8">
      <c r="A10" s="141"/>
      <c r="B10" s="141"/>
      <c r="C10" s="141"/>
      <c r="D10" s="141"/>
      <c r="E10" s="141"/>
      <c r="F10" s="141"/>
      <c r="G10" s="141"/>
      <c r="H10" s="141"/>
    </row>
    <row r="11" spans="1:8">
      <c r="A11" s="141"/>
      <c r="B11" s="141"/>
      <c r="C11" s="141"/>
      <c r="D11" s="141"/>
      <c r="E11" s="141"/>
      <c r="F11" s="141"/>
      <c r="G11" s="141"/>
      <c r="H11" s="141"/>
    </row>
    <row r="12" spans="1:8" ht="12.75" customHeight="1">
      <c r="A12" s="136" t="s">
        <v>60</v>
      </c>
      <c r="B12" s="136"/>
      <c r="C12" s="136"/>
      <c r="D12" s="136"/>
      <c r="E12" s="136"/>
      <c r="F12" s="136"/>
      <c r="G12" s="136"/>
      <c r="H12" s="136"/>
    </row>
    <row r="13" spans="1:8" ht="12.75" customHeight="1">
      <c r="A13" s="136"/>
      <c r="B13" s="136"/>
      <c r="C13" s="136"/>
      <c r="D13" s="136"/>
      <c r="E13" s="136"/>
      <c r="F13" s="136"/>
      <c r="G13" s="136"/>
      <c r="H13" s="136"/>
    </row>
    <row r="14" spans="1:8" ht="12.75" customHeight="1">
      <c r="A14" s="136"/>
      <c r="B14" s="136"/>
      <c r="C14" s="136"/>
      <c r="D14" s="136"/>
      <c r="E14" s="136"/>
      <c r="F14" s="136"/>
      <c r="G14" s="136"/>
      <c r="H14" s="136"/>
    </row>
    <row r="15" spans="1:8" ht="12.75" customHeight="1">
      <c r="A15" s="136"/>
      <c r="B15" s="136"/>
      <c r="C15" s="136"/>
      <c r="D15" s="136"/>
      <c r="E15" s="136"/>
      <c r="F15" s="136"/>
      <c r="G15" s="136"/>
      <c r="H15" s="136"/>
    </row>
    <row r="16" spans="1:8" ht="12.75" customHeight="1">
      <c r="A16" s="136"/>
      <c r="B16" s="136"/>
      <c r="C16" s="136"/>
      <c r="D16" s="136"/>
      <c r="E16" s="136"/>
      <c r="F16" s="136"/>
      <c r="G16" s="136"/>
      <c r="H16" s="136"/>
    </row>
    <row r="17" spans="1:8" ht="12.75" customHeight="1">
      <c r="A17" s="136"/>
      <c r="B17" s="136"/>
      <c r="C17" s="136"/>
      <c r="D17" s="136"/>
      <c r="E17" s="136"/>
      <c r="F17" s="136"/>
      <c r="G17" s="136"/>
      <c r="H17" s="136"/>
    </row>
    <row r="18" spans="1:8" ht="12.75" customHeight="1">
      <c r="A18" s="136"/>
      <c r="B18" s="136"/>
      <c r="C18" s="136"/>
      <c r="D18" s="136"/>
      <c r="E18" s="136"/>
      <c r="F18" s="136"/>
      <c r="G18" s="136"/>
      <c r="H18" s="136"/>
    </row>
    <row r="19" spans="1:8" ht="25.5" customHeight="1">
      <c r="A19" s="136"/>
      <c r="B19" s="136"/>
      <c r="C19" s="136"/>
      <c r="D19" s="136"/>
      <c r="E19" s="136"/>
      <c r="F19" s="136"/>
      <c r="G19" s="136"/>
      <c r="H19" s="136"/>
    </row>
    <row r="20" spans="1:8" ht="18">
      <c r="A20" s="146" t="s">
        <v>37</v>
      </c>
      <c r="B20" s="145"/>
      <c r="C20" s="145"/>
      <c r="D20" s="145"/>
      <c r="E20" s="145"/>
      <c r="F20" s="145"/>
      <c r="G20" s="145"/>
      <c r="H20" s="145"/>
    </row>
    <row r="21" spans="1:8">
      <c r="A21" s="142">
        <f>Ausw_Web!B7</f>
        <v>0</v>
      </c>
      <c r="B21" s="143"/>
      <c r="C21" s="143"/>
      <c r="D21" s="143"/>
      <c r="E21" s="143"/>
      <c r="F21" s="143"/>
      <c r="G21" s="143"/>
      <c r="H21" s="143"/>
    </row>
    <row r="22" spans="1:8">
      <c r="A22" s="143"/>
      <c r="B22" s="143"/>
      <c r="C22" s="143"/>
      <c r="D22" s="143"/>
      <c r="E22" s="143"/>
      <c r="F22" s="143"/>
      <c r="G22" s="143"/>
      <c r="H22" s="143"/>
    </row>
    <row r="23" spans="1:8">
      <c r="A23" s="143"/>
      <c r="B23" s="143"/>
      <c r="C23" s="143"/>
      <c r="D23" s="143"/>
      <c r="E23" s="143"/>
      <c r="F23" s="143"/>
      <c r="G23" s="143"/>
      <c r="H23" s="143"/>
    </row>
    <row r="24" spans="1:8">
      <c r="A24" s="143"/>
      <c r="B24" s="143"/>
      <c r="C24" s="143"/>
      <c r="D24" s="143"/>
      <c r="E24" s="143"/>
      <c r="F24" s="143"/>
      <c r="G24" s="143"/>
      <c r="H24" s="143"/>
    </row>
    <row r="25" spans="1:8">
      <c r="A25" s="143"/>
      <c r="B25" s="143"/>
      <c r="C25" s="143"/>
      <c r="D25" s="143"/>
      <c r="E25" s="143"/>
      <c r="F25" s="143"/>
      <c r="G25" s="143"/>
      <c r="H25" s="143"/>
    </row>
    <row r="26" spans="1:8" ht="15.75" customHeight="1">
      <c r="A26" s="34"/>
      <c r="B26" s="34"/>
      <c r="C26" s="34"/>
      <c r="D26" s="34"/>
      <c r="E26" s="34"/>
      <c r="F26" s="34"/>
      <c r="G26" s="34"/>
      <c r="H26" s="34"/>
    </row>
    <row r="27" spans="1:8" ht="18">
      <c r="A27" s="144" t="s">
        <v>64</v>
      </c>
      <c r="B27" s="145"/>
      <c r="C27" s="145"/>
      <c r="D27" s="145"/>
      <c r="E27" s="145"/>
      <c r="F27" s="145"/>
      <c r="G27" s="145"/>
      <c r="H27" s="145"/>
    </row>
    <row r="28" spans="1:8" ht="12.75" customHeight="1">
      <c r="A28" s="147" t="str">
        <f>Ausw_Web!C7&amp;" Sekunden"</f>
        <v>0 Sekunden</v>
      </c>
      <c r="B28" s="147"/>
      <c r="C28" s="147"/>
      <c r="D28" s="147"/>
      <c r="E28" s="147"/>
      <c r="F28" s="147"/>
      <c r="G28" s="147"/>
      <c r="H28" s="147"/>
    </row>
    <row r="29" spans="1:8" ht="12.75" customHeight="1">
      <c r="A29" s="147"/>
      <c r="B29" s="147"/>
      <c r="C29" s="147"/>
      <c r="D29" s="147"/>
      <c r="E29" s="147"/>
      <c r="F29" s="147"/>
      <c r="G29" s="147"/>
      <c r="H29" s="147"/>
    </row>
    <row r="30" spans="1:8" ht="12.75" customHeight="1">
      <c r="A30" s="147"/>
      <c r="B30" s="147"/>
      <c r="C30" s="147"/>
      <c r="D30" s="147"/>
      <c r="E30" s="147"/>
      <c r="F30" s="147"/>
      <c r="G30" s="147"/>
      <c r="H30" s="147"/>
    </row>
    <row r="31" spans="1:8" ht="12.75" customHeight="1">
      <c r="A31" s="147"/>
      <c r="B31" s="147"/>
      <c r="C31" s="147"/>
      <c r="D31" s="147"/>
      <c r="E31" s="147"/>
      <c r="F31" s="147"/>
      <c r="G31" s="147"/>
      <c r="H31" s="147"/>
    </row>
    <row r="32" spans="1:8" ht="17.25" customHeight="1">
      <c r="A32" s="147"/>
      <c r="B32" s="147"/>
      <c r="C32" s="147"/>
      <c r="D32" s="147"/>
      <c r="E32" s="147"/>
      <c r="F32" s="147"/>
      <c r="G32" s="147"/>
      <c r="H32" s="147"/>
    </row>
    <row r="33" spans="1:8" ht="18">
      <c r="A33" s="146" t="s">
        <v>36</v>
      </c>
      <c r="B33" s="145"/>
      <c r="C33" s="145"/>
      <c r="D33" s="145"/>
      <c r="E33" s="145"/>
      <c r="F33" s="145"/>
      <c r="G33" s="145"/>
      <c r="H33" s="145"/>
    </row>
    <row r="34" spans="1:8" ht="12.75" customHeight="1">
      <c r="A34" s="137">
        <f>Ausw_Web!D7</f>
        <v>0</v>
      </c>
      <c r="B34" s="137"/>
      <c r="C34" s="137"/>
      <c r="D34" s="137"/>
      <c r="E34" s="137"/>
      <c r="F34" s="137"/>
      <c r="G34" s="137"/>
      <c r="H34" s="137"/>
    </row>
    <row r="35" spans="1:8" ht="12.75" customHeight="1">
      <c r="A35" s="137"/>
      <c r="B35" s="137"/>
      <c r="C35" s="137"/>
      <c r="D35" s="137"/>
      <c r="E35" s="137"/>
      <c r="F35" s="137"/>
      <c r="G35" s="137"/>
      <c r="H35" s="137"/>
    </row>
    <row r="36" spans="1:8" ht="12.75" customHeight="1">
      <c r="A36" s="137"/>
      <c r="B36" s="137"/>
      <c r="C36" s="137"/>
      <c r="D36" s="137"/>
      <c r="E36" s="137"/>
      <c r="F36" s="137"/>
      <c r="G36" s="137"/>
      <c r="H36" s="137"/>
    </row>
    <row r="37" spans="1:8" ht="12.75" customHeight="1">
      <c r="A37" s="137"/>
      <c r="B37" s="137"/>
      <c r="C37" s="137"/>
      <c r="D37" s="137"/>
      <c r="E37" s="137"/>
      <c r="F37" s="137"/>
      <c r="G37" s="137"/>
      <c r="H37" s="137"/>
    </row>
    <row r="38" spans="1:8">
      <c r="A38" s="137"/>
      <c r="B38" s="137"/>
      <c r="C38" s="137"/>
      <c r="D38" s="137"/>
      <c r="E38" s="137"/>
      <c r="F38" s="137"/>
      <c r="G38" s="137"/>
      <c r="H38" s="137"/>
    </row>
    <row r="39" spans="1:8">
      <c r="A39" s="137"/>
      <c r="B39" s="137"/>
      <c r="C39" s="137"/>
      <c r="D39" s="137"/>
      <c r="E39" s="137"/>
      <c r="F39" s="137"/>
      <c r="G39" s="137"/>
      <c r="H39" s="137"/>
    </row>
    <row r="40" spans="1:8">
      <c r="A40" s="137"/>
      <c r="B40" s="137"/>
      <c r="C40" s="137"/>
      <c r="D40" s="137"/>
      <c r="E40" s="137"/>
      <c r="F40" s="137"/>
      <c r="G40" s="137"/>
      <c r="H40" s="137"/>
    </row>
    <row r="41" spans="1:8">
      <c r="A41" s="137"/>
      <c r="B41" s="137"/>
      <c r="C41" s="137"/>
      <c r="D41" s="137"/>
      <c r="E41" s="137"/>
      <c r="F41" s="137"/>
      <c r="G41" s="137"/>
      <c r="H41" s="137"/>
    </row>
    <row r="42" spans="1:8">
      <c r="A42" s="137"/>
      <c r="B42" s="137"/>
      <c r="C42" s="137"/>
      <c r="D42" s="137"/>
      <c r="E42" s="137"/>
      <c r="F42" s="137"/>
      <c r="G42" s="137"/>
      <c r="H42" s="137"/>
    </row>
    <row r="43" spans="1:8">
      <c r="A43" s="137"/>
      <c r="B43" s="137"/>
      <c r="C43" s="137"/>
      <c r="D43" s="137"/>
      <c r="E43" s="137"/>
      <c r="F43" s="137"/>
      <c r="G43" s="137"/>
      <c r="H43" s="137"/>
    </row>
    <row r="44" spans="1:8" s="87" customFormat="1">
      <c r="A44" s="33"/>
    </row>
    <row r="45" spans="1:8" s="87" customFormat="1">
      <c r="A45" s="33"/>
    </row>
    <row r="46" spans="1:8" s="87" customFormat="1" ht="15">
      <c r="A46" s="86"/>
      <c r="B46" s="25"/>
      <c r="C46" s="25"/>
    </row>
    <row r="47" spans="1:8" s="87" customFormat="1" ht="15" customHeight="1">
      <c r="A47" s="148" t="s">
        <v>63</v>
      </c>
      <c r="B47" s="149"/>
      <c r="C47" s="149"/>
      <c r="F47" s="134" t="s">
        <v>35</v>
      </c>
      <c r="G47" s="135"/>
      <c r="H47" s="135"/>
    </row>
    <row r="48" spans="1:8" s="87" customFormat="1">
      <c r="A48" s="33"/>
    </row>
    <row r="49" spans="1:8" s="87" customFormat="1" ht="12.75" customHeight="1">
      <c r="A49" s="140" t="s">
        <v>62</v>
      </c>
      <c r="B49" s="140"/>
      <c r="C49" s="140"/>
      <c r="D49" s="140"/>
      <c r="E49" s="140"/>
      <c r="F49" s="140"/>
      <c r="G49" s="140"/>
      <c r="H49" s="140"/>
    </row>
    <row r="50" spans="1:8" s="87" customFormat="1" ht="12.75" customHeight="1">
      <c r="A50" s="140"/>
      <c r="B50" s="140"/>
      <c r="C50" s="140"/>
      <c r="D50" s="140"/>
      <c r="E50" s="140"/>
      <c r="F50" s="140"/>
      <c r="G50" s="140"/>
      <c r="H50" s="140"/>
    </row>
    <row r="51" spans="1:8" s="87" customFormat="1" ht="12.75" customHeight="1">
      <c r="A51" s="138" t="s">
        <v>61</v>
      </c>
      <c r="B51" s="139"/>
      <c r="C51" s="139"/>
      <c r="D51" s="139"/>
      <c r="E51" s="139"/>
      <c r="F51" s="139"/>
      <c r="G51" s="139"/>
      <c r="H51" s="139"/>
    </row>
    <row r="52" spans="1:8" s="87" customFormat="1" ht="12.75" customHeight="1">
      <c r="A52" s="139"/>
      <c r="B52" s="139"/>
      <c r="C52" s="139"/>
      <c r="D52" s="139"/>
      <c r="E52" s="139"/>
      <c r="F52" s="139"/>
      <c r="G52" s="139"/>
      <c r="H52" s="139"/>
    </row>
    <row r="53" spans="1:8" s="87" customFormat="1" ht="12.75" customHeight="1">
      <c r="A53" s="139"/>
      <c r="B53" s="139"/>
      <c r="C53" s="139"/>
      <c r="D53" s="139"/>
      <c r="E53" s="139"/>
      <c r="F53" s="139"/>
      <c r="G53" s="139"/>
      <c r="H53" s="13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5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 enableFormatConditionsCalculation="0">
    <tabColor indexed="44"/>
  </sheetPr>
  <dimension ref="A1:H53"/>
  <sheetViews>
    <sheetView zoomScale="50" workbookViewId="0">
      <selection activeCell="I55" sqref="I55"/>
    </sheetView>
  </sheetViews>
  <sheetFormatPr baseColWidth="10" defaultRowHeight="12.75"/>
  <sheetData>
    <row r="1" spans="1:8" ht="12.75" customHeight="1">
      <c r="A1" s="133" t="s">
        <v>34</v>
      </c>
      <c r="B1" s="133"/>
      <c r="C1" s="133"/>
      <c r="D1" s="133"/>
      <c r="E1" s="133"/>
      <c r="F1" s="133"/>
      <c r="G1" s="133"/>
      <c r="H1" s="133"/>
    </row>
    <row r="2" spans="1:8">
      <c r="A2" s="133"/>
      <c r="B2" s="133"/>
      <c r="C2" s="133"/>
      <c r="D2" s="133"/>
      <c r="E2" s="133"/>
      <c r="F2" s="133"/>
      <c r="G2" s="133"/>
      <c r="H2" s="133"/>
    </row>
    <row r="3" spans="1:8">
      <c r="A3" s="133"/>
      <c r="B3" s="133"/>
      <c r="C3" s="133"/>
      <c r="D3" s="133"/>
      <c r="E3" s="133"/>
      <c r="F3" s="133"/>
      <c r="G3" s="133"/>
      <c r="H3" s="133"/>
    </row>
    <row r="4" spans="1:8">
      <c r="A4" s="133"/>
      <c r="B4" s="133"/>
      <c r="C4" s="133"/>
      <c r="D4" s="133"/>
      <c r="E4" s="133"/>
      <c r="F4" s="133"/>
      <c r="G4" s="133"/>
      <c r="H4" s="133"/>
    </row>
    <row r="5" spans="1:8">
      <c r="A5" s="133"/>
      <c r="B5" s="133"/>
      <c r="C5" s="133"/>
      <c r="D5" s="133"/>
      <c r="E5" s="133"/>
      <c r="F5" s="133"/>
      <c r="G5" s="133"/>
      <c r="H5" s="133"/>
    </row>
    <row r="6" spans="1:8">
      <c r="A6" s="133"/>
      <c r="B6" s="133"/>
      <c r="C6" s="133"/>
      <c r="D6" s="133"/>
      <c r="E6" s="133"/>
      <c r="F6" s="133"/>
      <c r="G6" s="133"/>
      <c r="H6" s="133"/>
    </row>
    <row r="7" spans="1:8">
      <c r="A7" s="133"/>
      <c r="B7" s="133"/>
      <c r="C7" s="133"/>
      <c r="D7" s="133"/>
      <c r="E7" s="133"/>
      <c r="F7" s="133"/>
      <c r="G7" s="133"/>
      <c r="H7" s="133"/>
    </row>
    <row r="8" spans="1:8">
      <c r="A8" s="33"/>
    </row>
    <row r="9" spans="1:8">
      <c r="A9" s="141" t="s">
        <v>13</v>
      </c>
      <c r="B9" s="141"/>
      <c r="C9" s="141"/>
      <c r="D9" s="141"/>
      <c r="E9" s="141"/>
      <c r="F9" s="141"/>
      <c r="G9" s="141"/>
      <c r="H9" s="141"/>
    </row>
    <row r="10" spans="1:8">
      <c r="A10" s="141"/>
      <c r="B10" s="141"/>
      <c r="C10" s="141"/>
      <c r="D10" s="141"/>
      <c r="E10" s="141"/>
      <c r="F10" s="141"/>
      <c r="G10" s="141"/>
      <c r="H10" s="141"/>
    </row>
    <row r="11" spans="1:8">
      <c r="A11" s="141"/>
      <c r="B11" s="141"/>
      <c r="C11" s="141"/>
      <c r="D11" s="141"/>
      <c r="E11" s="141"/>
      <c r="F11" s="141"/>
      <c r="G11" s="141"/>
      <c r="H11" s="141"/>
    </row>
    <row r="12" spans="1:8" ht="12.75" customHeight="1">
      <c r="A12" s="136" t="s">
        <v>60</v>
      </c>
      <c r="B12" s="136"/>
      <c r="C12" s="136"/>
      <c r="D12" s="136"/>
      <c r="E12" s="136"/>
      <c r="F12" s="136"/>
      <c r="G12" s="136"/>
      <c r="H12" s="136"/>
    </row>
    <row r="13" spans="1:8" ht="12.75" customHeight="1">
      <c r="A13" s="136"/>
      <c r="B13" s="136"/>
      <c r="C13" s="136"/>
      <c r="D13" s="136"/>
      <c r="E13" s="136"/>
      <c r="F13" s="136"/>
      <c r="G13" s="136"/>
      <c r="H13" s="136"/>
    </row>
    <row r="14" spans="1:8" ht="12.75" customHeight="1">
      <c r="A14" s="136"/>
      <c r="B14" s="136"/>
      <c r="C14" s="136"/>
      <c r="D14" s="136"/>
      <c r="E14" s="136"/>
      <c r="F14" s="136"/>
      <c r="G14" s="136"/>
      <c r="H14" s="136"/>
    </row>
    <row r="15" spans="1:8" ht="12.75" customHeight="1">
      <c r="A15" s="136"/>
      <c r="B15" s="136"/>
      <c r="C15" s="136"/>
      <c r="D15" s="136"/>
      <c r="E15" s="136"/>
      <c r="F15" s="136"/>
      <c r="G15" s="136"/>
      <c r="H15" s="136"/>
    </row>
    <row r="16" spans="1:8" ht="12.75" customHeight="1">
      <c r="A16" s="136"/>
      <c r="B16" s="136"/>
      <c r="C16" s="136"/>
      <c r="D16" s="136"/>
      <c r="E16" s="136"/>
      <c r="F16" s="136"/>
      <c r="G16" s="136"/>
      <c r="H16" s="136"/>
    </row>
    <row r="17" spans="1:8" ht="12.75" customHeight="1">
      <c r="A17" s="136"/>
      <c r="B17" s="136"/>
      <c r="C17" s="136"/>
      <c r="D17" s="136"/>
      <c r="E17" s="136"/>
      <c r="F17" s="136"/>
      <c r="G17" s="136"/>
      <c r="H17" s="136"/>
    </row>
    <row r="18" spans="1:8" ht="12.75" customHeight="1">
      <c r="A18" s="136"/>
      <c r="B18" s="136"/>
      <c r="C18" s="136"/>
      <c r="D18" s="136"/>
      <c r="E18" s="136"/>
      <c r="F18" s="136"/>
      <c r="G18" s="136"/>
      <c r="H18" s="136"/>
    </row>
    <row r="19" spans="1:8" ht="25.5" customHeight="1">
      <c r="A19" s="136"/>
      <c r="B19" s="136"/>
      <c r="C19" s="136"/>
      <c r="D19" s="136"/>
      <c r="E19" s="136"/>
      <c r="F19" s="136"/>
      <c r="G19" s="136"/>
      <c r="H19" s="136"/>
    </row>
    <row r="20" spans="1:8" ht="18">
      <c r="A20" s="146" t="s">
        <v>37</v>
      </c>
      <c r="B20" s="145"/>
      <c r="C20" s="145"/>
      <c r="D20" s="145"/>
      <c r="E20" s="145"/>
      <c r="F20" s="145"/>
      <c r="G20" s="145"/>
      <c r="H20" s="145"/>
    </row>
    <row r="21" spans="1:8">
      <c r="A21" s="142">
        <f>Ausw_Web!B8</f>
        <v>0</v>
      </c>
      <c r="B21" s="143"/>
      <c r="C21" s="143"/>
      <c r="D21" s="143"/>
      <c r="E21" s="143"/>
      <c r="F21" s="143"/>
      <c r="G21" s="143"/>
      <c r="H21" s="143"/>
    </row>
    <row r="22" spans="1:8">
      <c r="A22" s="143"/>
      <c r="B22" s="143"/>
      <c r="C22" s="143"/>
      <c r="D22" s="143"/>
      <c r="E22" s="143"/>
      <c r="F22" s="143"/>
      <c r="G22" s="143"/>
      <c r="H22" s="143"/>
    </row>
    <row r="23" spans="1:8">
      <c r="A23" s="143"/>
      <c r="B23" s="143"/>
      <c r="C23" s="143"/>
      <c r="D23" s="143"/>
      <c r="E23" s="143"/>
      <c r="F23" s="143"/>
      <c r="G23" s="143"/>
      <c r="H23" s="143"/>
    </row>
    <row r="24" spans="1:8">
      <c r="A24" s="143"/>
      <c r="B24" s="143"/>
      <c r="C24" s="143"/>
      <c r="D24" s="143"/>
      <c r="E24" s="143"/>
      <c r="F24" s="143"/>
      <c r="G24" s="143"/>
      <c r="H24" s="143"/>
    </row>
    <row r="25" spans="1:8">
      <c r="A25" s="143"/>
      <c r="B25" s="143"/>
      <c r="C25" s="143"/>
      <c r="D25" s="143"/>
      <c r="E25" s="143"/>
      <c r="F25" s="143"/>
      <c r="G25" s="143"/>
      <c r="H25" s="143"/>
    </row>
    <row r="26" spans="1:8" ht="15.75" customHeight="1">
      <c r="A26" s="34"/>
      <c r="B26" s="34"/>
      <c r="C26" s="34"/>
      <c r="D26" s="34"/>
      <c r="E26" s="34"/>
      <c r="F26" s="34"/>
      <c r="G26" s="34"/>
      <c r="H26" s="34"/>
    </row>
    <row r="27" spans="1:8" ht="18">
      <c r="A27" s="144" t="s">
        <v>64</v>
      </c>
      <c r="B27" s="145"/>
      <c r="C27" s="145"/>
      <c r="D27" s="145"/>
      <c r="E27" s="145"/>
      <c r="F27" s="145"/>
      <c r="G27" s="145"/>
      <c r="H27" s="145"/>
    </row>
    <row r="28" spans="1:8" ht="12.75" customHeight="1">
      <c r="A28" s="147" t="str">
        <f>Ausw_Web!C8&amp;" Sekunden"</f>
        <v>0 Sekunden</v>
      </c>
      <c r="B28" s="147"/>
      <c r="C28" s="147"/>
      <c r="D28" s="147"/>
      <c r="E28" s="147"/>
      <c r="F28" s="147"/>
      <c r="G28" s="147"/>
      <c r="H28" s="147"/>
    </row>
    <row r="29" spans="1:8" ht="12.75" customHeight="1">
      <c r="A29" s="147"/>
      <c r="B29" s="147"/>
      <c r="C29" s="147"/>
      <c r="D29" s="147"/>
      <c r="E29" s="147"/>
      <c r="F29" s="147"/>
      <c r="G29" s="147"/>
      <c r="H29" s="147"/>
    </row>
    <row r="30" spans="1:8" ht="12.75" customHeight="1">
      <c r="A30" s="147"/>
      <c r="B30" s="147"/>
      <c r="C30" s="147"/>
      <c r="D30" s="147"/>
      <c r="E30" s="147"/>
      <c r="F30" s="147"/>
      <c r="G30" s="147"/>
      <c r="H30" s="147"/>
    </row>
    <row r="31" spans="1:8" ht="12.75" customHeight="1">
      <c r="A31" s="147"/>
      <c r="B31" s="147"/>
      <c r="C31" s="147"/>
      <c r="D31" s="147"/>
      <c r="E31" s="147"/>
      <c r="F31" s="147"/>
      <c r="G31" s="147"/>
      <c r="H31" s="147"/>
    </row>
    <row r="32" spans="1:8" ht="17.25" customHeight="1">
      <c r="A32" s="147"/>
      <c r="B32" s="147"/>
      <c r="C32" s="147"/>
      <c r="D32" s="147"/>
      <c r="E32" s="147"/>
      <c r="F32" s="147"/>
      <c r="G32" s="147"/>
      <c r="H32" s="147"/>
    </row>
    <row r="33" spans="1:8" ht="18">
      <c r="A33" s="146" t="s">
        <v>36</v>
      </c>
      <c r="B33" s="145"/>
      <c r="C33" s="145"/>
      <c r="D33" s="145"/>
      <c r="E33" s="145"/>
      <c r="F33" s="145"/>
      <c r="G33" s="145"/>
      <c r="H33" s="145"/>
    </row>
    <row r="34" spans="1:8" ht="12.75" customHeight="1">
      <c r="A34" s="137">
        <f>Ausw_Web!D8</f>
        <v>0</v>
      </c>
      <c r="B34" s="137"/>
      <c r="C34" s="137"/>
      <c r="D34" s="137"/>
      <c r="E34" s="137"/>
      <c r="F34" s="137"/>
      <c r="G34" s="137"/>
      <c r="H34" s="137"/>
    </row>
    <row r="35" spans="1:8" ht="12.75" customHeight="1">
      <c r="A35" s="137"/>
      <c r="B35" s="137"/>
      <c r="C35" s="137"/>
      <c r="D35" s="137"/>
      <c r="E35" s="137"/>
      <c r="F35" s="137"/>
      <c r="G35" s="137"/>
      <c r="H35" s="137"/>
    </row>
    <row r="36" spans="1:8" ht="12.75" customHeight="1">
      <c r="A36" s="137"/>
      <c r="B36" s="137"/>
      <c r="C36" s="137"/>
      <c r="D36" s="137"/>
      <c r="E36" s="137"/>
      <c r="F36" s="137"/>
      <c r="G36" s="137"/>
      <c r="H36" s="137"/>
    </row>
    <row r="37" spans="1:8" ht="12.75" customHeight="1">
      <c r="A37" s="137"/>
      <c r="B37" s="137"/>
      <c r="C37" s="137"/>
      <c r="D37" s="137"/>
      <c r="E37" s="137"/>
      <c r="F37" s="137"/>
      <c r="G37" s="137"/>
      <c r="H37" s="137"/>
    </row>
    <row r="38" spans="1:8">
      <c r="A38" s="137"/>
      <c r="B38" s="137"/>
      <c r="C38" s="137"/>
      <c r="D38" s="137"/>
      <c r="E38" s="137"/>
      <c r="F38" s="137"/>
      <c r="G38" s="137"/>
      <c r="H38" s="137"/>
    </row>
    <row r="39" spans="1:8">
      <c r="A39" s="137"/>
      <c r="B39" s="137"/>
      <c r="C39" s="137"/>
      <c r="D39" s="137"/>
      <c r="E39" s="137"/>
      <c r="F39" s="137"/>
      <c r="G39" s="137"/>
      <c r="H39" s="137"/>
    </row>
    <row r="40" spans="1:8">
      <c r="A40" s="137"/>
      <c r="B40" s="137"/>
      <c r="C40" s="137"/>
      <c r="D40" s="137"/>
      <c r="E40" s="137"/>
      <c r="F40" s="137"/>
      <c r="G40" s="137"/>
      <c r="H40" s="137"/>
    </row>
    <row r="41" spans="1:8">
      <c r="A41" s="137"/>
      <c r="B41" s="137"/>
      <c r="C41" s="137"/>
      <c r="D41" s="137"/>
      <c r="E41" s="137"/>
      <c r="F41" s="137"/>
      <c r="G41" s="137"/>
      <c r="H41" s="137"/>
    </row>
    <row r="42" spans="1:8">
      <c r="A42" s="137"/>
      <c r="B42" s="137"/>
      <c r="C42" s="137"/>
      <c r="D42" s="137"/>
      <c r="E42" s="137"/>
      <c r="F42" s="137"/>
      <c r="G42" s="137"/>
      <c r="H42" s="137"/>
    </row>
    <row r="43" spans="1:8">
      <c r="A43" s="137"/>
      <c r="B43" s="137"/>
      <c r="C43" s="137"/>
      <c r="D43" s="137"/>
      <c r="E43" s="137"/>
      <c r="F43" s="137"/>
      <c r="G43" s="137"/>
      <c r="H43" s="137"/>
    </row>
    <row r="44" spans="1:8" s="87" customFormat="1">
      <c r="A44" s="33"/>
    </row>
    <row r="45" spans="1:8" s="87" customFormat="1">
      <c r="A45" s="33"/>
    </row>
    <row r="46" spans="1:8" s="87" customFormat="1" ht="15">
      <c r="A46" s="86"/>
      <c r="B46" s="25"/>
      <c r="C46" s="25"/>
    </row>
    <row r="47" spans="1:8" s="87" customFormat="1" ht="15" customHeight="1">
      <c r="A47" s="148" t="s">
        <v>63</v>
      </c>
      <c r="B47" s="149"/>
      <c r="C47" s="149"/>
      <c r="F47" s="134" t="s">
        <v>35</v>
      </c>
      <c r="G47" s="135"/>
      <c r="H47" s="135"/>
    </row>
    <row r="48" spans="1:8" s="87" customFormat="1">
      <c r="A48" s="33"/>
    </row>
    <row r="49" spans="1:8" s="87" customFormat="1" ht="12.75" customHeight="1">
      <c r="A49" s="140" t="s">
        <v>62</v>
      </c>
      <c r="B49" s="140"/>
      <c r="C49" s="140"/>
      <c r="D49" s="140"/>
      <c r="E49" s="140"/>
      <c r="F49" s="140"/>
      <c r="G49" s="140"/>
      <c r="H49" s="140"/>
    </row>
    <row r="50" spans="1:8" s="87" customFormat="1" ht="12.75" customHeight="1">
      <c r="A50" s="140"/>
      <c r="B50" s="140"/>
      <c r="C50" s="140"/>
      <c r="D50" s="140"/>
      <c r="E50" s="140"/>
      <c r="F50" s="140"/>
      <c r="G50" s="140"/>
      <c r="H50" s="140"/>
    </row>
    <row r="51" spans="1:8" s="87" customFormat="1" ht="12.75" customHeight="1">
      <c r="A51" s="138" t="s">
        <v>61</v>
      </c>
      <c r="B51" s="139"/>
      <c r="C51" s="139"/>
      <c r="D51" s="139"/>
      <c r="E51" s="139"/>
      <c r="F51" s="139"/>
      <c r="G51" s="139"/>
      <c r="H51" s="139"/>
    </row>
    <row r="52" spans="1:8" s="87" customFormat="1" ht="12.75" customHeight="1">
      <c r="A52" s="139"/>
      <c r="B52" s="139"/>
      <c r="C52" s="139"/>
      <c r="D52" s="139"/>
      <c r="E52" s="139"/>
      <c r="F52" s="139"/>
      <c r="G52" s="139"/>
      <c r="H52" s="139"/>
    </row>
    <row r="53" spans="1:8" s="87" customFormat="1" ht="12.75" customHeight="1">
      <c r="A53" s="139"/>
      <c r="B53" s="139"/>
      <c r="C53" s="139"/>
      <c r="D53" s="139"/>
      <c r="E53" s="139"/>
      <c r="F53" s="139"/>
      <c r="G53" s="139"/>
      <c r="H53" s="13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5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 enableFormatConditionsCalculation="0">
    <tabColor indexed="44"/>
  </sheetPr>
  <dimension ref="A1:H53"/>
  <sheetViews>
    <sheetView zoomScale="50" workbookViewId="0">
      <selection activeCell="J53" sqref="J53"/>
    </sheetView>
  </sheetViews>
  <sheetFormatPr baseColWidth="10" defaultRowHeight="12.75"/>
  <sheetData>
    <row r="1" spans="1:8" ht="12.75" customHeight="1">
      <c r="A1" s="133" t="s">
        <v>34</v>
      </c>
      <c r="B1" s="133"/>
      <c r="C1" s="133"/>
      <c r="D1" s="133"/>
      <c r="E1" s="133"/>
      <c r="F1" s="133"/>
      <c r="G1" s="133"/>
      <c r="H1" s="133"/>
    </row>
    <row r="2" spans="1:8">
      <c r="A2" s="133"/>
      <c r="B2" s="133"/>
      <c r="C2" s="133"/>
      <c r="D2" s="133"/>
      <c r="E2" s="133"/>
      <c r="F2" s="133"/>
      <c r="G2" s="133"/>
      <c r="H2" s="133"/>
    </row>
    <row r="3" spans="1:8">
      <c r="A3" s="133"/>
      <c r="B3" s="133"/>
      <c r="C3" s="133"/>
      <c r="D3" s="133"/>
      <c r="E3" s="133"/>
      <c r="F3" s="133"/>
      <c r="G3" s="133"/>
      <c r="H3" s="133"/>
    </row>
    <row r="4" spans="1:8">
      <c r="A4" s="133"/>
      <c r="B4" s="133"/>
      <c r="C4" s="133"/>
      <c r="D4" s="133"/>
      <c r="E4" s="133"/>
      <c r="F4" s="133"/>
      <c r="G4" s="133"/>
      <c r="H4" s="133"/>
    </row>
    <row r="5" spans="1:8">
      <c r="A5" s="133"/>
      <c r="B5" s="133"/>
      <c r="C5" s="133"/>
      <c r="D5" s="133"/>
      <c r="E5" s="133"/>
      <c r="F5" s="133"/>
      <c r="G5" s="133"/>
      <c r="H5" s="133"/>
    </row>
    <row r="6" spans="1:8">
      <c r="A6" s="133"/>
      <c r="B6" s="133"/>
      <c r="C6" s="133"/>
      <c r="D6" s="133"/>
      <c r="E6" s="133"/>
      <c r="F6" s="133"/>
      <c r="G6" s="133"/>
      <c r="H6" s="133"/>
    </row>
    <row r="7" spans="1:8">
      <c r="A7" s="133"/>
      <c r="B7" s="133"/>
      <c r="C7" s="133"/>
      <c r="D7" s="133"/>
      <c r="E7" s="133"/>
      <c r="F7" s="133"/>
      <c r="G7" s="133"/>
      <c r="H7" s="133"/>
    </row>
    <row r="8" spans="1:8">
      <c r="A8" s="33"/>
    </row>
    <row r="9" spans="1:8">
      <c r="A9" s="141" t="s">
        <v>14</v>
      </c>
      <c r="B9" s="141"/>
      <c r="C9" s="141"/>
      <c r="D9" s="141"/>
      <c r="E9" s="141"/>
      <c r="F9" s="141"/>
      <c r="G9" s="141"/>
      <c r="H9" s="141"/>
    </row>
    <row r="10" spans="1:8">
      <c r="A10" s="141"/>
      <c r="B10" s="141"/>
      <c r="C10" s="141"/>
      <c r="D10" s="141"/>
      <c r="E10" s="141"/>
      <c r="F10" s="141"/>
      <c r="G10" s="141"/>
      <c r="H10" s="141"/>
    </row>
    <row r="11" spans="1:8">
      <c r="A11" s="141"/>
      <c r="B11" s="141"/>
      <c r="C11" s="141"/>
      <c r="D11" s="141"/>
      <c r="E11" s="141"/>
      <c r="F11" s="141"/>
      <c r="G11" s="141"/>
      <c r="H11" s="141"/>
    </row>
    <row r="12" spans="1:8" ht="12.75" customHeight="1">
      <c r="A12" s="136" t="s">
        <v>60</v>
      </c>
      <c r="B12" s="136"/>
      <c r="C12" s="136"/>
      <c r="D12" s="136"/>
      <c r="E12" s="136"/>
      <c r="F12" s="136"/>
      <c r="G12" s="136"/>
      <c r="H12" s="136"/>
    </row>
    <row r="13" spans="1:8" ht="12.75" customHeight="1">
      <c r="A13" s="136"/>
      <c r="B13" s="136"/>
      <c r="C13" s="136"/>
      <c r="D13" s="136"/>
      <c r="E13" s="136"/>
      <c r="F13" s="136"/>
      <c r="G13" s="136"/>
      <c r="H13" s="136"/>
    </row>
    <row r="14" spans="1:8" ht="12.75" customHeight="1">
      <c r="A14" s="136"/>
      <c r="B14" s="136"/>
      <c r="C14" s="136"/>
      <c r="D14" s="136"/>
      <c r="E14" s="136"/>
      <c r="F14" s="136"/>
      <c r="G14" s="136"/>
      <c r="H14" s="136"/>
    </row>
    <row r="15" spans="1:8" ht="12.75" customHeight="1">
      <c r="A15" s="136"/>
      <c r="B15" s="136"/>
      <c r="C15" s="136"/>
      <c r="D15" s="136"/>
      <c r="E15" s="136"/>
      <c r="F15" s="136"/>
      <c r="G15" s="136"/>
      <c r="H15" s="136"/>
    </row>
    <row r="16" spans="1:8" ht="12.75" customHeight="1">
      <c r="A16" s="136"/>
      <c r="B16" s="136"/>
      <c r="C16" s="136"/>
      <c r="D16" s="136"/>
      <c r="E16" s="136"/>
      <c r="F16" s="136"/>
      <c r="G16" s="136"/>
      <c r="H16" s="136"/>
    </row>
    <row r="17" spans="1:8" ht="12.75" customHeight="1">
      <c r="A17" s="136"/>
      <c r="B17" s="136"/>
      <c r="C17" s="136"/>
      <c r="D17" s="136"/>
      <c r="E17" s="136"/>
      <c r="F17" s="136"/>
      <c r="G17" s="136"/>
      <c r="H17" s="136"/>
    </row>
    <row r="18" spans="1:8" ht="12.75" customHeight="1">
      <c r="A18" s="136"/>
      <c r="B18" s="136"/>
      <c r="C18" s="136"/>
      <c r="D18" s="136"/>
      <c r="E18" s="136"/>
      <c r="F18" s="136"/>
      <c r="G18" s="136"/>
      <c r="H18" s="136"/>
    </row>
    <row r="19" spans="1:8" ht="25.5" customHeight="1">
      <c r="A19" s="136"/>
      <c r="B19" s="136"/>
      <c r="C19" s="136"/>
      <c r="D19" s="136"/>
      <c r="E19" s="136"/>
      <c r="F19" s="136"/>
      <c r="G19" s="136"/>
      <c r="H19" s="136"/>
    </row>
    <row r="20" spans="1:8" ht="18">
      <c r="A20" s="146" t="s">
        <v>37</v>
      </c>
      <c r="B20" s="145"/>
      <c r="C20" s="145"/>
      <c r="D20" s="145"/>
      <c r="E20" s="145"/>
      <c r="F20" s="145"/>
      <c r="G20" s="145"/>
      <c r="H20" s="145"/>
    </row>
    <row r="21" spans="1:8">
      <c r="A21" s="142">
        <f>Ausw_Web!B9</f>
        <v>0</v>
      </c>
      <c r="B21" s="143"/>
      <c r="C21" s="143"/>
      <c r="D21" s="143"/>
      <c r="E21" s="143"/>
      <c r="F21" s="143"/>
      <c r="G21" s="143"/>
      <c r="H21" s="143"/>
    </row>
    <row r="22" spans="1:8">
      <c r="A22" s="143"/>
      <c r="B22" s="143"/>
      <c r="C22" s="143"/>
      <c r="D22" s="143"/>
      <c r="E22" s="143"/>
      <c r="F22" s="143"/>
      <c r="G22" s="143"/>
      <c r="H22" s="143"/>
    </row>
    <row r="23" spans="1:8">
      <c r="A23" s="143"/>
      <c r="B23" s="143"/>
      <c r="C23" s="143"/>
      <c r="D23" s="143"/>
      <c r="E23" s="143"/>
      <c r="F23" s="143"/>
      <c r="G23" s="143"/>
      <c r="H23" s="143"/>
    </row>
    <row r="24" spans="1:8">
      <c r="A24" s="143"/>
      <c r="B24" s="143"/>
      <c r="C24" s="143"/>
      <c r="D24" s="143"/>
      <c r="E24" s="143"/>
      <c r="F24" s="143"/>
      <c r="G24" s="143"/>
      <c r="H24" s="143"/>
    </row>
    <row r="25" spans="1:8">
      <c r="A25" s="143"/>
      <c r="B25" s="143"/>
      <c r="C25" s="143"/>
      <c r="D25" s="143"/>
      <c r="E25" s="143"/>
      <c r="F25" s="143"/>
      <c r="G25" s="143"/>
      <c r="H25" s="143"/>
    </row>
    <row r="26" spans="1:8" ht="15.75" customHeight="1">
      <c r="A26" s="34"/>
      <c r="B26" s="34"/>
      <c r="C26" s="34"/>
      <c r="D26" s="34"/>
      <c r="E26" s="34"/>
      <c r="F26" s="34"/>
      <c r="G26" s="34"/>
      <c r="H26" s="34"/>
    </row>
    <row r="27" spans="1:8" ht="18">
      <c r="A27" s="144" t="s">
        <v>64</v>
      </c>
      <c r="B27" s="145"/>
      <c r="C27" s="145"/>
      <c r="D27" s="145"/>
      <c r="E27" s="145"/>
      <c r="F27" s="145"/>
      <c r="G27" s="145"/>
      <c r="H27" s="145"/>
    </row>
    <row r="28" spans="1:8" ht="12.75" customHeight="1">
      <c r="A28" s="147" t="str">
        <f>Ausw_Web!C9&amp;" Sekunden"</f>
        <v>0 Sekunden</v>
      </c>
      <c r="B28" s="147"/>
      <c r="C28" s="147"/>
      <c r="D28" s="147"/>
      <c r="E28" s="147"/>
      <c r="F28" s="147"/>
      <c r="G28" s="147"/>
      <c r="H28" s="147"/>
    </row>
    <row r="29" spans="1:8" ht="12.75" customHeight="1">
      <c r="A29" s="147"/>
      <c r="B29" s="147"/>
      <c r="C29" s="147"/>
      <c r="D29" s="147"/>
      <c r="E29" s="147"/>
      <c r="F29" s="147"/>
      <c r="G29" s="147"/>
      <c r="H29" s="147"/>
    </row>
    <row r="30" spans="1:8" ht="12.75" customHeight="1">
      <c r="A30" s="147"/>
      <c r="B30" s="147"/>
      <c r="C30" s="147"/>
      <c r="D30" s="147"/>
      <c r="E30" s="147"/>
      <c r="F30" s="147"/>
      <c r="G30" s="147"/>
      <c r="H30" s="147"/>
    </row>
    <row r="31" spans="1:8" ht="12.75" customHeight="1">
      <c r="A31" s="147"/>
      <c r="B31" s="147"/>
      <c r="C31" s="147"/>
      <c r="D31" s="147"/>
      <c r="E31" s="147"/>
      <c r="F31" s="147"/>
      <c r="G31" s="147"/>
      <c r="H31" s="147"/>
    </row>
    <row r="32" spans="1:8" ht="17.25" customHeight="1">
      <c r="A32" s="147"/>
      <c r="B32" s="147"/>
      <c r="C32" s="147"/>
      <c r="D32" s="147"/>
      <c r="E32" s="147"/>
      <c r="F32" s="147"/>
      <c r="G32" s="147"/>
      <c r="H32" s="147"/>
    </row>
    <row r="33" spans="1:8" ht="18">
      <c r="A33" s="146" t="s">
        <v>36</v>
      </c>
      <c r="B33" s="145"/>
      <c r="C33" s="145"/>
      <c r="D33" s="145"/>
      <c r="E33" s="145"/>
      <c r="F33" s="145"/>
      <c r="G33" s="145"/>
      <c r="H33" s="145"/>
    </row>
    <row r="34" spans="1:8" ht="12.75" customHeight="1">
      <c r="A34" s="137">
        <f>Ausw_Web!D9</f>
        <v>0</v>
      </c>
      <c r="B34" s="137"/>
      <c r="C34" s="137"/>
      <c r="D34" s="137"/>
      <c r="E34" s="137"/>
      <c r="F34" s="137"/>
      <c r="G34" s="137"/>
      <c r="H34" s="137"/>
    </row>
    <row r="35" spans="1:8" ht="12.75" customHeight="1">
      <c r="A35" s="137"/>
      <c r="B35" s="137"/>
      <c r="C35" s="137"/>
      <c r="D35" s="137"/>
      <c r="E35" s="137"/>
      <c r="F35" s="137"/>
      <c r="G35" s="137"/>
      <c r="H35" s="137"/>
    </row>
    <row r="36" spans="1:8" ht="12.75" customHeight="1">
      <c r="A36" s="137"/>
      <c r="B36" s="137"/>
      <c r="C36" s="137"/>
      <c r="D36" s="137"/>
      <c r="E36" s="137"/>
      <c r="F36" s="137"/>
      <c r="G36" s="137"/>
      <c r="H36" s="137"/>
    </row>
    <row r="37" spans="1:8" ht="12.75" customHeight="1">
      <c r="A37" s="137"/>
      <c r="B37" s="137"/>
      <c r="C37" s="137"/>
      <c r="D37" s="137"/>
      <c r="E37" s="137"/>
      <c r="F37" s="137"/>
      <c r="G37" s="137"/>
      <c r="H37" s="137"/>
    </row>
    <row r="38" spans="1:8">
      <c r="A38" s="137"/>
      <c r="B38" s="137"/>
      <c r="C38" s="137"/>
      <c r="D38" s="137"/>
      <c r="E38" s="137"/>
      <c r="F38" s="137"/>
      <c r="G38" s="137"/>
      <c r="H38" s="137"/>
    </row>
    <row r="39" spans="1:8">
      <c r="A39" s="137"/>
      <c r="B39" s="137"/>
      <c r="C39" s="137"/>
      <c r="D39" s="137"/>
      <c r="E39" s="137"/>
      <c r="F39" s="137"/>
      <c r="G39" s="137"/>
      <c r="H39" s="137"/>
    </row>
    <row r="40" spans="1:8">
      <c r="A40" s="137"/>
      <c r="B40" s="137"/>
      <c r="C40" s="137"/>
      <c r="D40" s="137"/>
      <c r="E40" s="137"/>
      <c r="F40" s="137"/>
      <c r="G40" s="137"/>
      <c r="H40" s="137"/>
    </row>
    <row r="41" spans="1:8">
      <c r="A41" s="137"/>
      <c r="B41" s="137"/>
      <c r="C41" s="137"/>
      <c r="D41" s="137"/>
      <c r="E41" s="137"/>
      <c r="F41" s="137"/>
      <c r="G41" s="137"/>
      <c r="H41" s="137"/>
    </row>
    <row r="42" spans="1:8">
      <c r="A42" s="137"/>
      <c r="B42" s="137"/>
      <c r="C42" s="137"/>
      <c r="D42" s="137"/>
      <c r="E42" s="137"/>
      <c r="F42" s="137"/>
      <c r="G42" s="137"/>
      <c r="H42" s="137"/>
    </row>
    <row r="43" spans="1:8">
      <c r="A43" s="137"/>
      <c r="B43" s="137"/>
      <c r="C43" s="137"/>
      <c r="D43" s="137"/>
      <c r="E43" s="137"/>
      <c r="F43" s="137"/>
      <c r="G43" s="137"/>
      <c r="H43" s="137"/>
    </row>
    <row r="44" spans="1:8" s="87" customFormat="1">
      <c r="A44" s="33"/>
    </row>
    <row r="45" spans="1:8" s="87" customFormat="1">
      <c r="A45" s="33"/>
    </row>
    <row r="46" spans="1:8" s="87" customFormat="1" ht="15">
      <c r="A46" s="86"/>
      <c r="B46" s="25"/>
      <c r="C46" s="25"/>
    </row>
    <row r="47" spans="1:8" s="87" customFormat="1" ht="15" customHeight="1">
      <c r="A47" s="148" t="s">
        <v>63</v>
      </c>
      <c r="B47" s="149"/>
      <c r="C47" s="149"/>
      <c r="F47" s="134" t="s">
        <v>35</v>
      </c>
      <c r="G47" s="135"/>
      <c r="H47" s="135"/>
    </row>
    <row r="48" spans="1:8" s="87" customFormat="1">
      <c r="A48" s="33"/>
    </row>
    <row r="49" spans="1:8" s="87" customFormat="1" ht="12.75" customHeight="1">
      <c r="A49" s="140" t="s">
        <v>62</v>
      </c>
      <c r="B49" s="140"/>
      <c r="C49" s="140"/>
      <c r="D49" s="140"/>
      <c r="E49" s="140"/>
      <c r="F49" s="140"/>
      <c r="G49" s="140"/>
      <c r="H49" s="140"/>
    </row>
    <row r="50" spans="1:8" s="87" customFormat="1" ht="12.75" customHeight="1">
      <c r="A50" s="140"/>
      <c r="B50" s="140"/>
      <c r="C50" s="140"/>
      <c r="D50" s="140"/>
      <c r="E50" s="140"/>
      <c r="F50" s="140"/>
      <c r="G50" s="140"/>
      <c r="H50" s="140"/>
    </row>
    <row r="51" spans="1:8" s="87" customFormat="1" ht="12.75" customHeight="1">
      <c r="A51" s="138" t="s">
        <v>61</v>
      </c>
      <c r="B51" s="139"/>
      <c r="C51" s="139"/>
      <c r="D51" s="139"/>
      <c r="E51" s="139"/>
      <c r="F51" s="139"/>
      <c r="G51" s="139"/>
      <c r="H51" s="139"/>
    </row>
    <row r="52" spans="1:8" s="87" customFormat="1" ht="12.75" customHeight="1">
      <c r="A52" s="139"/>
      <c r="B52" s="139"/>
      <c r="C52" s="139"/>
      <c r="D52" s="139"/>
      <c r="E52" s="139"/>
      <c r="F52" s="139"/>
      <c r="G52" s="139"/>
      <c r="H52" s="139"/>
    </row>
    <row r="53" spans="1:8" s="87" customFormat="1" ht="12.75" customHeight="1">
      <c r="A53" s="139"/>
      <c r="B53" s="139"/>
      <c r="C53" s="139"/>
      <c r="D53" s="139"/>
      <c r="E53" s="139"/>
      <c r="F53" s="139"/>
      <c r="G53" s="139"/>
      <c r="H53" s="13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5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indexed="44"/>
  </sheetPr>
  <dimension ref="A1:H53"/>
  <sheetViews>
    <sheetView zoomScale="50" workbookViewId="0">
      <selection activeCell="Q81" sqref="Q81"/>
    </sheetView>
  </sheetViews>
  <sheetFormatPr baseColWidth="10" defaultRowHeight="12.75"/>
  <cols>
    <col min="1" max="16384" width="11.42578125" style="101"/>
  </cols>
  <sheetData>
    <row r="1" spans="1:8" ht="12.75" customHeight="1">
      <c r="A1" s="133" t="s">
        <v>34</v>
      </c>
      <c r="B1" s="133"/>
      <c r="C1" s="133"/>
      <c r="D1" s="133"/>
      <c r="E1" s="133"/>
      <c r="F1" s="133"/>
      <c r="G1" s="133"/>
      <c r="H1" s="133"/>
    </row>
    <row r="2" spans="1:8">
      <c r="A2" s="133"/>
      <c r="B2" s="133"/>
      <c r="C2" s="133"/>
      <c r="D2" s="133"/>
      <c r="E2" s="133"/>
      <c r="F2" s="133"/>
      <c r="G2" s="133"/>
      <c r="H2" s="133"/>
    </row>
    <row r="3" spans="1:8">
      <c r="A3" s="133"/>
      <c r="B3" s="133"/>
      <c r="C3" s="133"/>
      <c r="D3" s="133"/>
      <c r="E3" s="133"/>
      <c r="F3" s="133"/>
      <c r="G3" s="133"/>
      <c r="H3" s="133"/>
    </row>
    <row r="4" spans="1:8">
      <c r="A4" s="133"/>
      <c r="B4" s="133"/>
      <c r="C4" s="133"/>
      <c r="D4" s="133"/>
      <c r="E4" s="133"/>
      <c r="F4" s="133"/>
      <c r="G4" s="133"/>
      <c r="H4" s="133"/>
    </row>
    <row r="5" spans="1:8">
      <c r="A5" s="133"/>
      <c r="B5" s="133"/>
      <c r="C5" s="133"/>
      <c r="D5" s="133"/>
      <c r="E5" s="133"/>
      <c r="F5" s="133"/>
      <c r="G5" s="133"/>
      <c r="H5" s="133"/>
    </row>
    <row r="6" spans="1:8">
      <c r="A6" s="133"/>
      <c r="B6" s="133"/>
      <c r="C6" s="133"/>
      <c r="D6" s="133"/>
      <c r="E6" s="133"/>
      <c r="F6" s="133"/>
      <c r="G6" s="133"/>
      <c r="H6" s="133"/>
    </row>
    <row r="7" spans="1:8">
      <c r="A7" s="133"/>
      <c r="B7" s="133"/>
      <c r="C7" s="133"/>
      <c r="D7" s="133"/>
      <c r="E7" s="133"/>
      <c r="F7" s="133"/>
      <c r="G7" s="133"/>
      <c r="H7" s="133"/>
    </row>
    <row r="8" spans="1:8">
      <c r="A8" s="33"/>
    </row>
    <row r="9" spans="1:8">
      <c r="A9" s="141" t="s">
        <v>76</v>
      </c>
      <c r="B9" s="141"/>
      <c r="C9" s="141"/>
      <c r="D9" s="141"/>
      <c r="E9" s="141"/>
      <c r="F9" s="141"/>
      <c r="G9" s="141"/>
      <c r="H9" s="141"/>
    </row>
    <row r="10" spans="1:8">
      <c r="A10" s="141"/>
      <c r="B10" s="141"/>
      <c r="C10" s="141"/>
      <c r="D10" s="141"/>
      <c r="E10" s="141"/>
      <c r="F10" s="141"/>
      <c r="G10" s="141"/>
      <c r="H10" s="141"/>
    </row>
    <row r="11" spans="1:8">
      <c r="A11" s="141"/>
      <c r="B11" s="141"/>
      <c r="C11" s="141"/>
      <c r="D11" s="141"/>
      <c r="E11" s="141"/>
      <c r="F11" s="141"/>
      <c r="G11" s="141"/>
      <c r="H11" s="141"/>
    </row>
    <row r="12" spans="1:8" ht="12.75" customHeight="1">
      <c r="A12" s="136" t="s">
        <v>60</v>
      </c>
      <c r="B12" s="136"/>
      <c r="C12" s="136"/>
      <c r="D12" s="136"/>
      <c r="E12" s="136"/>
      <c r="F12" s="136"/>
      <c r="G12" s="136"/>
      <c r="H12" s="136"/>
    </row>
    <row r="13" spans="1:8" ht="12.75" customHeight="1">
      <c r="A13" s="136"/>
      <c r="B13" s="136"/>
      <c r="C13" s="136"/>
      <c r="D13" s="136"/>
      <c r="E13" s="136"/>
      <c r="F13" s="136"/>
      <c r="G13" s="136"/>
      <c r="H13" s="136"/>
    </row>
    <row r="14" spans="1:8" ht="12.75" customHeight="1">
      <c r="A14" s="136"/>
      <c r="B14" s="136"/>
      <c r="C14" s="136"/>
      <c r="D14" s="136"/>
      <c r="E14" s="136"/>
      <c r="F14" s="136"/>
      <c r="G14" s="136"/>
      <c r="H14" s="136"/>
    </row>
    <row r="15" spans="1:8" ht="12.75" customHeight="1">
      <c r="A15" s="136"/>
      <c r="B15" s="136"/>
      <c r="C15" s="136"/>
      <c r="D15" s="136"/>
      <c r="E15" s="136"/>
      <c r="F15" s="136"/>
      <c r="G15" s="136"/>
      <c r="H15" s="136"/>
    </row>
    <row r="16" spans="1:8" ht="12.75" customHeight="1">
      <c r="A16" s="136"/>
      <c r="B16" s="136"/>
      <c r="C16" s="136"/>
      <c r="D16" s="136"/>
      <c r="E16" s="136"/>
      <c r="F16" s="136"/>
      <c r="G16" s="136"/>
      <c r="H16" s="136"/>
    </row>
    <row r="17" spans="1:8" ht="12.75" customHeight="1">
      <c r="A17" s="136"/>
      <c r="B17" s="136"/>
      <c r="C17" s="136"/>
      <c r="D17" s="136"/>
      <c r="E17" s="136"/>
      <c r="F17" s="136"/>
      <c r="G17" s="136"/>
      <c r="H17" s="136"/>
    </row>
    <row r="18" spans="1:8" ht="12.75" customHeight="1">
      <c r="A18" s="136"/>
      <c r="B18" s="136"/>
      <c r="C18" s="136"/>
      <c r="D18" s="136"/>
      <c r="E18" s="136"/>
      <c r="F18" s="136"/>
      <c r="G18" s="136"/>
      <c r="H18" s="136"/>
    </row>
    <row r="19" spans="1:8" ht="25.5" customHeight="1">
      <c r="A19" s="136"/>
      <c r="B19" s="136"/>
      <c r="C19" s="136"/>
      <c r="D19" s="136"/>
      <c r="E19" s="136"/>
      <c r="F19" s="136"/>
      <c r="G19" s="136"/>
      <c r="H19" s="136"/>
    </row>
    <row r="20" spans="1:8" ht="18">
      <c r="A20" s="146" t="s">
        <v>37</v>
      </c>
      <c r="B20" s="145"/>
      <c r="C20" s="145"/>
      <c r="D20" s="145"/>
      <c r="E20" s="145"/>
      <c r="F20" s="145"/>
      <c r="G20" s="145"/>
      <c r="H20" s="145"/>
    </row>
    <row r="21" spans="1:8">
      <c r="A21" s="142" t="s">
        <v>73</v>
      </c>
      <c r="B21" s="143"/>
      <c r="C21" s="143"/>
      <c r="D21" s="143"/>
      <c r="E21" s="143"/>
      <c r="F21" s="143"/>
      <c r="G21" s="143"/>
      <c r="H21" s="143"/>
    </row>
    <row r="22" spans="1:8">
      <c r="A22" s="143"/>
      <c r="B22" s="143"/>
      <c r="C22" s="143"/>
      <c r="D22" s="143"/>
      <c r="E22" s="143"/>
      <c r="F22" s="143"/>
      <c r="G22" s="143"/>
      <c r="H22" s="143"/>
    </row>
    <row r="23" spans="1:8">
      <c r="A23" s="143"/>
      <c r="B23" s="143"/>
      <c r="C23" s="143"/>
      <c r="D23" s="143"/>
      <c r="E23" s="143"/>
      <c r="F23" s="143"/>
      <c r="G23" s="143"/>
      <c r="H23" s="143"/>
    </row>
    <row r="24" spans="1:8">
      <c r="A24" s="143"/>
      <c r="B24" s="143"/>
      <c r="C24" s="143"/>
      <c r="D24" s="143"/>
      <c r="E24" s="143"/>
      <c r="F24" s="143"/>
      <c r="G24" s="143"/>
      <c r="H24" s="143"/>
    </row>
    <row r="25" spans="1:8">
      <c r="A25" s="143"/>
      <c r="B25" s="143"/>
      <c r="C25" s="143"/>
      <c r="D25" s="143"/>
      <c r="E25" s="143"/>
      <c r="F25" s="143"/>
      <c r="G25" s="143"/>
      <c r="H25" s="143"/>
    </row>
    <row r="26" spans="1:8" ht="15.75" customHeight="1">
      <c r="A26" s="34"/>
      <c r="B26" s="34"/>
      <c r="C26" s="34"/>
      <c r="D26" s="34"/>
      <c r="E26" s="34"/>
      <c r="F26" s="34"/>
      <c r="G26" s="34"/>
      <c r="H26" s="34"/>
    </row>
    <row r="27" spans="1:8" ht="18">
      <c r="A27" s="144" t="s">
        <v>64</v>
      </c>
      <c r="B27" s="145"/>
      <c r="C27" s="145"/>
      <c r="D27" s="145"/>
      <c r="E27" s="145"/>
      <c r="F27" s="145"/>
      <c r="G27" s="145"/>
      <c r="H27" s="145"/>
    </row>
    <row r="28" spans="1:8" ht="12.75" customHeight="1">
      <c r="A28" s="150" t="s">
        <v>75</v>
      </c>
      <c r="B28" s="150"/>
      <c r="C28" s="150"/>
      <c r="D28" s="150"/>
      <c r="E28" s="150"/>
      <c r="F28" s="150"/>
      <c r="G28" s="150"/>
      <c r="H28" s="150"/>
    </row>
    <row r="29" spans="1:8" ht="12.75" customHeight="1">
      <c r="A29" s="150"/>
      <c r="B29" s="150"/>
      <c r="C29" s="150"/>
      <c r="D29" s="150"/>
      <c r="E29" s="150"/>
      <c r="F29" s="150"/>
      <c r="G29" s="150"/>
      <c r="H29" s="150"/>
    </row>
    <row r="30" spans="1:8" ht="12.75" customHeight="1">
      <c r="A30" s="150"/>
      <c r="B30" s="150"/>
      <c r="C30" s="150"/>
      <c r="D30" s="150"/>
      <c r="E30" s="150"/>
      <c r="F30" s="150"/>
      <c r="G30" s="150"/>
      <c r="H30" s="150"/>
    </row>
    <row r="31" spans="1:8" ht="12.75" customHeight="1">
      <c r="A31" s="150"/>
      <c r="B31" s="150"/>
      <c r="C31" s="150"/>
      <c r="D31" s="150"/>
      <c r="E31" s="150"/>
      <c r="F31" s="150"/>
      <c r="G31" s="150"/>
      <c r="H31" s="150"/>
    </row>
    <row r="32" spans="1:8" ht="17.25" customHeight="1">
      <c r="A32" s="150"/>
      <c r="B32" s="150"/>
      <c r="C32" s="150"/>
      <c r="D32" s="150"/>
      <c r="E32" s="150"/>
      <c r="F32" s="150"/>
      <c r="G32" s="150"/>
      <c r="H32" s="150"/>
    </row>
    <row r="33" spans="1:8" ht="18">
      <c r="A33" s="146" t="s">
        <v>36</v>
      </c>
      <c r="B33" s="145"/>
      <c r="C33" s="145"/>
      <c r="D33" s="145"/>
      <c r="E33" s="145"/>
      <c r="F33" s="145"/>
      <c r="G33" s="145"/>
      <c r="H33" s="145"/>
    </row>
    <row r="34" spans="1:8" ht="12.75" customHeight="1">
      <c r="A34" s="137" t="s">
        <v>74</v>
      </c>
      <c r="B34" s="137"/>
      <c r="C34" s="137"/>
      <c r="D34" s="137"/>
      <c r="E34" s="137"/>
      <c r="F34" s="137"/>
      <c r="G34" s="137"/>
      <c r="H34" s="137"/>
    </row>
    <row r="35" spans="1:8" ht="12.75" customHeight="1">
      <c r="A35" s="137"/>
      <c r="B35" s="137"/>
      <c r="C35" s="137"/>
      <c r="D35" s="137"/>
      <c r="E35" s="137"/>
      <c r="F35" s="137"/>
      <c r="G35" s="137"/>
      <c r="H35" s="137"/>
    </row>
    <row r="36" spans="1:8" ht="12.75" customHeight="1">
      <c r="A36" s="137"/>
      <c r="B36" s="137"/>
      <c r="C36" s="137"/>
      <c r="D36" s="137"/>
      <c r="E36" s="137"/>
      <c r="F36" s="137"/>
      <c r="G36" s="137"/>
      <c r="H36" s="137"/>
    </row>
    <row r="37" spans="1:8" ht="12.75" customHeight="1">
      <c r="A37" s="137"/>
      <c r="B37" s="137"/>
      <c r="C37" s="137"/>
      <c r="D37" s="137"/>
      <c r="E37" s="137"/>
      <c r="F37" s="137"/>
      <c r="G37" s="137"/>
      <c r="H37" s="137"/>
    </row>
    <row r="38" spans="1:8">
      <c r="A38" s="137"/>
      <c r="B38" s="137"/>
      <c r="C38" s="137"/>
      <c r="D38" s="137"/>
      <c r="E38" s="137"/>
      <c r="F38" s="137"/>
      <c r="G38" s="137"/>
      <c r="H38" s="137"/>
    </row>
    <row r="39" spans="1:8">
      <c r="A39" s="137"/>
      <c r="B39" s="137"/>
      <c r="C39" s="137"/>
      <c r="D39" s="137"/>
      <c r="E39" s="137"/>
      <c r="F39" s="137"/>
      <c r="G39" s="137"/>
      <c r="H39" s="137"/>
    </row>
    <row r="40" spans="1:8">
      <c r="A40" s="137"/>
      <c r="B40" s="137"/>
      <c r="C40" s="137"/>
      <c r="D40" s="137"/>
      <c r="E40" s="137"/>
      <c r="F40" s="137"/>
      <c r="G40" s="137"/>
      <c r="H40" s="137"/>
    </row>
    <row r="41" spans="1:8">
      <c r="A41" s="137"/>
      <c r="B41" s="137"/>
      <c r="C41" s="137"/>
      <c r="D41" s="137"/>
      <c r="E41" s="137"/>
      <c r="F41" s="137"/>
      <c r="G41" s="137"/>
      <c r="H41" s="137"/>
    </row>
    <row r="42" spans="1:8">
      <c r="A42" s="137"/>
      <c r="B42" s="137"/>
      <c r="C42" s="137"/>
      <c r="D42" s="137"/>
      <c r="E42" s="137"/>
      <c r="F42" s="137"/>
      <c r="G42" s="137"/>
      <c r="H42" s="137"/>
    </row>
    <row r="43" spans="1:8">
      <c r="A43" s="137"/>
      <c r="B43" s="137"/>
      <c r="C43" s="137"/>
      <c r="D43" s="137"/>
      <c r="E43" s="137"/>
      <c r="F43" s="137"/>
      <c r="G43" s="137"/>
      <c r="H43" s="137"/>
    </row>
    <row r="44" spans="1:8">
      <c r="A44" s="33"/>
    </row>
    <row r="45" spans="1:8">
      <c r="A45" s="33"/>
    </row>
    <row r="46" spans="1:8" ht="15">
      <c r="A46" s="100"/>
      <c r="B46" s="25"/>
      <c r="C46" s="25"/>
    </row>
    <row r="47" spans="1:8" ht="15" customHeight="1">
      <c r="A47" s="148" t="s">
        <v>63</v>
      </c>
      <c r="B47" s="149"/>
      <c r="C47" s="149"/>
      <c r="F47" s="134" t="s">
        <v>35</v>
      </c>
      <c r="G47" s="135"/>
      <c r="H47" s="135"/>
    </row>
    <row r="48" spans="1:8">
      <c r="A48" s="33"/>
    </row>
    <row r="49" spans="1:8" ht="12.75" customHeight="1">
      <c r="A49" s="140" t="s">
        <v>62</v>
      </c>
      <c r="B49" s="140"/>
      <c r="C49" s="140"/>
      <c r="D49" s="140"/>
      <c r="E49" s="140"/>
      <c r="F49" s="140"/>
      <c r="G49" s="140"/>
      <c r="H49" s="140"/>
    </row>
    <row r="50" spans="1:8" ht="12.75" customHeight="1">
      <c r="A50" s="140"/>
      <c r="B50" s="140"/>
      <c r="C50" s="140"/>
      <c r="D50" s="140"/>
      <c r="E50" s="140"/>
      <c r="F50" s="140"/>
      <c r="G50" s="140"/>
      <c r="H50" s="140"/>
    </row>
    <row r="51" spans="1:8" ht="12.75" customHeight="1">
      <c r="A51" s="138" t="s">
        <v>61</v>
      </c>
      <c r="B51" s="139"/>
      <c r="C51" s="139"/>
      <c r="D51" s="139"/>
      <c r="E51" s="139"/>
      <c r="F51" s="139"/>
      <c r="G51" s="139"/>
      <c r="H51" s="139"/>
    </row>
    <row r="52" spans="1:8" ht="12.75" customHeight="1">
      <c r="A52" s="139"/>
      <c r="B52" s="139"/>
      <c r="C52" s="139"/>
      <c r="D52" s="139"/>
      <c r="E52" s="139"/>
      <c r="F52" s="139"/>
      <c r="G52" s="139"/>
      <c r="H52" s="139"/>
    </row>
    <row r="53" spans="1:8" ht="12.75" customHeight="1">
      <c r="A53" s="139"/>
      <c r="B53" s="139"/>
      <c r="C53" s="139"/>
      <c r="D53" s="139"/>
      <c r="E53" s="139"/>
      <c r="F53" s="139"/>
      <c r="G53" s="139"/>
      <c r="H53" s="139"/>
    </row>
  </sheetData>
  <mergeCells count="13">
    <mergeCell ref="A51:H53"/>
    <mergeCell ref="A28:H32"/>
    <mergeCell ref="A33:H33"/>
    <mergeCell ref="A34:H43"/>
    <mergeCell ref="A47:C47"/>
    <mergeCell ref="F47:H47"/>
    <mergeCell ref="A49:H50"/>
    <mergeCell ref="A27:H27"/>
    <mergeCell ref="A1:H7"/>
    <mergeCell ref="A9:H11"/>
    <mergeCell ref="A12:H19"/>
    <mergeCell ref="A20:H20"/>
    <mergeCell ref="A21:H25"/>
  </mergeCells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1"/>
  <headerFooter alignWithMargins="0">
    <oddFooter>&amp;L&amp;G&amp;CUniversität Rostock
Lehrstuhl für Schiffbau
Albert - Einstein - Str. 2  18055 Rostock
www.paperboat.de&amp;R&amp;G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</vt:i4>
      </vt:variant>
    </vt:vector>
  </HeadingPairs>
  <TitlesOfParts>
    <vt:vector size="17" baseType="lpstr">
      <vt:lpstr>Start_Daten</vt:lpstr>
      <vt:lpstr>all_data</vt:lpstr>
      <vt:lpstr>d-weight</vt:lpstr>
      <vt:lpstr>Tabelle1</vt:lpstr>
      <vt:lpstr>verhaeltniss</vt:lpstr>
      <vt:lpstr>contest_life</vt:lpstr>
      <vt:lpstr>Schnellster</vt:lpstr>
      <vt:lpstr>Ausw_Web</vt:lpstr>
      <vt:lpstr>Druck</vt:lpstr>
      <vt:lpstr>Urk Platz1</vt:lpstr>
      <vt:lpstr>Urk Platz2</vt:lpstr>
      <vt:lpstr>Urk Platz3</vt:lpstr>
      <vt:lpstr>Urk Platz 4</vt:lpstr>
      <vt:lpstr>Urk Platz 5</vt:lpstr>
      <vt:lpstr>Urk Platz 6</vt:lpstr>
      <vt:lpstr>UrkAlle</vt:lpstr>
      <vt:lpstr>Ausw_Web!Druckbereich</vt:lpstr>
    </vt:vector>
  </TitlesOfParts>
  <Company>xxx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rg</dc:creator>
  <cp:lastModifiedBy>ziese</cp:lastModifiedBy>
  <cp:lastPrinted>2015-05-04T13:40:06Z</cp:lastPrinted>
  <dcterms:created xsi:type="dcterms:W3CDTF">2001-04-10T11:09:36Z</dcterms:created>
  <dcterms:modified xsi:type="dcterms:W3CDTF">2015-05-04T13:44:19Z</dcterms:modified>
</cp:coreProperties>
</file>